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ektajethwani/Desktop/projectr/"/>
    </mc:Choice>
  </mc:AlternateContent>
  <xr:revisionPtr revIDLastSave="0" documentId="8_{B8284449-B276-1A43-900C-6C66BB2D4D99}" xr6:coauthVersionLast="47" xr6:coauthVersionMax="47" xr10:uidLastSave="{00000000-0000-0000-0000-000000000000}"/>
  <workbookProtection workbookAlgorithmName="SHA-512" workbookHashValue="EFc4iMSvUZeD3znpwB067TrAYjJJvjtnobxuWNKga7l3zo62VDq48NKQITJfos9WDRY2g3uh/n/mAtO/YgPDHw==" workbookSaltValue="2gEaW/HNn1i9Y8pOWnbiOA==" workbookSpinCount="100000" lockStructure="1"/>
  <bookViews>
    <workbookView xWindow="0" yWindow="500" windowWidth="28800" windowHeight="16300" firstSheet="2" activeTab="5" xr2:uid="{2F4FF453-7D50-1940-B52F-F4D00D821B96}"/>
  </bookViews>
  <sheets>
    <sheet name="Client Dashboard" sheetId="12" r:id="rId1"/>
    <sheet name="Platform Summary" sheetId="6" r:id="rId2"/>
    <sheet name="Campaign Analysis" sheetId="7" r:id="rId3"/>
    <sheet name="Monthly Trends" sheetId="8" r:id="rId4"/>
    <sheet name="Funnel Analysis" sheetId="9" r:id="rId5"/>
    <sheet name="Trend and Cohort Analysis" sheetId="21" r:id="rId6"/>
    <sheet name="Platform KPIs" sheetId="22" r:id="rId7"/>
    <sheet name="Combined Data" sheetId="5" r:id="rId8"/>
    <sheet name="Tiktok Raw" sheetId="15" r:id="rId9"/>
    <sheet name="Instagram Raw" sheetId="16" r:id="rId10"/>
    <sheet name="Google Raw" sheetId="17" r:id="rId11"/>
    <sheet name="Facebook Raw" sheetId="18" r:id="rId12"/>
    <sheet name="chart data" sheetId="20" state="hidden" r:id="rId13"/>
  </sheets>
  <definedNames>
    <definedName name="ExternalData_1" localSheetId="7" hidden="1">'Combined Data'!$A$1:$J$2438</definedName>
    <definedName name="ExternalData_1" localSheetId="11" hidden="1">'Facebook Raw'!$A$1:$J$541</definedName>
    <definedName name="ExternalData_1" localSheetId="10" hidden="1">'Google Raw'!$A$1:$K$818</definedName>
    <definedName name="ExternalData_1" localSheetId="9" hidden="1">'Instagram Raw'!$A$1:$J$541</definedName>
    <definedName name="ExternalData_1" localSheetId="8" hidden="1">'Tiktok Raw'!$A$1:$J$541</definedName>
  </definedNames>
  <calcPr calcId="191029"/>
  <pivotCaches>
    <pivotCache cacheId="0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2" l="1"/>
  <c r="B12" i="22"/>
  <c r="B11" i="22"/>
  <c r="B10" i="22"/>
  <c r="B9" i="22"/>
  <c r="B8" i="22"/>
  <c r="B7" i="22"/>
  <c r="B6" i="22"/>
  <c r="B5" i="22"/>
  <c r="J3" i="8"/>
  <c r="J4" i="8"/>
  <c r="J2" i="8"/>
  <c r="I3" i="8"/>
  <c r="I4" i="8"/>
  <c r="I2" i="8"/>
  <c r="H3" i="8"/>
  <c r="H4" i="8"/>
  <c r="H2" i="8"/>
  <c r="G3" i="8"/>
  <c r="G4" i="8"/>
  <c r="G2" i="8"/>
  <c r="F3" i="8"/>
  <c r="F4" i="8"/>
  <c r="F2" i="8"/>
  <c r="J6" i="7"/>
  <c r="J7" i="7"/>
  <c r="J8" i="7"/>
  <c r="J9" i="7"/>
  <c r="J10" i="7"/>
  <c r="J11" i="7"/>
  <c r="J12" i="7"/>
  <c r="J13" i="7"/>
  <c r="J14" i="7"/>
  <c r="J5" i="7"/>
  <c r="J4" i="7"/>
  <c r="J5" i="6"/>
  <c r="J4" i="6"/>
  <c r="J3" i="6"/>
  <c r="J2" i="6"/>
  <c r="I14" i="7"/>
  <c r="I6" i="7"/>
  <c r="H11" i="7"/>
  <c r="H3" i="7"/>
  <c r="G8" i="7"/>
  <c r="F13" i="7"/>
  <c r="F5" i="7"/>
  <c r="H5" i="6"/>
  <c r="F5" i="6"/>
  <c r="I13" i="7"/>
  <c r="I5" i="7"/>
  <c r="H10" i="7"/>
  <c r="H2" i="7"/>
  <c r="G7" i="7"/>
  <c r="F12" i="7"/>
  <c r="F4" i="7"/>
  <c r="H4" i="6"/>
  <c r="F4" i="6"/>
  <c r="H9" i="7"/>
  <c r="F3" i="7"/>
  <c r="I11" i="7"/>
  <c r="I3" i="7"/>
  <c r="H8" i="7"/>
  <c r="G13" i="7"/>
  <c r="G5" i="7"/>
  <c r="F10" i="7"/>
  <c r="F2" i="7"/>
  <c r="H2" i="6"/>
  <c r="F2" i="6"/>
  <c r="I5" i="6"/>
  <c r="G5" i="6"/>
  <c r="H14" i="7"/>
  <c r="G3" i="7"/>
  <c r="I4" i="6"/>
  <c r="G4" i="6"/>
  <c r="I7" i="7"/>
  <c r="I2" i="6"/>
  <c r="F3" i="6"/>
  <c r="I10" i="7"/>
  <c r="I2" i="7"/>
  <c r="H7" i="7"/>
  <c r="G12" i="7"/>
  <c r="G4" i="7"/>
  <c r="F9" i="7"/>
  <c r="I9" i="7"/>
  <c r="H6" i="7"/>
  <c r="G11" i="7"/>
  <c r="F8" i="7"/>
  <c r="J2" i="7"/>
  <c r="G9" i="7"/>
  <c r="F6" i="7"/>
  <c r="I12" i="7"/>
  <c r="I4" i="7"/>
  <c r="G14" i="7"/>
  <c r="G6" i="7"/>
  <c r="F11" i="7"/>
  <c r="H3" i="6"/>
  <c r="J3" i="7"/>
  <c r="I8" i="7"/>
  <c r="H13" i="7"/>
  <c r="H5" i="7"/>
  <c r="G10" i="7"/>
  <c r="G2" i="7"/>
  <c r="F7" i="7"/>
  <c r="I3" i="6"/>
  <c r="G3" i="6"/>
  <c r="H12" i="7"/>
  <c r="H4" i="7"/>
  <c r="F14" i="7"/>
  <c r="G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5EEEA7-31F7-4943-9B01-BF499F9DD7AC}" keepAlive="1" name="Query - facebook_ads" description="Connection to the 'facebook_ads' query in the workbook." type="5" refreshedVersion="8" background="1" saveData="1">
    <dbPr connection="Provider=Microsoft.Mashup.OleDb.1;Data Source=$Workbook$;Location=facebook_ads;Extended Properties=&quot;&quot;" command="SELECT * FROM [facebook_ads]"/>
  </connection>
  <connection id="2" xr16:uid="{8500D783-721B-764E-BD1B-206BDCEEC86D}" keepAlive="1" name="Query - google_ads" description="Connection to the 'google_ads' query in the workbook." type="5" refreshedVersion="8" background="1" saveData="1">
    <dbPr connection="Provider=Microsoft.Mashup.OleDb.1;Data Source=$Workbook$;Location=google_ads;Extended Properties=&quot;&quot;" command="SELECT * FROM [google_ads]"/>
  </connection>
  <connection id="3" xr16:uid="{2289B34A-24F3-EA47-86F9-B25AA5AC5722}" keepAlive="1" name="Query - instagram_ads" description="Connection to the 'instagram_ads' query in the workbook." type="5" refreshedVersion="8" background="1" saveData="1">
    <dbPr connection="Provider=Microsoft.Mashup.OleDb.1;Data Source=$Workbook$;Location=instagram_ads;Extended Properties=&quot;&quot;" command="SELECT * FROM [instagram_ads]"/>
  </connection>
  <connection id="4" xr16:uid="{2F1100E9-2AC9-B54E-B074-EABD576B2E62}" keepAlive="1" name="Query - instagram_ads (2)" description="Connection to the 'instagram_ads (2)' query in the workbook." type="5" refreshedVersion="8" background="1" saveData="1">
    <dbPr connection="Provider=Microsoft.Mashup.OleDb.1;Data Source=$Workbook$;Location=&quot;instagram_ads (2)&quot;;Extended Properties=&quot;&quot;" command="SELECT * FROM [instagram_ads (2)]"/>
  </connection>
  <connection id="5" xr16:uid="{D9859709-CC3D-C640-936A-5D306DD85181}" keepAlive="1" name="Query - tiktok_ads" description="Connection to the 'tiktok_ads' query in the workbook." type="5" refreshedVersion="0" background="1">
    <dbPr connection="Provider=Microsoft.Mashup.OleDb.1;Data Source=$Workbook$;Location=tiktok_ads;Extended Properties=&quot;&quot;" command="SELECT * FROM [tiktok_ads]"/>
  </connection>
  <connection id="6" xr16:uid="{6634ACAC-25C3-454C-8F06-004EDBDB8A60}" keepAlive="1" name="Query - tiktok_ads (2)" description="Connection to the 'tiktok_ads (2)' query in the workbook." type="5" refreshedVersion="8" background="1" saveData="1">
    <dbPr connection="Provider=Microsoft.Mashup.OleDb.1;Data Source=$Workbook$;Location=&quot;tiktok_ads (2)&quot;;Extended Properties=&quot;&quot;" command="SELECT * FROM [tiktok_ads (2)]"/>
  </connection>
  <connection id="7" xr16:uid="{AF2A2D96-C09F-ED45-ABB0-686104FD3014}" keepAlive="1" name="Query - tiktok_ads (3)" description="Connection to the 'tiktok_ads (3)' query in the workbook." type="5" refreshedVersion="8" background="1" saveData="1">
    <dbPr connection="Provider=Microsoft.Mashup.OleDb.1;Data Source=$Workbook$;Location=&quot;tiktok_ads (3)&quot;;Extended Properties=&quot;&quot;" command="SELECT * FROM [tiktok_ads (3)]"/>
  </connection>
</connections>
</file>

<file path=xl/sharedStrings.xml><?xml version="1.0" encoding="utf-8"?>
<sst xmlns="http://schemas.openxmlformats.org/spreadsheetml/2006/main" count="23156" uniqueCount="206">
  <si>
    <t>date</t>
  </si>
  <si>
    <t>campaign_name</t>
  </si>
  <si>
    <t>ad_group</t>
  </si>
  <si>
    <t>ad_format</t>
  </si>
  <si>
    <t>impressions</t>
  </si>
  <si>
    <t>clicks</t>
  </si>
  <si>
    <t>spend_usd</t>
  </si>
  <si>
    <t>video_views</t>
  </si>
  <si>
    <t>conversions</t>
  </si>
  <si>
    <t>platform</t>
  </si>
  <si>
    <t>BellaCucina_EndlessItalianNights</t>
  </si>
  <si>
    <t>Foodies 18-24</t>
  </si>
  <si>
    <t>Video</t>
  </si>
  <si>
    <t>TikTok</t>
  </si>
  <si>
    <t>Families 25-34</t>
  </si>
  <si>
    <t>BellaCucina_Retargeting</t>
  </si>
  <si>
    <t>Website Visitors</t>
  </si>
  <si>
    <t>App Users</t>
  </si>
  <si>
    <t>BellaCucina_NewYearNewPasta</t>
  </si>
  <si>
    <t>BellaCucina_WeekendSpecial</t>
  </si>
  <si>
    <t>BellaCucina_ValentinesDate</t>
  </si>
  <si>
    <t>BellaCucina_SpringFeast</t>
  </si>
  <si>
    <t>reach</t>
  </si>
  <si>
    <t>Foodies 18-34</t>
  </si>
  <si>
    <t>Reels</t>
  </si>
  <si>
    <t>Instagram</t>
  </si>
  <si>
    <t>Families 25-44</t>
  </si>
  <si>
    <t>Profile Visitors</t>
  </si>
  <si>
    <t>Post Engagers</t>
  </si>
  <si>
    <t>Stories</t>
  </si>
  <si>
    <t>Feed</t>
  </si>
  <si>
    <t>Couples 18-34</t>
  </si>
  <si>
    <t>keyword</t>
  </si>
  <si>
    <t>match_type</t>
  </si>
  <si>
    <t>quality_score</t>
  </si>
  <si>
    <t>BellaCucina_Search_Brand</t>
  </si>
  <si>
    <t>Core Brand</t>
  </si>
  <si>
    <t>bella cucina restaurant</t>
  </si>
  <si>
    <t>Exact</t>
  </si>
  <si>
    <t>9</t>
  </si>
  <si>
    <t>Google Ads</t>
  </si>
  <si>
    <t>bella cucina near me</t>
  </si>
  <si>
    <t>Phrase</t>
  </si>
  <si>
    <t>8</t>
  </si>
  <si>
    <t>BellaCucina_Search_NonBrand</t>
  </si>
  <si>
    <t>Category</t>
  </si>
  <si>
    <t>italian food near me</t>
  </si>
  <si>
    <t>7</t>
  </si>
  <si>
    <t>Competitor</t>
  </si>
  <si>
    <t>competitor italian chain</t>
  </si>
  <si>
    <t>Broad</t>
  </si>
  <si>
    <t>4</t>
  </si>
  <si>
    <t>BellaCucina_Display_Retargeting</t>
  </si>
  <si>
    <t>Cart Abandoners</t>
  </si>
  <si>
    <t>N/A</t>
  </si>
  <si>
    <t>Homepage Visitors</t>
  </si>
  <si>
    <t>BellaCucina_Search_Weekend</t>
  </si>
  <si>
    <t>Weekend Dining</t>
  </si>
  <si>
    <t>weekend italian dinner</t>
  </si>
  <si>
    <t>endless pasta deal</t>
  </si>
  <si>
    <t>BellaCucina_NewYearNewPasta_Search</t>
  </si>
  <si>
    <t>New Year Dining</t>
  </si>
  <si>
    <t>new year dinner restaurant</t>
  </si>
  <si>
    <t>BellaCucina_ValentinesDate_Search</t>
  </si>
  <si>
    <t>Valentine Dining</t>
  </si>
  <si>
    <t>valentines day dinner</t>
  </si>
  <si>
    <t>romantic italian dinner</t>
  </si>
  <si>
    <t>BellaCucina_SpringFeast_Search</t>
  </si>
  <si>
    <t>Spring Dining</t>
  </si>
  <si>
    <t>spring dinner specials</t>
  </si>
  <si>
    <t>best spring pasta deal</t>
  </si>
  <si>
    <t>Single Image</t>
  </si>
  <si>
    <t>Facebook</t>
  </si>
  <si>
    <t>Lookalike 1% Diners</t>
  </si>
  <si>
    <t>Carousel</t>
  </si>
  <si>
    <t>Dynamic</t>
  </si>
  <si>
    <t>Menu Viewers</t>
  </si>
  <si>
    <t>Couples 25-44</t>
  </si>
  <si>
    <t>Foodies 25-44</t>
  </si>
  <si>
    <t>Grand Total</t>
  </si>
  <si>
    <t>Sum of clicks</t>
  </si>
  <si>
    <t>Sum of impressions</t>
  </si>
  <si>
    <t>Sum of spend_usd</t>
  </si>
  <si>
    <t>Platform</t>
  </si>
  <si>
    <t>Sum of conversions</t>
  </si>
  <si>
    <t>CTR %</t>
  </si>
  <si>
    <t>CPC</t>
  </si>
  <si>
    <t>Conv Rate</t>
  </si>
  <si>
    <t>CPA</t>
  </si>
  <si>
    <t>Conv Rate %</t>
  </si>
  <si>
    <t>CPM</t>
  </si>
  <si>
    <t>Campaign Name</t>
  </si>
  <si>
    <t>Jan</t>
  </si>
  <si>
    <t>Feb</t>
  </si>
  <si>
    <t>Mar</t>
  </si>
  <si>
    <t>CTR%</t>
  </si>
  <si>
    <t>Conv Rate%</t>
  </si>
  <si>
    <t>Months</t>
  </si>
  <si>
    <t>Stage</t>
  </si>
  <si>
    <t>Impressions</t>
  </si>
  <si>
    <t>Clicks</t>
  </si>
  <si>
    <t>Conversions</t>
  </si>
  <si>
    <t>Table 1 — Facebook Funnel:</t>
  </si>
  <si>
    <t>Value</t>
  </si>
  <si>
    <t>Table 2 — Google Ads Funnel:</t>
  </si>
  <si>
    <t>Table 3 — Instagram Funnel:</t>
  </si>
  <si>
    <t>Table 4 — TikTok Funnel:</t>
  </si>
  <si>
    <t>Cohort</t>
  </si>
  <si>
    <t>Spend</t>
  </si>
  <si>
    <t>NewYearNewPasta</t>
  </si>
  <si>
    <t>ValentinesDate</t>
  </si>
  <si>
    <t>SpringFeast</t>
  </si>
  <si>
    <t>Total Conv</t>
  </si>
  <si>
    <t>January Week 1</t>
  </si>
  <si>
    <t>January Week 2</t>
  </si>
  <si>
    <t>January Week 3</t>
  </si>
  <si>
    <t>January Week 4</t>
  </si>
  <si>
    <t>January Week 5</t>
  </si>
  <si>
    <t>February Week 1</t>
  </si>
  <si>
    <t>February Week 2</t>
  </si>
  <si>
    <t>February Week 3</t>
  </si>
  <si>
    <t>February Week 4</t>
  </si>
  <si>
    <t>March Week 1</t>
  </si>
  <si>
    <t>March Week 2</t>
  </si>
  <si>
    <t>March Week 3</t>
  </si>
  <si>
    <t>March Week 4</t>
  </si>
  <si>
    <t>March Week 5</t>
  </si>
  <si>
    <t>WEEKLY TREND ANALYSIS — Q1 2026</t>
  </si>
  <si>
    <t>COHORT COMPARISON — SEASONAL CAMPAIGNS Q1 2026</t>
  </si>
  <si>
    <t>Month</t>
  </si>
  <si>
    <t>January</t>
  </si>
  <si>
    <t>February</t>
  </si>
  <si>
    <t>March</t>
  </si>
  <si>
    <t>Week</t>
  </si>
  <si>
    <t>Jan W1</t>
  </si>
  <si>
    <t>Jan W2</t>
  </si>
  <si>
    <t>Jan W3</t>
  </si>
  <si>
    <t>Jan W4</t>
  </si>
  <si>
    <t>Jan W5</t>
  </si>
  <si>
    <t>Feb W1</t>
  </si>
  <si>
    <t>Feb W2</t>
  </si>
  <si>
    <t>Feb W3</t>
  </si>
  <si>
    <t>Feb W4</t>
  </si>
  <si>
    <t>Mar W1</t>
  </si>
  <si>
    <t>Mar W2</t>
  </si>
  <si>
    <t>Mar W3</t>
  </si>
  <si>
    <t>Mar W4</t>
  </si>
  <si>
    <t>Mar W5</t>
  </si>
  <si>
    <t>PLATFORM KPI LOOKUP</t>
  </si>
  <si>
    <t>Total Spend</t>
  </si>
  <si>
    <t>Total Impressions</t>
  </si>
  <si>
    <t>Total Clicks</t>
  </si>
  <si>
    <t>Total Conversions</t>
  </si>
  <si>
    <t>Rank</t>
  </si>
  <si>
    <t>Best CPA</t>
  </si>
  <si>
    <t>Best CTR%</t>
  </si>
  <si>
    <t>Most Conversions</t>
  </si>
  <si>
    <t>Cheapest CPM</t>
  </si>
  <si>
    <t>1st</t>
  </si>
  <si>
    <t>2nd</t>
  </si>
  <si>
    <t>3rd</t>
  </si>
  <si>
    <t>4th</t>
  </si>
  <si>
    <t>Select Platform from Dropdown Below</t>
  </si>
  <si>
    <t>Platform:</t>
  </si>
  <si>
    <t xml:space="preserve">   PLATFORM RANKINGS — Q1 2026</t>
  </si>
  <si>
    <t>BELLA CUCINA — Q1 2026 PAID MEDIA PERFORMANCE REPORT</t>
  </si>
  <si>
    <t>TOTAL Q1 SPEND</t>
  </si>
  <si>
    <t>TOTAL CONVERSIONS</t>
  </si>
  <si>
    <t>LOWEST CPA</t>
  </si>
  <si>
    <t>BEST PLATFORM</t>
  </si>
  <si>
    <t>$1,440,829</t>
  </si>
  <si>
    <t>369,900</t>
  </si>
  <si>
    <t>$3.08
Google Ads</t>
  </si>
  <si>
    <t>Google Ads
Conv Rate 7.46%</t>
  </si>
  <si>
    <t>PLATFORM PERFORMANCE</t>
  </si>
  <si>
    <t>MONTHLY TRENDS</t>
  </si>
  <si>
    <t>CAMPAIGN EFFICIENCY</t>
  </si>
  <si>
    <t>FUNNEL SUMMARY</t>
  </si>
  <si>
    <t>PLATFORM FUNNEL SUMMARY</t>
  </si>
  <si>
    <t>Conv</t>
  </si>
  <si>
    <t>46.2M</t>
  </si>
  <si>
    <t>1.6M</t>
  </si>
  <si>
    <t>70K</t>
  </si>
  <si>
    <t>3.51%</t>
  </si>
  <si>
    <t>4.32%</t>
  </si>
  <si>
    <t>49.4M</t>
  </si>
  <si>
    <t>1.7M</t>
  </si>
  <si>
    <t>123K</t>
  </si>
  <si>
    <t>3.34%</t>
  </si>
  <si>
    <t>7.46%</t>
  </si>
  <si>
    <t>55.9M</t>
  </si>
  <si>
    <t>2.2M</t>
  </si>
  <si>
    <t>103K</t>
  </si>
  <si>
    <t>4.00%</t>
  </si>
  <si>
    <t>4.63%</t>
  </si>
  <si>
    <t>58.1M</t>
  </si>
  <si>
    <t>2.1M</t>
  </si>
  <si>
    <t>73K</t>
  </si>
  <si>
    <t>3.64%</t>
  </si>
  <si>
    <t>3.46%</t>
  </si>
  <si>
    <t>KEY RECOMMENDATIONS — Q2 2026</t>
  </si>
  <si>
    <t>Increase Google Ads + Instagram budget by 20% — lowest CPA and best conversion rates.</t>
  </si>
  <si>
    <t>Reduce Facebook budget by 15% — highest CPA ($4.85) and lowest conversion rate.</t>
  </si>
  <si>
    <t>Repeat SpringFeast campaign — most efficient seasonal campaign at $4.03 CPA.</t>
  </si>
  <si>
    <t>March was strongest month — CPA improved $3.93 → $3.79 as campaigns matured.</t>
  </si>
  <si>
    <t>Maintain TikTok spend for awareness only — cheapest reach but weakest conversion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</si>
</sst>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164" formatCode="[$$-409]#,##0.00"/>
    <numFmt numFmtId="165" formatCode="[$$-409]#,##0"/>
    <numFmt numFmtId="166" formatCode="[$$-409]#,##0.000"/>
    <numFmt numFmtId="167" formatCode="0.0%"/>
    <numFmt numFmtId="168" formatCode="[$$-409]#,##0.0000"/>
    <numFmt numFmtId="169" formatCode="0.000%"/>
    <numFmt numFmtId="170" formatCode="\$#,##0.00"/>
    <numFmt numFmtId="171" formatCode="\$#,##0"/>
    <numFmt numFmtId="187" formatCode="\$#,##0.000"/>
  </numFmts>
  <fonts count="2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3"/>
      <color rgb="FFFFFFFF"/>
      <name val="Arial"/>
      <family val="2"/>
    </font>
    <font>
      <i/>
      <sz val="9"/>
      <color rgb="FFFFFFFF"/>
      <name val="Arial"/>
      <family val="2"/>
    </font>
    <font>
      <b/>
      <sz val="10"/>
      <color rgb="FF1A5C2A"/>
      <name val="Arial"/>
      <family val="2"/>
    </font>
    <font>
      <b/>
      <sz val="11"/>
      <color rgb="FF1A5C2A"/>
      <name val="Arial"/>
      <family val="2"/>
    </font>
    <font>
      <b/>
      <sz val="12"/>
      <color rgb="FF1A5C2A"/>
      <name val="Arial"/>
      <family val="2"/>
    </font>
    <font>
      <b/>
      <sz val="11"/>
      <color rgb="FF1A3C2A"/>
      <name val="Arial"/>
      <family val="2"/>
    </font>
    <font>
      <b/>
      <sz val="10"/>
      <color rgb="FF1A3C2A"/>
      <name val="Arial"/>
      <family val="2"/>
    </font>
    <font>
      <b/>
      <sz val="16"/>
      <color rgb="FFFFFFFF"/>
      <name val="Arial"/>
      <family val="2"/>
    </font>
    <font>
      <i/>
      <sz val="10"/>
      <color rgb="FFFFFFFF"/>
      <name val="Arial"/>
      <family val="2"/>
    </font>
    <font>
      <b/>
      <sz val="18"/>
      <color rgb="FF1A5C2A"/>
      <name val="Arial"/>
      <family val="2"/>
    </font>
    <font>
      <b/>
      <sz val="11"/>
      <color rgb="FFFFFFFF"/>
      <name val="Arial"/>
      <family val="2"/>
    </font>
    <font>
      <i/>
      <sz val="10"/>
      <color rgb="FF2D7A3E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C1F0C8"/>
        <bgColor rgb="FFC1F0C8"/>
      </patternFill>
    </fill>
    <fill>
      <patternFill patternType="solid">
        <fgColor rgb="FFE8F5E9"/>
        <bgColor rgb="FFE8F5E9"/>
      </patternFill>
    </fill>
    <fill>
      <patternFill patternType="solid">
        <fgColor rgb="FFE3F2FD"/>
        <bgColor rgb="FFE3F2FD"/>
      </patternFill>
    </fill>
    <fill>
      <patternFill patternType="solid">
        <fgColor rgb="FFFFF8E1"/>
        <bgColor rgb="FFFFF8E1"/>
      </patternFill>
    </fill>
    <fill>
      <patternFill patternType="solid">
        <fgColor rgb="FF92D050"/>
        <bgColor rgb="FF1A5C2A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rgb="FF2D7A3E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1A5C2A"/>
      </patternFill>
    </fill>
    <fill>
      <patternFill patternType="solid">
        <fgColor rgb="FF1A5C2A"/>
        <bgColor rgb="FF1A5C2A"/>
      </patternFill>
    </fill>
    <fill>
      <patternFill patternType="solid">
        <fgColor rgb="FF2D7A3E"/>
        <bgColor rgb="FF2D7A3E"/>
      </patternFill>
    </fill>
    <fill>
      <patternFill patternType="solid">
        <fgColor rgb="FFF5F5F5"/>
        <bgColor rgb="FFF5F5F5"/>
      </patternFill>
    </fill>
    <fill>
      <patternFill patternType="solid">
        <fgColor rgb="FFFFFDE7"/>
        <bgColor rgb="FFFFFDE7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4A9E60"/>
        <bgColor rgb="FF4A9E60"/>
      </patternFill>
    </fill>
    <fill>
      <patternFill patternType="solid">
        <fgColor rgb="FFA8D5B5"/>
        <bgColor rgb="FFA8D5B5"/>
      </patternFill>
    </fill>
    <fill>
      <patternFill patternType="solid">
        <fgColor rgb="FF92D050"/>
        <bgColor rgb="FF2D7A3E"/>
      </patternFill>
    </fill>
    <fill>
      <patternFill patternType="solid">
        <fgColor rgb="FF92D050"/>
        <bgColor rgb="FFF5FFF5"/>
      </patternFill>
    </fill>
  </fills>
  <borders count="3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theme="6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6" tint="0.39997558519241921"/>
      </top>
      <bottom/>
      <diagonal/>
    </border>
    <border>
      <left/>
      <right style="thin">
        <color theme="4" tint="0.39997558519241921"/>
      </right>
      <top style="thin">
        <color theme="6" tint="0.39997558519241921"/>
      </top>
      <bottom/>
      <diagonal/>
    </border>
    <border>
      <left/>
      <right/>
      <top/>
      <bottom style="thin">
        <color rgb="FF47D35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1A5C2A"/>
      </left>
      <right style="thin">
        <color rgb="FFCCCCCC"/>
      </right>
      <top style="medium">
        <color rgb="FF1A5C2A"/>
      </top>
      <bottom style="thin">
        <color rgb="FFCCCCCC"/>
      </bottom>
      <diagonal/>
    </border>
    <border>
      <left style="thin">
        <color rgb="FFCCCCCC"/>
      </left>
      <right style="medium">
        <color rgb="FF1A5C2A"/>
      </right>
      <top style="medium">
        <color rgb="FF1A5C2A"/>
      </top>
      <bottom style="thin">
        <color rgb="FFCCCCCC"/>
      </bottom>
      <diagonal/>
    </border>
    <border>
      <left style="medium">
        <color rgb="FF1A5C2A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rgb="FF1A5C2A"/>
      </right>
      <top style="thin">
        <color rgb="FFCCCCCC"/>
      </top>
      <bottom style="thin">
        <color rgb="FFCCCCCC"/>
      </bottom>
      <diagonal/>
    </border>
    <border>
      <left style="medium">
        <color rgb="FF1A5C2A"/>
      </left>
      <right style="thin">
        <color rgb="FFCCCCCC"/>
      </right>
      <top style="thin">
        <color rgb="FFCCCCCC"/>
      </top>
      <bottom style="medium">
        <color rgb="FF1A5C2A"/>
      </bottom>
      <diagonal/>
    </border>
    <border>
      <left style="thin">
        <color rgb="FFCCCCCC"/>
      </left>
      <right style="medium">
        <color rgb="FF1A5C2A"/>
      </right>
      <top style="thin">
        <color rgb="FFCCCCCC"/>
      </top>
      <bottom style="medium">
        <color rgb="FF1A5C2A"/>
      </bottom>
      <diagonal/>
    </border>
    <border>
      <left style="thin">
        <color rgb="FFCCCCCC"/>
      </left>
      <right style="thin">
        <color rgb="FFCCCCCC"/>
      </right>
      <top style="medium">
        <color rgb="FF1A5C2A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A5C2A"/>
      </bottom>
      <diagonal/>
    </border>
    <border>
      <left style="medium">
        <color rgb="FF1A5C2A"/>
      </left>
      <right/>
      <top style="medium">
        <color rgb="FF1A5C2A"/>
      </top>
      <bottom style="thin">
        <color rgb="FFCCCCCC"/>
      </bottom>
      <diagonal/>
    </border>
    <border>
      <left/>
      <right/>
      <top style="medium">
        <color rgb="FF1A5C2A"/>
      </top>
      <bottom style="thin">
        <color rgb="FFCCCCCC"/>
      </bottom>
      <diagonal/>
    </border>
    <border>
      <left/>
      <right style="medium">
        <color rgb="FF1A5C2A"/>
      </right>
      <top style="medium">
        <color rgb="FF1A5C2A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medium">
        <color rgb="FF1A5C2A"/>
      </bottom>
      <diagonal/>
    </border>
    <border>
      <left style="medium">
        <color rgb="FF1A5C2A"/>
      </left>
      <right style="thin">
        <color rgb="FFCCCCCC"/>
      </right>
      <top style="medium">
        <color rgb="FF1A5C2A"/>
      </top>
      <bottom/>
      <diagonal/>
    </border>
    <border>
      <left style="thin">
        <color rgb="FFCCCCCC"/>
      </left>
      <right style="thin">
        <color rgb="FFCCCCCC"/>
      </right>
      <top style="medium">
        <color rgb="FF1A5C2A"/>
      </top>
      <bottom/>
      <diagonal/>
    </border>
    <border>
      <left style="thin">
        <color rgb="FFCCCCCC"/>
      </left>
      <right style="medium">
        <color rgb="FF1A5C2A"/>
      </right>
      <top style="medium">
        <color rgb="FF1A5C2A"/>
      </top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3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10" fontId="0" fillId="0" borderId="0" xfId="1" applyNumberFormat="1" applyFont="1"/>
    <xf numFmtId="166" fontId="0" fillId="0" borderId="0" xfId="0" applyNumberFormat="1"/>
    <xf numFmtId="0" fontId="3" fillId="3" borderId="3" xfId="0" applyFont="1" applyFill="1" applyBorder="1"/>
    <xf numFmtId="0" fontId="3" fillId="3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0" fillId="2" borderId="7" xfId="0" applyFill="1" applyBorder="1" applyAlignment="1">
      <alignment horizontal="left"/>
    </xf>
    <xf numFmtId="165" fontId="0" fillId="2" borderId="8" xfId="0" applyNumberFormat="1" applyFill="1" applyBorder="1"/>
    <xf numFmtId="0" fontId="0" fillId="0" borderId="5" xfId="0" applyBorder="1" applyAlignment="1">
      <alignment horizontal="left"/>
    </xf>
    <xf numFmtId="165" fontId="0" fillId="0" borderId="6" xfId="0" applyNumberFormat="1" applyBorder="1"/>
    <xf numFmtId="0" fontId="0" fillId="2" borderId="5" xfId="0" applyFill="1" applyBorder="1" applyAlignment="1">
      <alignment horizontal="left"/>
    </xf>
    <xf numFmtId="165" fontId="0" fillId="2" borderId="6" xfId="0" applyNumberFormat="1" applyFill="1" applyBorder="1"/>
    <xf numFmtId="0" fontId="0" fillId="0" borderId="1" xfId="0" applyBorder="1" applyAlignment="1">
      <alignment horizontal="left"/>
    </xf>
    <xf numFmtId="165" fontId="0" fillId="0" borderId="2" xfId="0" applyNumberFormat="1" applyBorder="1"/>
    <xf numFmtId="0" fontId="4" fillId="4" borderId="9" xfId="0" applyFont="1" applyFill="1" applyBorder="1"/>
    <xf numFmtId="0" fontId="5" fillId="0" borderId="0" xfId="0" applyFont="1" applyAlignment="1">
      <alignment horizontal="left"/>
    </xf>
    <xf numFmtId="165" fontId="0" fillId="0" borderId="0" xfId="2" applyNumberFormat="1" applyFont="1"/>
    <xf numFmtId="167" fontId="0" fillId="0" borderId="0" xfId="1" applyNumberFormat="1" applyFont="1"/>
    <xf numFmtId="0" fontId="3" fillId="0" borderId="3" xfId="0" applyFont="1" applyBorder="1"/>
    <xf numFmtId="10" fontId="3" fillId="0" borderId="3" xfId="1" applyNumberFormat="1" applyFont="1" applyBorder="1"/>
    <xf numFmtId="166" fontId="3" fillId="0" borderId="3" xfId="0" applyNumberFormat="1" applyFont="1" applyBorder="1"/>
    <xf numFmtId="168" fontId="3" fillId="0" borderId="3" xfId="0" applyNumberFormat="1" applyFont="1" applyBorder="1"/>
    <xf numFmtId="169" fontId="3" fillId="0" borderId="3" xfId="1" applyNumberFormat="1" applyFont="1" applyBorder="1"/>
    <xf numFmtId="0" fontId="3" fillId="0" borderId="3" xfId="0" applyFont="1" applyBorder="1" applyAlignment="1">
      <alignment horizontal="left"/>
    </xf>
    <xf numFmtId="0" fontId="3" fillId="0" borderId="0" xfId="0" applyFont="1"/>
    <xf numFmtId="10" fontId="0" fillId="0" borderId="0" xfId="0" applyNumberFormat="1"/>
    <xf numFmtId="9" fontId="0" fillId="0" borderId="0" xfId="0" applyNumberFormat="1"/>
    <xf numFmtId="0" fontId="6" fillId="5" borderId="0" xfId="0" applyFont="1" applyFill="1" applyAlignment="1">
      <alignment horizontal="center" vertical="center"/>
    </xf>
    <xf numFmtId="3" fontId="6" fillId="5" borderId="0" xfId="0" applyNumberFormat="1" applyFont="1" applyFill="1" applyAlignment="1">
      <alignment horizontal="center" vertical="center"/>
    </xf>
    <xf numFmtId="10" fontId="6" fillId="5" borderId="0" xfId="0" applyNumberFormat="1" applyFont="1" applyFill="1" applyAlignment="1">
      <alignment horizontal="center" vertical="center"/>
    </xf>
    <xf numFmtId="170" fontId="6" fillId="5" borderId="0" xfId="0" applyNumberFormat="1" applyFont="1" applyFill="1" applyAlignment="1">
      <alignment horizontal="center" vertical="center"/>
    </xf>
    <xf numFmtId="171" fontId="6" fillId="5" borderId="0" xfId="0" applyNumberFormat="1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3" fontId="6" fillId="6" borderId="0" xfId="0" applyNumberFormat="1" applyFont="1" applyFill="1" applyAlignment="1">
      <alignment horizontal="center" vertical="center"/>
    </xf>
    <xf numFmtId="10" fontId="6" fillId="6" borderId="0" xfId="0" applyNumberFormat="1" applyFont="1" applyFill="1" applyAlignment="1">
      <alignment horizontal="center" vertical="center"/>
    </xf>
    <xf numFmtId="170" fontId="6" fillId="6" borderId="0" xfId="0" applyNumberFormat="1" applyFont="1" applyFill="1" applyAlignment="1">
      <alignment horizontal="center" vertical="center"/>
    </xf>
    <xf numFmtId="171" fontId="6" fillId="6" borderId="0" xfId="0" applyNumberFormat="1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3" fontId="6" fillId="7" borderId="0" xfId="0" applyNumberFormat="1" applyFont="1" applyFill="1" applyAlignment="1">
      <alignment horizontal="center" vertical="center"/>
    </xf>
    <xf numFmtId="10" fontId="6" fillId="7" borderId="0" xfId="0" applyNumberFormat="1" applyFont="1" applyFill="1" applyAlignment="1">
      <alignment horizontal="center" vertical="center"/>
    </xf>
    <xf numFmtId="170" fontId="6" fillId="7" borderId="0" xfId="0" applyNumberFormat="1" applyFont="1" applyFill="1" applyAlignment="1">
      <alignment horizontal="center" vertical="center"/>
    </xf>
    <xf numFmtId="171" fontId="6" fillId="7" borderId="0" xfId="0" applyNumberFormat="1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0" fillId="9" borderId="0" xfId="0" applyFill="1"/>
    <xf numFmtId="0" fontId="7" fillId="12" borderId="0" xfId="0" applyFont="1" applyFill="1" applyAlignment="1">
      <alignment horizontal="center" vertical="center"/>
    </xf>
    <xf numFmtId="0" fontId="0" fillId="11" borderId="0" xfId="0" applyFill="1"/>
    <xf numFmtId="0" fontId="0" fillId="0" borderId="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8" xfId="0" applyBorder="1"/>
    <xf numFmtId="0" fontId="0" fillId="0" borderId="20" xfId="0" applyBorder="1"/>
    <xf numFmtId="0" fontId="11" fillId="5" borderId="19" xfId="0" applyFont="1" applyFill="1" applyBorder="1" applyAlignment="1">
      <alignment horizontal="center" vertical="center"/>
    </xf>
    <xf numFmtId="0" fontId="12" fillId="15" borderId="19" xfId="0" applyFont="1" applyFill="1" applyBorder="1" applyAlignment="1">
      <alignment horizontal="left" vertical="center"/>
    </xf>
    <xf numFmtId="0" fontId="13" fillId="16" borderId="20" xfId="0" applyFont="1" applyFill="1" applyBorder="1" applyAlignment="1">
      <alignment horizontal="center" vertical="center"/>
    </xf>
    <xf numFmtId="171" fontId="14" fillId="17" borderId="20" xfId="0" applyNumberFormat="1" applyFont="1" applyFill="1" applyBorder="1" applyAlignment="1">
      <alignment horizontal="right" vertical="center"/>
    </xf>
    <xf numFmtId="3" fontId="14" fillId="18" borderId="20" xfId="0" applyNumberFormat="1" applyFont="1" applyFill="1" applyBorder="1" applyAlignment="1">
      <alignment horizontal="right" vertical="center"/>
    </xf>
    <xf numFmtId="3" fontId="14" fillId="17" borderId="20" xfId="0" applyNumberFormat="1" applyFont="1" applyFill="1" applyBorder="1" applyAlignment="1">
      <alignment horizontal="right" vertical="center"/>
    </xf>
    <xf numFmtId="10" fontId="14" fillId="17" borderId="20" xfId="0" applyNumberFormat="1" applyFont="1" applyFill="1" applyBorder="1" applyAlignment="1">
      <alignment horizontal="right" vertical="center"/>
    </xf>
    <xf numFmtId="187" fontId="14" fillId="18" borderId="20" xfId="0" applyNumberFormat="1" applyFont="1" applyFill="1" applyBorder="1" applyAlignment="1">
      <alignment horizontal="right" vertical="center"/>
    </xf>
    <xf numFmtId="170" fontId="14" fillId="17" borderId="20" xfId="0" applyNumberFormat="1" applyFont="1" applyFill="1" applyBorder="1" applyAlignment="1">
      <alignment horizontal="right" vertical="center"/>
    </xf>
    <xf numFmtId="10" fontId="14" fillId="18" borderId="20" xfId="0" applyNumberFormat="1" applyFont="1" applyFill="1" applyBorder="1" applyAlignment="1">
      <alignment horizontal="right" vertical="center"/>
    </xf>
    <xf numFmtId="170" fontId="14" fillId="17" borderId="22" xfId="0" applyNumberFormat="1" applyFont="1" applyFill="1" applyBorder="1" applyAlignment="1">
      <alignment horizontal="right" vertical="center"/>
    </xf>
    <xf numFmtId="0" fontId="0" fillId="0" borderId="23" xfId="0" applyBorder="1"/>
    <xf numFmtId="0" fontId="0" fillId="0" borderId="24" xfId="0" applyBorder="1"/>
    <xf numFmtId="0" fontId="8" fillId="14" borderId="19" xfId="0" applyFont="1" applyFill="1" applyBorder="1" applyAlignment="1">
      <alignment horizontal="center" vertical="center"/>
    </xf>
    <xf numFmtId="0" fontId="8" fillId="14" borderId="24" xfId="0" applyFont="1" applyFill="1" applyBorder="1" applyAlignment="1">
      <alignment horizontal="center" vertical="center"/>
    </xf>
    <xf numFmtId="0" fontId="8" fillId="14" borderId="20" xfId="0" applyFont="1" applyFill="1" applyBorder="1" applyAlignment="1">
      <alignment horizontal="center" vertical="center"/>
    </xf>
    <xf numFmtId="0" fontId="8" fillId="13" borderId="19" xfId="0" applyFont="1" applyFill="1" applyBorder="1" applyAlignment="1">
      <alignment horizontal="center" vertical="center"/>
    </xf>
    <xf numFmtId="0" fontId="8" fillId="13" borderId="24" xfId="0" applyFont="1" applyFill="1" applyBorder="1" applyAlignment="1">
      <alignment horizontal="center" vertical="center"/>
    </xf>
    <xf numFmtId="0" fontId="8" fillId="13" borderId="20" xfId="0" applyFont="1" applyFill="1" applyBorder="1" applyAlignment="1">
      <alignment horizontal="center" vertical="center"/>
    </xf>
    <xf numFmtId="0" fontId="8" fillId="19" borderId="19" xfId="0" applyFont="1" applyFill="1" applyBorder="1" applyAlignment="1">
      <alignment horizontal="center" vertical="center"/>
    </xf>
    <xf numFmtId="0" fontId="8" fillId="19" borderId="24" xfId="0" applyFont="1" applyFill="1" applyBorder="1" applyAlignment="1">
      <alignment horizontal="center" vertical="center"/>
    </xf>
    <xf numFmtId="0" fontId="8" fillId="19" borderId="20" xfId="0" applyFont="1" applyFill="1" applyBorder="1" applyAlignment="1">
      <alignment horizontal="center" vertical="center"/>
    </xf>
    <xf numFmtId="0" fontId="15" fillId="20" borderId="21" xfId="0" applyFont="1" applyFill="1" applyBorder="1" applyAlignment="1">
      <alignment horizontal="center" vertical="center"/>
    </xf>
    <xf numFmtId="0" fontId="15" fillId="20" borderId="25" xfId="0" applyFont="1" applyFill="1" applyBorder="1" applyAlignment="1">
      <alignment horizontal="center" vertical="center"/>
    </xf>
    <xf numFmtId="0" fontId="15" fillId="20" borderId="22" xfId="0" applyFont="1" applyFill="1" applyBorder="1" applyAlignment="1">
      <alignment horizontal="center" vertical="center"/>
    </xf>
    <xf numFmtId="0" fontId="9" fillId="8" borderId="17" xfId="0" applyFont="1" applyFill="1" applyBorder="1" applyAlignment="1">
      <alignment horizontal="center" vertical="center"/>
    </xf>
    <xf numFmtId="0" fontId="0" fillId="9" borderId="18" xfId="0" applyFill="1" applyBorder="1"/>
    <xf numFmtId="0" fontId="10" fillId="21" borderId="19" xfId="0" applyFont="1" applyFill="1" applyBorder="1" applyAlignment="1">
      <alignment horizontal="center" vertical="center"/>
    </xf>
    <xf numFmtId="0" fontId="0" fillId="9" borderId="20" xfId="0" applyFill="1" applyBorder="1"/>
    <xf numFmtId="0" fontId="8" fillId="8" borderId="19" xfId="0" applyFont="1" applyFill="1" applyBorder="1" applyAlignment="1">
      <alignment horizontal="left" vertical="center"/>
    </xf>
    <xf numFmtId="0" fontId="8" fillId="8" borderId="21" xfId="0" applyFont="1" applyFill="1" applyBorder="1" applyAlignment="1">
      <alignment horizontal="left" vertical="center"/>
    </xf>
    <xf numFmtId="0" fontId="0" fillId="9" borderId="24" xfId="0" applyFill="1" applyBorder="1"/>
    <xf numFmtId="0" fontId="10" fillId="21" borderId="19" xfId="0" applyFont="1" applyFill="1" applyBorder="1" applyAlignment="1">
      <alignment horizontal="center" vertical="center"/>
    </xf>
    <xf numFmtId="0" fontId="0" fillId="9" borderId="24" xfId="0" applyFill="1" applyBorder="1"/>
    <xf numFmtId="0" fontId="0" fillId="9" borderId="20" xfId="0" applyFill="1" applyBorder="1"/>
    <xf numFmtId="0" fontId="9" fillId="8" borderId="26" xfId="0" applyFont="1" applyFill="1" applyBorder="1" applyAlignment="1">
      <alignment horizontal="center" vertical="center"/>
    </xf>
    <xf numFmtId="0" fontId="9" fillId="8" borderId="27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0" fillId="0" borderId="0" xfId="0"/>
    <xf numFmtId="0" fontId="17" fillId="14" borderId="0" xfId="0" applyFont="1" applyFill="1" applyAlignment="1">
      <alignment horizontal="center" vertical="center" wrapText="1"/>
    </xf>
    <xf numFmtId="0" fontId="8" fillId="13" borderId="17" xfId="0" applyFont="1" applyFill="1" applyBorder="1" applyAlignment="1">
      <alignment horizontal="center" vertical="center" wrapText="1"/>
    </xf>
    <xf numFmtId="0" fontId="8" fillId="14" borderId="17" xfId="0" applyFont="1" applyFill="1" applyBorder="1" applyAlignment="1">
      <alignment horizontal="center" vertical="center" wrapText="1"/>
    </xf>
    <xf numFmtId="0" fontId="0" fillId="0" borderId="19" xfId="0" applyBorder="1"/>
    <xf numFmtId="0" fontId="0" fillId="0" borderId="21" xfId="0" applyBorder="1"/>
    <xf numFmtId="0" fontId="0" fillId="0" borderId="25" xfId="0" applyBorder="1"/>
    <xf numFmtId="0" fontId="0" fillId="0" borderId="22" xfId="0" applyBorder="1"/>
    <xf numFmtId="0" fontId="19" fillId="13" borderId="0" xfId="0" applyFont="1" applyFill="1" applyAlignment="1">
      <alignment horizontal="center" vertical="center" wrapText="1"/>
    </xf>
    <xf numFmtId="0" fontId="20" fillId="5" borderId="17" xfId="0" applyFont="1" applyFill="1" applyBorder="1" applyAlignment="1">
      <alignment horizontal="center" vertical="center" wrapText="1"/>
    </xf>
    <xf numFmtId="0" fontId="21" fillId="19" borderId="19" xfId="0" applyFont="1" applyFill="1" applyBorder="1" applyAlignment="1">
      <alignment horizontal="center" vertical="center" wrapText="1"/>
    </xf>
    <xf numFmtId="0" fontId="21" fillId="19" borderId="24" xfId="0" applyFont="1" applyFill="1" applyBorder="1" applyAlignment="1">
      <alignment horizontal="center" vertical="center" wrapText="1"/>
    </xf>
    <xf numFmtId="0" fontId="21" fillId="19" borderId="20" xfId="0" applyFont="1" applyFill="1" applyBorder="1" applyAlignment="1">
      <alignment horizontal="center" vertical="center" wrapText="1"/>
    </xf>
    <xf numFmtId="0" fontId="22" fillId="17" borderId="19" xfId="0" applyFont="1" applyFill="1" applyBorder="1" applyAlignment="1">
      <alignment horizontal="center" vertical="center" wrapText="1"/>
    </xf>
    <xf numFmtId="0" fontId="23" fillId="17" borderId="24" xfId="0" applyFont="1" applyFill="1" applyBorder="1" applyAlignment="1">
      <alignment horizontal="center" vertical="center" wrapText="1"/>
    </xf>
    <xf numFmtId="0" fontId="23" fillId="17" borderId="20" xfId="0" applyFont="1" applyFill="1" applyBorder="1" applyAlignment="1">
      <alignment horizontal="center" vertical="center" wrapText="1"/>
    </xf>
    <xf numFmtId="0" fontId="22" fillId="5" borderId="19" xfId="0" applyFont="1" applyFill="1" applyBorder="1" applyAlignment="1">
      <alignment horizontal="center" vertical="center" wrapText="1"/>
    </xf>
    <xf numFmtId="0" fontId="23" fillId="5" borderId="24" xfId="0" applyFont="1" applyFill="1" applyBorder="1" applyAlignment="1">
      <alignment horizontal="center" vertical="center" wrapText="1"/>
    </xf>
    <xf numFmtId="0" fontId="23" fillId="5" borderId="20" xfId="0" applyFont="1" applyFill="1" applyBorder="1" applyAlignment="1">
      <alignment horizontal="center" vertical="center" wrapText="1"/>
    </xf>
    <xf numFmtId="0" fontId="22" fillId="5" borderId="21" xfId="0" applyFont="1" applyFill="1" applyBorder="1" applyAlignment="1">
      <alignment horizontal="center" vertical="center" wrapText="1"/>
    </xf>
    <xf numFmtId="0" fontId="23" fillId="5" borderId="25" xfId="0" applyFont="1" applyFill="1" applyBorder="1" applyAlignment="1">
      <alignment horizontal="center" vertical="center" wrapText="1"/>
    </xf>
    <xf numFmtId="0" fontId="23" fillId="5" borderId="22" xfId="0" applyFont="1" applyFill="1" applyBorder="1" applyAlignment="1">
      <alignment horizontal="center" vertical="center" wrapText="1"/>
    </xf>
    <xf numFmtId="0" fontId="16" fillId="8" borderId="0" xfId="0" applyFont="1" applyFill="1" applyAlignment="1">
      <alignment horizontal="center" vertical="center" wrapText="1"/>
    </xf>
    <xf numFmtId="0" fontId="18" fillId="22" borderId="19" xfId="0" applyFont="1" applyFill="1" applyBorder="1" applyAlignment="1">
      <alignment horizontal="center" vertical="center" wrapText="1"/>
    </xf>
    <xf numFmtId="0" fontId="0" fillId="9" borderId="19" xfId="0" applyFill="1" applyBorder="1"/>
    <xf numFmtId="0" fontId="0" fillId="9" borderId="21" xfId="0" applyFill="1" applyBorder="1"/>
    <xf numFmtId="0" fontId="0" fillId="9" borderId="25" xfId="0" applyFill="1" applyBorder="1"/>
    <xf numFmtId="0" fontId="0" fillId="9" borderId="22" xfId="0" applyFill="1" applyBorder="1"/>
    <xf numFmtId="0" fontId="0" fillId="0" borderId="29" xfId="0" applyBorder="1"/>
    <xf numFmtId="0" fontId="0" fillId="0" borderId="30" xfId="0" applyBorder="1"/>
    <xf numFmtId="0" fontId="8" fillId="13" borderId="31" xfId="0" applyFont="1" applyFill="1" applyBorder="1" applyAlignment="1">
      <alignment horizontal="center" vertical="center" wrapText="1"/>
    </xf>
    <xf numFmtId="0" fontId="0" fillId="0" borderId="32" xfId="0" applyBorder="1"/>
    <xf numFmtId="0" fontId="0" fillId="0" borderId="33" xfId="0" applyBorder="1"/>
    <xf numFmtId="0" fontId="0" fillId="0" borderId="10" xfId="0" applyBorder="1"/>
    <xf numFmtId="0" fontId="0" fillId="0" borderId="34" xfId="0" applyBorder="1"/>
    <xf numFmtId="0" fontId="0" fillId="0" borderId="11" xfId="0" applyBorder="1"/>
    <xf numFmtId="0" fontId="0" fillId="0" borderId="16" xfId="0" applyBorder="1"/>
  </cellXfs>
  <cellStyles count="3">
    <cellStyle name="Comma [0]" xfId="2" builtinId="6"/>
    <cellStyle name="Normal" xfId="0" builtinId="0"/>
    <cellStyle name="Per cent" xfId="1" builtinId="5"/>
  </cellStyles>
  <dxfs count="3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Spend by Platform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data'!$B$2</c:f>
              <c:strCache>
                <c:ptCount val="1"/>
                <c:pt idx="0">
                  <c:v>Sum of spend_usd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data'!$A$3:$A$6</c:f>
              <c:strCache>
                <c:ptCount val="4"/>
                <c:pt idx="0">
                  <c:v>Facebook</c:v>
                </c:pt>
                <c:pt idx="1">
                  <c:v>Google Ads</c:v>
                </c:pt>
                <c:pt idx="2">
                  <c:v>Instagram</c:v>
                </c:pt>
                <c:pt idx="3">
                  <c:v>TikTok</c:v>
                </c:pt>
              </c:strCache>
            </c:strRef>
          </c:cat>
          <c:val>
            <c:numRef>
              <c:f>'chart data'!$B$3:$B$6</c:f>
              <c:numCache>
                <c:formatCode>[$$-409]#,##0</c:formatCode>
                <c:ptCount val="4"/>
                <c:pt idx="0">
                  <c:v>339218.3800000003</c:v>
                </c:pt>
                <c:pt idx="1">
                  <c:v>379820.9700000002</c:v>
                </c:pt>
                <c:pt idx="2">
                  <c:v>384135.32999999961</c:v>
                </c:pt>
                <c:pt idx="3">
                  <c:v>337654.72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E3-834D-A3C6-7BF56110607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91028624"/>
        <c:axId val="969639375"/>
      </c:barChart>
      <c:catAx>
        <c:axId val="49102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969639375"/>
        <c:crosses val="autoZero"/>
        <c:auto val="1"/>
        <c:lblAlgn val="ctr"/>
        <c:lblOffset val="100"/>
        <c:noMultiLvlLbl val="0"/>
      </c:catAx>
      <c:valAx>
        <c:axId val="96963937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crossAx val="491028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Conversions</a:t>
            </a:r>
            <a:r>
              <a:rPr lang="en-US" b="1" baseline="0">
                <a:solidFill>
                  <a:schemeClr val="tx1"/>
                </a:solidFill>
              </a:rPr>
              <a:t> by Month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data'!$F$59</c:f>
              <c:strCache>
                <c:ptCount val="1"/>
                <c:pt idx="0">
                  <c:v>Sum of conversions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data'!$E$60:$E$62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'chart data'!$F$60:$F$62</c:f>
              <c:numCache>
                <c:formatCode>General</c:formatCode>
                <c:ptCount val="3"/>
                <c:pt idx="0">
                  <c:v>123661</c:v>
                </c:pt>
                <c:pt idx="1">
                  <c:v>116327</c:v>
                </c:pt>
                <c:pt idx="2">
                  <c:v>129912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38-4D40-88CD-B354A4E6ACD2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04434192"/>
        <c:axId val="1572437648"/>
      </c:lineChart>
      <c:catAx>
        <c:axId val="170443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572437648"/>
        <c:crosses val="autoZero"/>
        <c:auto val="1"/>
        <c:lblAlgn val="ctr"/>
        <c:lblOffset val="100"/>
        <c:noMultiLvlLbl val="0"/>
      </c:catAx>
      <c:valAx>
        <c:axId val="157243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704434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tx1"/>
                </a:solidFill>
              </a:rPr>
              <a:t>Cost Metrics by Campaign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data'!$F$40</c:f>
              <c:strCache>
                <c:ptCount val="1"/>
                <c:pt idx="0">
                  <c:v>CPA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'chart data'!$E$41:$E$53</c:f>
              <c:strCache>
                <c:ptCount val="13"/>
                <c:pt idx="0">
                  <c:v>BellaCucina_Display_Retargeting</c:v>
                </c:pt>
                <c:pt idx="1">
                  <c:v>BellaCucina_EndlessItalianNights</c:v>
                </c:pt>
                <c:pt idx="2">
                  <c:v>BellaCucina_NewYearNewPasta</c:v>
                </c:pt>
                <c:pt idx="3">
                  <c:v>BellaCucina_NewYearNewPasta_Search</c:v>
                </c:pt>
                <c:pt idx="4">
                  <c:v>BellaCucina_Retargeting</c:v>
                </c:pt>
                <c:pt idx="5">
                  <c:v>BellaCucina_Search_Brand</c:v>
                </c:pt>
                <c:pt idx="6">
                  <c:v>BellaCucina_Search_NonBrand</c:v>
                </c:pt>
                <c:pt idx="7">
                  <c:v>BellaCucina_Search_Weekend</c:v>
                </c:pt>
                <c:pt idx="8">
                  <c:v>BellaCucina_SpringFeast</c:v>
                </c:pt>
                <c:pt idx="9">
                  <c:v>BellaCucina_SpringFeast_Search</c:v>
                </c:pt>
                <c:pt idx="10">
                  <c:v>BellaCucina_ValentinesDate</c:v>
                </c:pt>
                <c:pt idx="11">
                  <c:v>BellaCucina_ValentinesDate_Search</c:v>
                </c:pt>
                <c:pt idx="12">
                  <c:v>BellaCucina_WeekendSpecial</c:v>
                </c:pt>
              </c:strCache>
            </c:strRef>
          </c:cat>
          <c:val>
            <c:numRef>
              <c:f>'chart data'!$F$41:$F$53</c:f>
              <c:numCache>
                <c:formatCode>[$$-409]#,##0.00</c:formatCode>
                <c:ptCount val="13"/>
                <c:pt idx="0">
                  <c:v>3.0913971764873227</c:v>
                </c:pt>
                <c:pt idx="1">
                  <c:v>4.3173252507109723</c:v>
                </c:pt>
                <c:pt idx="2">
                  <c:v>4.3541745942921102</c:v>
                </c:pt>
                <c:pt idx="3">
                  <c:v>2.8749600709849159</c:v>
                </c:pt>
                <c:pt idx="4">
                  <c:v>4.2535349515038723</c:v>
                </c:pt>
                <c:pt idx="5">
                  <c:v>3.0867033332102918</c:v>
                </c:pt>
                <c:pt idx="6">
                  <c:v>3.1230198341422386</c:v>
                </c:pt>
                <c:pt idx="7">
                  <c:v>3.0409084392801899</c:v>
                </c:pt>
                <c:pt idx="8">
                  <c:v>4.3484222008341336</c:v>
                </c:pt>
                <c:pt idx="9">
                  <c:v>3.0673467834031216</c:v>
                </c:pt>
                <c:pt idx="10">
                  <c:v>4.3517147861802368</c:v>
                </c:pt>
                <c:pt idx="11">
                  <c:v>3.1456823384398667</c:v>
                </c:pt>
                <c:pt idx="12">
                  <c:v>4.306651562386719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8E-EC43-B638-7BF33C29C93C}"/>
            </c:ext>
          </c:extLst>
        </c:ser>
        <c:ser>
          <c:idx val="1"/>
          <c:order val="1"/>
          <c:tx>
            <c:strRef>
              <c:f>'chart data'!$G$40</c:f>
              <c:strCache>
                <c:ptCount val="1"/>
                <c:pt idx="0">
                  <c:v>CPM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'chart data'!$E$41:$E$53</c:f>
              <c:strCache>
                <c:ptCount val="13"/>
                <c:pt idx="0">
                  <c:v>BellaCucina_Display_Retargeting</c:v>
                </c:pt>
                <c:pt idx="1">
                  <c:v>BellaCucina_EndlessItalianNights</c:v>
                </c:pt>
                <c:pt idx="2">
                  <c:v>BellaCucina_NewYearNewPasta</c:v>
                </c:pt>
                <c:pt idx="3">
                  <c:v>BellaCucina_NewYearNewPasta_Search</c:v>
                </c:pt>
                <c:pt idx="4">
                  <c:v>BellaCucina_Retargeting</c:v>
                </c:pt>
                <c:pt idx="5">
                  <c:v>BellaCucina_Search_Brand</c:v>
                </c:pt>
                <c:pt idx="6">
                  <c:v>BellaCucina_Search_NonBrand</c:v>
                </c:pt>
                <c:pt idx="7">
                  <c:v>BellaCucina_Search_Weekend</c:v>
                </c:pt>
                <c:pt idx="8">
                  <c:v>BellaCucina_SpringFeast</c:v>
                </c:pt>
                <c:pt idx="9">
                  <c:v>BellaCucina_SpringFeast_Search</c:v>
                </c:pt>
                <c:pt idx="10">
                  <c:v>BellaCucina_ValentinesDate</c:v>
                </c:pt>
                <c:pt idx="11">
                  <c:v>BellaCucina_ValentinesDate_Search</c:v>
                </c:pt>
                <c:pt idx="12">
                  <c:v>BellaCucina_WeekendSpecial</c:v>
                </c:pt>
              </c:strCache>
            </c:strRef>
          </c:cat>
          <c:val>
            <c:numRef>
              <c:f>'chart data'!$G$41:$G$53</c:f>
              <c:numCache>
                <c:formatCode>[$$-409]#,##0.00</c:formatCode>
                <c:ptCount val="13"/>
                <c:pt idx="0">
                  <c:v>3.0883241177247549</c:v>
                </c:pt>
                <c:pt idx="1">
                  <c:v>6.6049468433491221</c:v>
                </c:pt>
                <c:pt idx="2">
                  <c:v>6.726153520515302</c:v>
                </c:pt>
                <c:pt idx="3">
                  <c:v>12.762978821462546</c:v>
                </c:pt>
                <c:pt idx="4">
                  <c:v>6.6230604745809112</c:v>
                </c:pt>
                <c:pt idx="5">
                  <c:v>13.637840781380806</c:v>
                </c:pt>
                <c:pt idx="6">
                  <c:v>13.966514571001689</c:v>
                </c:pt>
                <c:pt idx="7">
                  <c:v>13.777459933503392</c:v>
                </c:pt>
                <c:pt idx="8">
                  <c:v>6.5419228439120367</c:v>
                </c:pt>
                <c:pt idx="9">
                  <c:v>13.88272102655282</c:v>
                </c:pt>
                <c:pt idx="10">
                  <c:v>6.694828245159707</c:v>
                </c:pt>
                <c:pt idx="11">
                  <c:v>13.926793692520102</c:v>
                </c:pt>
                <c:pt idx="12">
                  <c:v>6.592407399494931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8E-EC43-B638-7BF33C29C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1956672"/>
        <c:axId val="1524360800"/>
      </c:barChart>
      <c:catAx>
        <c:axId val="117195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524360800"/>
        <c:crosses val="autoZero"/>
        <c:auto val="1"/>
        <c:lblAlgn val="ctr"/>
        <c:lblOffset val="100"/>
        <c:noMultiLvlLbl val="0"/>
      </c:catAx>
      <c:valAx>
        <c:axId val="152436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171956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Spend by Platform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data'!$B$2</c:f>
              <c:strCache>
                <c:ptCount val="1"/>
                <c:pt idx="0">
                  <c:v>Sum of spend_usd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data'!$A$3:$A$6</c:f>
              <c:strCache>
                <c:ptCount val="4"/>
                <c:pt idx="0">
                  <c:v>Facebook</c:v>
                </c:pt>
                <c:pt idx="1">
                  <c:v>Google Ads</c:v>
                </c:pt>
                <c:pt idx="2">
                  <c:v>Instagram</c:v>
                </c:pt>
                <c:pt idx="3">
                  <c:v>TikTok</c:v>
                </c:pt>
              </c:strCache>
            </c:strRef>
          </c:cat>
          <c:val>
            <c:numRef>
              <c:f>'chart data'!$B$3:$B$6</c:f>
              <c:numCache>
                <c:formatCode>[$$-409]#,##0</c:formatCode>
                <c:ptCount val="4"/>
                <c:pt idx="0">
                  <c:v>339218.3800000003</c:v>
                </c:pt>
                <c:pt idx="1">
                  <c:v>379820.9700000002</c:v>
                </c:pt>
                <c:pt idx="2">
                  <c:v>384135.32999999961</c:v>
                </c:pt>
                <c:pt idx="3">
                  <c:v>337654.72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6F-F74F-A7B6-B2319F554B3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91028624"/>
        <c:axId val="969639375"/>
      </c:barChart>
      <c:catAx>
        <c:axId val="49102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969639375"/>
        <c:crosses val="autoZero"/>
        <c:auto val="1"/>
        <c:lblAlgn val="ctr"/>
        <c:lblOffset val="100"/>
        <c:noMultiLvlLbl val="0"/>
      </c:catAx>
      <c:valAx>
        <c:axId val="96963937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crossAx val="491028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CTR and Conv Rate by Platform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data'!$E$3</c:f>
              <c:strCache>
                <c:ptCount val="1"/>
                <c:pt idx="0">
                  <c:v>CTR %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data'!$D$4:$D$7</c:f>
              <c:strCache>
                <c:ptCount val="4"/>
                <c:pt idx="0">
                  <c:v>Facebook</c:v>
                </c:pt>
                <c:pt idx="1">
                  <c:v>Google Ads</c:v>
                </c:pt>
                <c:pt idx="2">
                  <c:v>Instagram</c:v>
                </c:pt>
                <c:pt idx="3">
                  <c:v>TikTok</c:v>
                </c:pt>
              </c:strCache>
            </c:strRef>
          </c:cat>
          <c:val>
            <c:numRef>
              <c:f>'chart data'!$E$4:$E$7</c:f>
              <c:numCache>
                <c:formatCode>0.00%</c:formatCode>
                <c:ptCount val="4"/>
                <c:pt idx="0">
                  <c:v>3.5083313923754841E-2</c:v>
                </c:pt>
                <c:pt idx="1">
                  <c:v>3.3437770977885209E-2</c:v>
                </c:pt>
                <c:pt idx="2">
                  <c:v>3.9983393007521115E-2</c:v>
                </c:pt>
                <c:pt idx="3">
                  <c:v>3.6413581044324059E-2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BB-A14C-8163-2B711CBEE3C5}"/>
            </c:ext>
          </c:extLst>
        </c:ser>
        <c:ser>
          <c:idx val="1"/>
          <c:order val="1"/>
          <c:tx>
            <c:strRef>
              <c:f>'chart data'!$F$3</c:f>
              <c:strCache>
                <c:ptCount val="1"/>
                <c:pt idx="0">
                  <c:v>Conv Rate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data'!$D$4:$D$7</c:f>
              <c:strCache>
                <c:ptCount val="4"/>
                <c:pt idx="0">
                  <c:v>Facebook</c:v>
                </c:pt>
                <c:pt idx="1">
                  <c:v>Google Ads</c:v>
                </c:pt>
                <c:pt idx="2">
                  <c:v>Instagram</c:v>
                </c:pt>
                <c:pt idx="3">
                  <c:v>TikTok</c:v>
                </c:pt>
              </c:strCache>
            </c:strRef>
          </c:cat>
          <c:val>
            <c:numRef>
              <c:f>'chart data'!$F$4:$F$7</c:f>
              <c:numCache>
                <c:formatCode>0.00%</c:formatCode>
                <c:ptCount val="4"/>
                <c:pt idx="0">
                  <c:v>4.3206306192303062E-2</c:v>
                </c:pt>
                <c:pt idx="1">
                  <c:v>7.4598643727010597E-2</c:v>
                </c:pt>
                <c:pt idx="2">
                  <c:v>4.6258891080268767E-2</c:v>
                </c:pt>
                <c:pt idx="3">
                  <c:v>3.4585350173952506E-2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BB-A14C-8163-2B711CBEE3C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106872655"/>
        <c:axId val="2122078511"/>
      </c:barChart>
      <c:catAx>
        <c:axId val="210687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2122078511"/>
        <c:crosses val="autoZero"/>
        <c:auto val="1"/>
        <c:lblAlgn val="ctr"/>
        <c:lblOffset val="100"/>
        <c:noMultiLvlLbl val="0"/>
      </c:catAx>
      <c:valAx>
        <c:axId val="212207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2106872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1600" b="1" i="0" u="none" strike="noStrike" baseline="0">
                <a:solidFill>
                  <a:schemeClr val="tx1"/>
                </a:solidFill>
              </a:rPr>
              <a:t>Cost Metrics by Platform </a:t>
            </a:r>
            <a:endParaRPr lang="en-GB" sz="16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data'!$E$11</c:f>
              <c:strCache>
                <c:ptCount val="1"/>
                <c:pt idx="0">
                  <c:v>CPC</c:v>
                </c:pt>
              </c:strCache>
            </c:strRef>
          </c:tx>
          <c:spPr>
            <a:solidFill>
              <a:schemeClr val="accent3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'chart data'!$D$12:$D$15</c:f>
              <c:strCache>
                <c:ptCount val="4"/>
                <c:pt idx="0">
                  <c:v>Facebook</c:v>
                </c:pt>
                <c:pt idx="1">
                  <c:v>Google Ads</c:v>
                </c:pt>
                <c:pt idx="2">
                  <c:v>Instagram</c:v>
                </c:pt>
                <c:pt idx="3">
                  <c:v>TikTok</c:v>
                </c:pt>
              </c:strCache>
            </c:strRef>
          </c:cat>
          <c:val>
            <c:numRef>
              <c:f>'chart data'!$E$12:$E$15</c:f>
              <c:numCache>
                <c:formatCode>[$$-409]#,##0.00</c:formatCode>
                <c:ptCount val="4"/>
                <c:pt idx="0">
                  <c:v>0.20939470800835824</c:v>
                </c:pt>
                <c:pt idx="1">
                  <c:v>0.2297479807428835</c:v>
                </c:pt>
                <c:pt idx="2">
                  <c:v>0.17183211385950589</c:v>
                </c:pt>
                <c:pt idx="3">
                  <c:v>0.15960837997277263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3C-C742-868A-EE3D1D6DEFAF}"/>
            </c:ext>
          </c:extLst>
        </c:ser>
        <c:ser>
          <c:idx val="1"/>
          <c:order val="1"/>
          <c:tx>
            <c:strRef>
              <c:f>'chart data'!$F$11</c:f>
              <c:strCache>
                <c:ptCount val="1"/>
                <c:pt idx="0">
                  <c:v>CPA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data'!$D$12:$D$15</c:f>
              <c:strCache>
                <c:ptCount val="4"/>
                <c:pt idx="0">
                  <c:v>Facebook</c:v>
                </c:pt>
                <c:pt idx="1">
                  <c:v>Google Ads</c:v>
                </c:pt>
                <c:pt idx="2">
                  <c:v>Instagram</c:v>
                </c:pt>
                <c:pt idx="3">
                  <c:v>TikTok</c:v>
                </c:pt>
              </c:strCache>
            </c:strRef>
          </c:cat>
          <c:val>
            <c:numRef>
              <c:f>'chart data'!$F$12:$F$15</c:f>
              <c:numCache>
                <c:formatCode>[$$-409]#,##0.00</c:formatCode>
                <c:ptCount val="4"/>
                <c:pt idx="0">
                  <c:v>4.8463922621939064</c:v>
                </c:pt>
                <c:pt idx="1">
                  <c:v>3.0797876377435616</c:v>
                </c:pt>
                <c:pt idx="2">
                  <c:v>3.7145748600272657</c:v>
                </c:pt>
                <c:pt idx="3">
                  <c:v>4.6149129377033047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3C-C742-868A-EE3D1D6DEFAF}"/>
            </c:ext>
          </c:extLst>
        </c:ser>
        <c:ser>
          <c:idx val="2"/>
          <c:order val="2"/>
          <c:tx>
            <c:strRef>
              <c:f>'chart data'!$G$11</c:f>
              <c:strCache>
                <c:ptCount val="1"/>
                <c:pt idx="0">
                  <c:v>CPM</c:v>
                </c:pt>
              </c:strCache>
            </c:strRef>
          </c:tx>
          <c:spPr>
            <a:solidFill>
              <a:schemeClr val="accent3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'chart data'!$D$12:$D$15</c:f>
              <c:strCache>
                <c:ptCount val="4"/>
                <c:pt idx="0">
                  <c:v>Facebook</c:v>
                </c:pt>
                <c:pt idx="1">
                  <c:v>Google Ads</c:v>
                </c:pt>
                <c:pt idx="2">
                  <c:v>Instagram</c:v>
                </c:pt>
                <c:pt idx="3">
                  <c:v>TikTok</c:v>
                </c:pt>
              </c:strCache>
            </c:strRef>
          </c:cat>
          <c:val>
            <c:numRef>
              <c:f>'chart data'!$G$12:$G$15</c:f>
              <c:numCache>
                <c:formatCode>[$$-409]#,##0.00</c:formatCode>
                <c:ptCount val="4"/>
                <c:pt idx="0">
                  <c:v>7.3462602750302146</c:v>
                </c:pt>
                <c:pt idx="1">
                  <c:v>7.6822603627121202</c:v>
                </c:pt>
                <c:pt idx="2">
                  <c:v>6.8704309397577399</c:v>
                </c:pt>
                <c:pt idx="3">
                  <c:v>5.8119126794918259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3C-C742-868A-EE3D1D6DE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4412752"/>
        <c:axId val="1189542655"/>
      </c:barChart>
      <c:catAx>
        <c:axId val="48441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189542655"/>
        <c:crosses val="autoZero"/>
        <c:auto val="1"/>
        <c:lblAlgn val="ctr"/>
        <c:lblOffset val="100"/>
        <c:noMultiLvlLbl val="0"/>
      </c:catAx>
      <c:valAx>
        <c:axId val="11895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844127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Spend</a:t>
            </a:r>
            <a:r>
              <a:rPr lang="en-US" b="1" baseline="0">
                <a:solidFill>
                  <a:schemeClr val="tx1"/>
                </a:solidFill>
              </a:rPr>
              <a:t> by Campaign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data'!$C$20</c:f>
              <c:strCache>
                <c:ptCount val="1"/>
                <c:pt idx="0">
                  <c:v>Sum of spend_usd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data'!$B$21:$B$33</c:f>
              <c:strCache>
                <c:ptCount val="13"/>
                <c:pt idx="0">
                  <c:v>BellaCucina_Display_Retargeting</c:v>
                </c:pt>
                <c:pt idx="1">
                  <c:v>BellaCucina_EndlessItalianNights</c:v>
                </c:pt>
                <c:pt idx="2">
                  <c:v>BellaCucina_NewYearNewPasta</c:v>
                </c:pt>
                <c:pt idx="3">
                  <c:v>BellaCucina_NewYearNewPasta_Search</c:v>
                </c:pt>
                <c:pt idx="4">
                  <c:v>BellaCucina_Retargeting</c:v>
                </c:pt>
                <c:pt idx="5">
                  <c:v>BellaCucina_Search_Brand</c:v>
                </c:pt>
                <c:pt idx="6">
                  <c:v>BellaCucina_Search_NonBrand</c:v>
                </c:pt>
                <c:pt idx="7">
                  <c:v>BellaCucina_Search_Weekend</c:v>
                </c:pt>
                <c:pt idx="8">
                  <c:v>BellaCucina_SpringFeast</c:v>
                </c:pt>
                <c:pt idx="9">
                  <c:v>BellaCucina_SpringFeast_Search</c:v>
                </c:pt>
                <c:pt idx="10">
                  <c:v>BellaCucina_ValentinesDate</c:v>
                </c:pt>
                <c:pt idx="11">
                  <c:v>BellaCucina_ValentinesDate_Search</c:v>
                </c:pt>
                <c:pt idx="12">
                  <c:v>BellaCucina_WeekendSpecial</c:v>
                </c:pt>
              </c:strCache>
            </c:strRef>
          </c:cat>
          <c:val>
            <c:numRef>
              <c:f>'chart data'!$C$21:$C$33</c:f>
              <c:numCache>
                <c:formatCode>[$$-409]#,##0</c:formatCode>
                <c:ptCount val="13"/>
                <c:pt idx="0">
                  <c:v>86933.180000000008</c:v>
                </c:pt>
                <c:pt idx="1">
                  <c:v>346128.60000000003</c:v>
                </c:pt>
                <c:pt idx="2">
                  <c:v>108932.74</c:v>
                </c:pt>
                <c:pt idx="3">
                  <c:v>12960.320000000002</c:v>
                </c:pt>
                <c:pt idx="4">
                  <c:v>347326.6500000002</c:v>
                </c:pt>
                <c:pt idx="5">
                  <c:v>83621.880000000019</c:v>
                </c:pt>
                <c:pt idx="6">
                  <c:v>81720.059999999954</c:v>
                </c:pt>
                <c:pt idx="7">
                  <c:v>80605.36</c:v>
                </c:pt>
                <c:pt idx="8">
                  <c:v>67770.159999999974</c:v>
                </c:pt>
                <c:pt idx="9">
                  <c:v>16115.840000000002</c:v>
                </c:pt>
                <c:pt idx="10">
                  <c:v>72046.990000000005</c:v>
                </c:pt>
                <c:pt idx="11">
                  <c:v>17864.330000000002</c:v>
                </c:pt>
                <c:pt idx="12">
                  <c:v>118803.29000000004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C4-EB48-9D93-9C4B54F90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3049936"/>
        <c:axId val="1123054208"/>
      </c:barChart>
      <c:catAx>
        <c:axId val="112304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123054208"/>
        <c:crosses val="autoZero"/>
        <c:auto val="1"/>
        <c:lblAlgn val="ctr"/>
        <c:lblOffset val="100"/>
        <c:noMultiLvlLbl val="0"/>
      </c:catAx>
      <c:valAx>
        <c:axId val="112305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123049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CTR and</a:t>
            </a:r>
            <a:r>
              <a:rPr lang="en-GB" b="1" baseline="0"/>
              <a:t> Conv Rate by Campaign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data'!$K$21</c:f>
              <c:strCache>
                <c:ptCount val="1"/>
                <c:pt idx="0">
                  <c:v>Conv Rate %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'chart data'!$J$22:$J$34</c:f>
              <c:strCache>
                <c:ptCount val="13"/>
                <c:pt idx="0">
                  <c:v>BellaCucina_Display_Retargeting</c:v>
                </c:pt>
                <c:pt idx="1">
                  <c:v>BellaCucina_EndlessItalianNights</c:v>
                </c:pt>
                <c:pt idx="2">
                  <c:v>BellaCucina_NewYearNewPasta</c:v>
                </c:pt>
                <c:pt idx="3">
                  <c:v>BellaCucina_NewYearNewPasta_Search</c:v>
                </c:pt>
                <c:pt idx="4">
                  <c:v>BellaCucina_Retargeting</c:v>
                </c:pt>
                <c:pt idx="5">
                  <c:v>BellaCucina_Search_Brand</c:v>
                </c:pt>
                <c:pt idx="6">
                  <c:v>BellaCucina_Search_NonBrand</c:v>
                </c:pt>
                <c:pt idx="7">
                  <c:v>BellaCucina_Search_Weekend</c:v>
                </c:pt>
                <c:pt idx="8">
                  <c:v>BellaCucina_SpringFeast</c:v>
                </c:pt>
                <c:pt idx="9">
                  <c:v>BellaCucina_SpringFeast_Search</c:v>
                </c:pt>
                <c:pt idx="10">
                  <c:v>BellaCucina_ValentinesDate</c:v>
                </c:pt>
                <c:pt idx="11">
                  <c:v>BellaCucina_ValentinesDate_Search</c:v>
                </c:pt>
                <c:pt idx="12">
                  <c:v>BellaCucina_WeekendSpecial</c:v>
                </c:pt>
              </c:strCache>
            </c:strRef>
          </c:cat>
          <c:val>
            <c:numRef>
              <c:f>'chart data'!$K$22:$K$34</c:f>
              <c:numCache>
                <c:formatCode>0.00%</c:formatCode>
                <c:ptCount val="13"/>
                <c:pt idx="0">
                  <c:v>7.4322806405488911E-2</c:v>
                </c:pt>
                <c:pt idx="1">
                  <c:v>4.1049850489493306E-2</c:v>
                </c:pt>
                <c:pt idx="2">
                  <c:v>4.1117593886104038E-2</c:v>
                </c:pt>
                <c:pt idx="3">
                  <c:v>7.6517016040057714E-2</c:v>
                </c:pt>
                <c:pt idx="4">
                  <c:v>4.174704021685393E-2</c:v>
                </c:pt>
                <c:pt idx="5">
                  <c:v>1.3850409847589765E-2</c:v>
                </c:pt>
                <c:pt idx="6">
                  <c:v>7.4226306980966161E-2</c:v>
                </c:pt>
                <c:pt idx="7">
                  <c:v>7.4855059571716218E-2</c:v>
                </c:pt>
                <c:pt idx="8">
                  <c:v>4.0908625590924244E-2</c:v>
                </c:pt>
                <c:pt idx="9">
                  <c:v>7.7521209885651046E-2</c:v>
                </c:pt>
                <c:pt idx="10">
                  <c:v>4.0673835442447112E-2</c:v>
                </c:pt>
                <c:pt idx="11">
                  <c:v>7.440257834608531E-2</c:v>
                </c:pt>
                <c:pt idx="12">
                  <c:v>4.144736743258004E-2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AC-004A-9DE4-40D5A49A7F27}"/>
            </c:ext>
          </c:extLst>
        </c:ser>
        <c:ser>
          <c:idx val="1"/>
          <c:order val="1"/>
          <c:tx>
            <c:strRef>
              <c:f>'chart data'!$L$21</c:f>
              <c:strCache>
                <c:ptCount val="1"/>
                <c:pt idx="0">
                  <c:v>CTR %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'chart data'!$J$22:$J$34</c:f>
              <c:strCache>
                <c:ptCount val="13"/>
                <c:pt idx="0">
                  <c:v>BellaCucina_Display_Retargeting</c:v>
                </c:pt>
                <c:pt idx="1">
                  <c:v>BellaCucina_EndlessItalianNights</c:v>
                </c:pt>
                <c:pt idx="2">
                  <c:v>BellaCucina_NewYearNewPasta</c:v>
                </c:pt>
                <c:pt idx="3">
                  <c:v>BellaCucina_NewYearNewPasta_Search</c:v>
                </c:pt>
                <c:pt idx="4">
                  <c:v>BellaCucina_Retargeting</c:v>
                </c:pt>
                <c:pt idx="5">
                  <c:v>BellaCucina_Search_Brand</c:v>
                </c:pt>
                <c:pt idx="6">
                  <c:v>BellaCucina_Search_NonBrand</c:v>
                </c:pt>
                <c:pt idx="7">
                  <c:v>BellaCucina_Search_Weekend</c:v>
                </c:pt>
                <c:pt idx="8">
                  <c:v>BellaCucina_SpringFeast</c:v>
                </c:pt>
                <c:pt idx="9">
                  <c:v>BellaCucina_SpringFeast_Search</c:v>
                </c:pt>
                <c:pt idx="10">
                  <c:v>BellaCucina_ValentinesDate</c:v>
                </c:pt>
                <c:pt idx="11">
                  <c:v>BellaCucina_ValentinesDate_Search</c:v>
                </c:pt>
                <c:pt idx="12">
                  <c:v>BellaCucina_WeekendSpecial</c:v>
                </c:pt>
              </c:strCache>
            </c:strRef>
          </c:cat>
          <c:val>
            <c:numRef>
              <c:f>'chart data'!$L$22:$L$34</c:f>
              <c:numCache>
                <c:formatCode>0.0%</c:formatCode>
                <c:ptCount val="13"/>
                <c:pt idx="0">
                  <c:v>1.3441445235923629E-2</c:v>
                </c:pt>
                <c:pt idx="1">
                  <c:v>3.7268591451080801E-2</c:v>
                </c:pt>
                <c:pt idx="2">
                  <c:v>3.756931212377046E-2</c:v>
                </c:pt>
                <c:pt idx="3">
                  <c:v>5.801792681557754E-2</c:v>
                </c:pt>
                <c:pt idx="4">
                  <c:v>3.729778356923228E-2</c:v>
                </c:pt>
                <c:pt idx="5">
                  <c:v>5.9557796186220022E-2</c:v>
                </c:pt>
                <c:pt idx="6">
                  <c:v>6.0249776881162682E-2</c:v>
                </c:pt>
                <c:pt idx="7">
                  <c:v>6.0526373364163617E-2</c:v>
                </c:pt>
                <c:pt idx="8">
                  <c:v>3.6775520196027478E-2</c:v>
                </c:pt>
                <c:pt idx="9">
                  <c:v>5.8383641037303508E-2</c:v>
                </c:pt>
                <c:pt idx="10">
                  <c:v>3.7823689419843112E-2</c:v>
                </c:pt>
                <c:pt idx="11">
                  <c:v>5.9504292014459774E-2</c:v>
                </c:pt>
                <c:pt idx="12">
                  <c:v>3.6932384748432821E-2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AC-004A-9DE4-40D5A49A7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5277184"/>
        <c:axId val="1385278912"/>
      </c:barChart>
      <c:catAx>
        <c:axId val="138527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385278912"/>
        <c:crosses val="autoZero"/>
        <c:auto val="1"/>
        <c:lblAlgn val="ctr"/>
        <c:lblOffset val="100"/>
        <c:noMultiLvlLbl val="0"/>
      </c:catAx>
      <c:valAx>
        <c:axId val="138527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385277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tx1"/>
                </a:solidFill>
              </a:rPr>
              <a:t>Cost Metrics by Campaign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data'!$F$40</c:f>
              <c:strCache>
                <c:ptCount val="1"/>
                <c:pt idx="0">
                  <c:v>CPA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'chart data'!$E$41:$E$53</c:f>
              <c:strCache>
                <c:ptCount val="13"/>
                <c:pt idx="0">
                  <c:v>BellaCucina_Display_Retargeting</c:v>
                </c:pt>
                <c:pt idx="1">
                  <c:v>BellaCucina_EndlessItalianNights</c:v>
                </c:pt>
                <c:pt idx="2">
                  <c:v>BellaCucina_NewYearNewPasta</c:v>
                </c:pt>
                <c:pt idx="3">
                  <c:v>BellaCucina_NewYearNewPasta_Search</c:v>
                </c:pt>
                <c:pt idx="4">
                  <c:v>BellaCucina_Retargeting</c:v>
                </c:pt>
                <c:pt idx="5">
                  <c:v>BellaCucina_Search_Brand</c:v>
                </c:pt>
                <c:pt idx="6">
                  <c:v>BellaCucina_Search_NonBrand</c:v>
                </c:pt>
                <c:pt idx="7">
                  <c:v>BellaCucina_Search_Weekend</c:v>
                </c:pt>
                <c:pt idx="8">
                  <c:v>BellaCucina_SpringFeast</c:v>
                </c:pt>
                <c:pt idx="9">
                  <c:v>BellaCucina_SpringFeast_Search</c:v>
                </c:pt>
                <c:pt idx="10">
                  <c:v>BellaCucina_ValentinesDate</c:v>
                </c:pt>
                <c:pt idx="11">
                  <c:v>BellaCucina_ValentinesDate_Search</c:v>
                </c:pt>
                <c:pt idx="12">
                  <c:v>BellaCucina_WeekendSpecial</c:v>
                </c:pt>
              </c:strCache>
            </c:strRef>
          </c:cat>
          <c:val>
            <c:numRef>
              <c:f>'chart data'!$F$41:$F$53</c:f>
              <c:numCache>
                <c:formatCode>[$$-409]#,##0.00</c:formatCode>
                <c:ptCount val="13"/>
                <c:pt idx="0">
                  <c:v>3.0913971764873227</c:v>
                </c:pt>
                <c:pt idx="1">
                  <c:v>4.3173252507109723</c:v>
                </c:pt>
                <c:pt idx="2">
                  <c:v>4.3541745942921102</c:v>
                </c:pt>
                <c:pt idx="3">
                  <c:v>2.8749600709849159</c:v>
                </c:pt>
                <c:pt idx="4">
                  <c:v>4.2535349515038723</c:v>
                </c:pt>
                <c:pt idx="5">
                  <c:v>3.0867033332102918</c:v>
                </c:pt>
                <c:pt idx="6">
                  <c:v>3.1230198341422386</c:v>
                </c:pt>
                <c:pt idx="7">
                  <c:v>3.0409084392801899</c:v>
                </c:pt>
                <c:pt idx="8">
                  <c:v>4.3484222008341336</c:v>
                </c:pt>
                <c:pt idx="9">
                  <c:v>3.0673467834031216</c:v>
                </c:pt>
                <c:pt idx="10">
                  <c:v>4.3517147861802368</c:v>
                </c:pt>
                <c:pt idx="11">
                  <c:v>3.1456823384398667</c:v>
                </c:pt>
                <c:pt idx="12">
                  <c:v>4.306651562386719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6D-F54F-B215-034C718CA97E}"/>
            </c:ext>
          </c:extLst>
        </c:ser>
        <c:ser>
          <c:idx val="1"/>
          <c:order val="1"/>
          <c:tx>
            <c:strRef>
              <c:f>'chart data'!$G$40</c:f>
              <c:strCache>
                <c:ptCount val="1"/>
                <c:pt idx="0">
                  <c:v>CPM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'chart data'!$E$41:$E$53</c:f>
              <c:strCache>
                <c:ptCount val="13"/>
                <c:pt idx="0">
                  <c:v>BellaCucina_Display_Retargeting</c:v>
                </c:pt>
                <c:pt idx="1">
                  <c:v>BellaCucina_EndlessItalianNights</c:v>
                </c:pt>
                <c:pt idx="2">
                  <c:v>BellaCucina_NewYearNewPasta</c:v>
                </c:pt>
                <c:pt idx="3">
                  <c:v>BellaCucina_NewYearNewPasta_Search</c:v>
                </c:pt>
                <c:pt idx="4">
                  <c:v>BellaCucina_Retargeting</c:v>
                </c:pt>
                <c:pt idx="5">
                  <c:v>BellaCucina_Search_Brand</c:v>
                </c:pt>
                <c:pt idx="6">
                  <c:v>BellaCucina_Search_NonBrand</c:v>
                </c:pt>
                <c:pt idx="7">
                  <c:v>BellaCucina_Search_Weekend</c:v>
                </c:pt>
                <c:pt idx="8">
                  <c:v>BellaCucina_SpringFeast</c:v>
                </c:pt>
                <c:pt idx="9">
                  <c:v>BellaCucina_SpringFeast_Search</c:v>
                </c:pt>
                <c:pt idx="10">
                  <c:v>BellaCucina_ValentinesDate</c:v>
                </c:pt>
                <c:pt idx="11">
                  <c:v>BellaCucina_ValentinesDate_Search</c:v>
                </c:pt>
                <c:pt idx="12">
                  <c:v>BellaCucina_WeekendSpecial</c:v>
                </c:pt>
              </c:strCache>
            </c:strRef>
          </c:cat>
          <c:val>
            <c:numRef>
              <c:f>'chart data'!$G$41:$G$53</c:f>
              <c:numCache>
                <c:formatCode>[$$-409]#,##0.00</c:formatCode>
                <c:ptCount val="13"/>
                <c:pt idx="0">
                  <c:v>3.0883241177247549</c:v>
                </c:pt>
                <c:pt idx="1">
                  <c:v>6.6049468433491221</c:v>
                </c:pt>
                <c:pt idx="2">
                  <c:v>6.726153520515302</c:v>
                </c:pt>
                <c:pt idx="3">
                  <c:v>12.762978821462546</c:v>
                </c:pt>
                <c:pt idx="4">
                  <c:v>6.6230604745809112</c:v>
                </c:pt>
                <c:pt idx="5">
                  <c:v>13.637840781380806</c:v>
                </c:pt>
                <c:pt idx="6">
                  <c:v>13.966514571001689</c:v>
                </c:pt>
                <c:pt idx="7">
                  <c:v>13.777459933503392</c:v>
                </c:pt>
                <c:pt idx="8">
                  <c:v>6.5419228439120367</c:v>
                </c:pt>
                <c:pt idx="9">
                  <c:v>13.88272102655282</c:v>
                </c:pt>
                <c:pt idx="10">
                  <c:v>6.694828245159707</c:v>
                </c:pt>
                <c:pt idx="11">
                  <c:v>13.926793692520102</c:v>
                </c:pt>
                <c:pt idx="12">
                  <c:v>6.592407399494931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6D-F54F-B215-034C718CA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1956672"/>
        <c:axId val="1524360800"/>
      </c:barChart>
      <c:catAx>
        <c:axId val="117195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524360800"/>
        <c:crosses val="autoZero"/>
        <c:auto val="1"/>
        <c:lblAlgn val="ctr"/>
        <c:lblOffset val="100"/>
        <c:noMultiLvlLbl val="0"/>
      </c:catAx>
      <c:valAx>
        <c:axId val="152436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171956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CPC by Campaign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data'!$M$41</c:f>
              <c:strCache>
                <c:ptCount val="1"/>
                <c:pt idx="0">
                  <c:v>CPC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'chart data'!$L$42:$L$54</c:f>
              <c:strCache>
                <c:ptCount val="13"/>
                <c:pt idx="0">
                  <c:v>BellaCucina_Display_Retargeting</c:v>
                </c:pt>
                <c:pt idx="1">
                  <c:v>BellaCucina_EndlessItalianNights</c:v>
                </c:pt>
                <c:pt idx="2">
                  <c:v>BellaCucina_NewYearNewPasta</c:v>
                </c:pt>
                <c:pt idx="3">
                  <c:v>BellaCucina_NewYearNewPasta_Search</c:v>
                </c:pt>
                <c:pt idx="4">
                  <c:v>BellaCucina_Retargeting</c:v>
                </c:pt>
                <c:pt idx="5">
                  <c:v>BellaCucina_Search_Brand</c:v>
                </c:pt>
                <c:pt idx="6">
                  <c:v>BellaCucina_Search_NonBrand</c:v>
                </c:pt>
                <c:pt idx="7">
                  <c:v>BellaCucina_Search_Weekend</c:v>
                </c:pt>
                <c:pt idx="8">
                  <c:v>BellaCucina_SpringFeast</c:v>
                </c:pt>
                <c:pt idx="9">
                  <c:v>BellaCucina_SpringFeast_Search</c:v>
                </c:pt>
                <c:pt idx="10">
                  <c:v>BellaCucina_ValentinesDate</c:v>
                </c:pt>
                <c:pt idx="11">
                  <c:v>BellaCucina_ValentinesDate_Search</c:v>
                </c:pt>
                <c:pt idx="12">
                  <c:v>BellaCucina_WeekendSpecial</c:v>
                </c:pt>
              </c:strCache>
            </c:strRef>
          </c:cat>
          <c:val>
            <c:numRef>
              <c:f>'chart data'!$M$42:$M$54</c:f>
              <c:numCache>
                <c:formatCode>[$$-409]#,##0.000</c:formatCode>
                <c:ptCount val="13"/>
                <c:pt idx="0">
                  <c:v>0.22976131387054233</c:v>
                </c:pt>
                <c:pt idx="1">
                  <c:v>0.17722555605619958</c:v>
                </c:pt>
                <c:pt idx="2">
                  <c:v>0.17903318267729476</c:v>
                </c:pt>
                <c:pt idx="3">
                  <c:v>0.21998336586607828</c:v>
                </c:pt>
                <c:pt idx="4">
                  <c:v>0.17757249468422598</c:v>
                </c:pt>
                <c:pt idx="5">
                  <c:v>0.22898498021550726</c:v>
                </c:pt>
                <c:pt idx="6">
                  <c:v>0.23181022891668782</c:v>
                </c:pt>
                <c:pt idx="7">
                  <c:v>0.22762738237445321</c:v>
                </c:pt>
                <c:pt idx="8">
                  <c:v>0.17788797572518636</c:v>
                </c:pt>
                <c:pt idx="9">
                  <c:v>0.23778443378827005</c:v>
                </c:pt>
                <c:pt idx="10">
                  <c:v>0.1770009311055589</c:v>
                </c:pt>
                <c:pt idx="11">
                  <c:v>0.23404687663766904</c:v>
                </c:pt>
                <c:pt idx="12">
                  <c:v>0.17849936971033725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51-C34F-86DE-DEA0CC154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3467696"/>
        <c:axId val="1123366672"/>
      </c:barChart>
      <c:catAx>
        <c:axId val="723467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123366672"/>
        <c:crosses val="autoZero"/>
        <c:auto val="1"/>
        <c:lblAlgn val="ctr"/>
        <c:lblOffset val="100"/>
        <c:noMultiLvlLbl val="0"/>
      </c:catAx>
      <c:valAx>
        <c:axId val="112336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723467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Conversions</a:t>
            </a:r>
            <a:r>
              <a:rPr lang="en-US" b="1" baseline="0">
                <a:solidFill>
                  <a:schemeClr val="tx1"/>
                </a:solidFill>
              </a:rPr>
              <a:t> by Month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data'!$F$59</c:f>
              <c:strCache>
                <c:ptCount val="1"/>
                <c:pt idx="0">
                  <c:v>Sum of conversions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data'!$E$60:$E$62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'chart data'!$F$60:$F$62</c:f>
              <c:numCache>
                <c:formatCode>General</c:formatCode>
                <c:ptCount val="3"/>
                <c:pt idx="0">
                  <c:v>123661</c:v>
                </c:pt>
                <c:pt idx="1">
                  <c:v>116327</c:v>
                </c:pt>
                <c:pt idx="2">
                  <c:v>129912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22-C24E-B12B-1F7307FA4370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04434192"/>
        <c:axId val="1572437648"/>
      </c:lineChart>
      <c:catAx>
        <c:axId val="170443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572437648"/>
        <c:crosses val="autoZero"/>
        <c:auto val="1"/>
        <c:lblAlgn val="ctr"/>
        <c:lblOffset val="100"/>
        <c:noMultiLvlLbl val="0"/>
      </c:catAx>
      <c:valAx>
        <c:axId val="157243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704434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1"/>
                </a:solidFill>
              </a:rPr>
              <a:t>Cost</a:t>
            </a:r>
            <a:r>
              <a:rPr lang="en-GB" baseline="0">
                <a:solidFill>
                  <a:schemeClr val="tx1"/>
                </a:solidFill>
              </a:rPr>
              <a:t> Metrics by Month</a:t>
            </a:r>
            <a:endParaRPr lang="en-GB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data'!$K$59</c:f>
              <c:strCache>
                <c:ptCount val="1"/>
                <c:pt idx="0">
                  <c:v>CPA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'chart data'!$J$60:$J$62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'chart data'!$K$60:$K$62</c:f>
              <c:numCache>
                <c:formatCode>[$$-409]#,##0.000</c:formatCode>
                <c:ptCount val="3"/>
                <c:pt idx="0">
                  <c:v>3.9206190310607236</c:v>
                </c:pt>
                <c:pt idx="1">
                  <c:v>3.9299986245669505</c:v>
                </c:pt>
                <c:pt idx="2">
                  <c:v>3.839805252786507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4A-E84E-8137-14DB986F29A6}"/>
            </c:ext>
          </c:extLst>
        </c:ser>
        <c:ser>
          <c:idx val="1"/>
          <c:order val="1"/>
          <c:tx>
            <c:strRef>
              <c:f>'chart data'!$L$59</c:f>
              <c:strCache>
                <c:ptCount val="1"/>
                <c:pt idx="0">
                  <c:v>CPM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'chart data'!$J$60:$J$62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'chart data'!$L$60:$L$62</c:f>
              <c:numCache>
                <c:formatCode>[$$-409]#,##0.000</c:formatCode>
                <c:ptCount val="3"/>
                <c:pt idx="0">
                  <c:v>6.8707676970132656</c:v>
                </c:pt>
                <c:pt idx="1">
                  <c:v>6.8845894119365898</c:v>
                </c:pt>
                <c:pt idx="2">
                  <c:v>6.8655993951671324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4A-E84E-8137-14DB986F2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7142448"/>
        <c:axId val="2027028256"/>
      </c:barChart>
      <c:catAx>
        <c:axId val="202714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2027028256"/>
        <c:crosses val="autoZero"/>
        <c:auto val="1"/>
        <c:lblAlgn val="ctr"/>
        <c:lblOffset val="100"/>
        <c:noMultiLvlLbl val="0"/>
      </c:catAx>
      <c:valAx>
        <c:axId val="202702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2027142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data'!$L$82</c:f>
              <c:strCache>
                <c:ptCount val="1"/>
                <c:pt idx="0">
                  <c:v>Conv Rate%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'chart data'!$K$83:$K$96</c:f>
              <c:strCache>
                <c:ptCount val="14"/>
                <c:pt idx="0">
                  <c:v>Jan W1</c:v>
                </c:pt>
                <c:pt idx="1">
                  <c:v>Jan W2</c:v>
                </c:pt>
                <c:pt idx="2">
                  <c:v>Jan W3</c:v>
                </c:pt>
                <c:pt idx="3">
                  <c:v>Jan W4</c:v>
                </c:pt>
                <c:pt idx="4">
                  <c:v>Jan W5</c:v>
                </c:pt>
                <c:pt idx="5">
                  <c:v>Feb W1</c:v>
                </c:pt>
                <c:pt idx="6">
                  <c:v>Feb W2</c:v>
                </c:pt>
                <c:pt idx="7">
                  <c:v>Feb W3</c:v>
                </c:pt>
                <c:pt idx="8">
                  <c:v>Feb W4</c:v>
                </c:pt>
                <c:pt idx="9">
                  <c:v>Mar W1</c:v>
                </c:pt>
                <c:pt idx="10">
                  <c:v>Mar W2</c:v>
                </c:pt>
                <c:pt idx="11">
                  <c:v>Mar W3</c:v>
                </c:pt>
                <c:pt idx="12">
                  <c:v>Mar W4</c:v>
                </c:pt>
                <c:pt idx="13">
                  <c:v>Mar W5</c:v>
                </c:pt>
              </c:strCache>
            </c:strRef>
          </c:cat>
          <c:val>
            <c:numRef>
              <c:f>'chart data'!$L$83:$L$96</c:f>
              <c:numCache>
                <c:formatCode>General</c:formatCode>
                <c:ptCount val="14"/>
                <c:pt idx="0">
                  <c:v>4.76</c:v>
                </c:pt>
                <c:pt idx="1">
                  <c:v>4.82</c:v>
                </c:pt>
                <c:pt idx="2">
                  <c:v>4.82</c:v>
                </c:pt>
                <c:pt idx="3">
                  <c:v>4.76</c:v>
                </c:pt>
                <c:pt idx="4">
                  <c:v>4.7699999999999996</c:v>
                </c:pt>
                <c:pt idx="5">
                  <c:v>4.93</c:v>
                </c:pt>
                <c:pt idx="6">
                  <c:v>4.75</c:v>
                </c:pt>
                <c:pt idx="7">
                  <c:v>4.87</c:v>
                </c:pt>
                <c:pt idx="8">
                  <c:v>4.88</c:v>
                </c:pt>
                <c:pt idx="9">
                  <c:v>4.96</c:v>
                </c:pt>
                <c:pt idx="10">
                  <c:v>4.92</c:v>
                </c:pt>
                <c:pt idx="11">
                  <c:v>4.91</c:v>
                </c:pt>
                <c:pt idx="12">
                  <c:v>4.9000000000000004</c:v>
                </c:pt>
                <c:pt idx="13">
                  <c:v>4.95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5C-0849-BB6F-7A389C903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7320448"/>
        <c:axId val="1667409184"/>
      </c:lineChart>
      <c:catAx>
        <c:axId val="166732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667409184"/>
        <c:crosses val="autoZero"/>
        <c:auto val="1"/>
        <c:lblAlgn val="ctr"/>
        <c:lblOffset val="100"/>
        <c:noMultiLvlLbl val="0"/>
      </c:catAx>
      <c:valAx>
        <c:axId val="166740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66732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solidFill>
                  <a:schemeClr val="tx1"/>
                </a:solidFill>
              </a:rPr>
              <a:t>Conversions vs Spend by Week — Q1 2026</a:t>
            </a:r>
            <a:endParaRPr lang="en-GB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data'!$F$92</c:f>
              <c:strCache>
                <c:ptCount val="1"/>
                <c:pt idx="0">
                  <c:v>Conversions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'chart data'!$E$93:$E$106</c:f>
              <c:strCache>
                <c:ptCount val="14"/>
                <c:pt idx="0">
                  <c:v>Jan W1</c:v>
                </c:pt>
                <c:pt idx="1">
                  <c:v>Jan W2</c:v>
                </c:pt>
                <c:pt idx="2">
                  <c:v>Jan W3</c:v>
                </c:pt>
                <c:pt idx="3">
                  <c:v>Jan W4</c:v>
                </c:pt>
                <c:pt idx="4">
                  <c:v>Jan W5</c:v>
                </c:pt>
                <c:pt idx="5">
                  <c:v>Feb W1</c:v>
                </c:pt>
                <c:pt idx="6">
                  <c:v>Feb W2</c:v>
                </c:pt>
                <c:pt idx="7">
                  <c:v>Feb W3</c:v>
                </c:pt>
                <c:pt idx="8">
                  <c:v>Feb W4</c:v>
                </c:pt>
                <c:pt idx="9">
                  <c:v>Mar W1</c:v>
                </c:pt>
                <c:pt idx="10">
                  <c:v>Mar W2</c:v>
                </c:pt>
                <c:pt idx="11">
                  <c:v>Mar W3</c:v>
                </c:pt>
                <c:pt idx="12">
                  <c:v>Mar W4</c:v>
                </c:pt>
                <c:pt idx="13">
                  <c:v>Mar W5</c:v>
                </c:pt>
              </c:strCache>
            </c:strRef>
          </c:cat>
          <c:val>
            <c:numRef>
              <c:f>'chart data'!$F$93:$F$106</c:f>
              <c:numCache>
                <c:formatCode>General</c:formatCode>
                <c:ptCount val="14"/>
                <c:pt idx="0">
                  <c:v>27774</c:v>
                </c:pt>
                <c:pt idx="1">
                  <c:v>27273</c:v>
                </c:pt>
                <c:pt idx="2">
                  <c:v>27532</c:v>
                </c:pt>
                <c:pt idx="3">
                  <c:v>27615</c:v>
                </c:pt>
                <c:pt idx="4">
                  <c:v>13467</c:v>
                </c:pt>
                <c:pt idx="5">
                  <c:v>28867</c:v>
                </c:pt>
                <c:pt idx="6">
                  <c:v>40381</c:v>
                </c:pt>
                <c:pt idx="7">
                  <c:v>26478</c:v>
                </c:pt>
                <c:pt idx="8">
                  <c:v>20601</c:v>
                </c:pt>
                <c:pt idx="9">
                  <c:v>25097</c:v>
                </c:pt>
                <c:pt idx="10">
                  <c:v>24477</c:v>
                </c:pt>
                <c:pt idx="11">
                  <c:v>33611</c:v>
                </c:pt>
                <c:pt idx="12">
                  <c:v>31766</c:v>
                </c:pt>
                <c:pt idx="13">
                  <c:v>14961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81-AB4A-B69C-C0F8CE36B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6507040"/>
        <c:axId val="1965217968"/>
      </c:barChart>
      <c:lineChart>
        <c:grouping val="standard"/>
        <c:varyColors val="0"/>
        <c:ser>
          <c:idx val="1"/>
          <c:order val="1"/>
          <c:tx>
            <c:strRef>
              <c:f>'chart data'!$G$92</c:f>
              <c:strCache>
                <c:ptCount val="1"/>
                <c:pt idx="0">
                  <c:v>Spend</c:v>
                </c:pt>
              </c:strCache>
            </c:strRef>
          </c:tx>
          <c:spPr>
            <a:ln w="28575" cap="rnd">
              <a:solidFill>
                <a:schemeClr val="accent3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'chart data'!$E$93:$E$106</c:f>
              <c:strCache>
                <c:ptCount val="14"/>
                <c:pt idx="0">
                  <c:v>Jan W1</c:v>
                </c:pt>
                <c:pt idx="1">
                  <c:v>Jan W2</c:v>
                </c:pt>
                <c:pt idx="2">
                  <c:v>Jan W3</c:v>
                </c:pt>
                <c:pt idx="3">
                  <c:v>Jan W4</c:v>
                </c:pt>
                <c:pt idx="4">
                  <c:v>Jan W5</c:v>
                </c:pt>
                <c:pt idx="5">
                  <c:v>Feb W1</c:v>
                </c:pt>
                <c:pt idx="6">
                  <c:v>Feb W2</c:v>
                </c:pt>
                <c:pt idx="7">
                  <c:v>Feb W3</c:v>
                </c:pt>
                <c:pt idx="8">
                  <c:v>Feb W4</c:v>
                </c:pt>
                <c:pt idx="9">
                  <c:v>Mar W1</c:v>
                </c:pt>
                <c:pt idx="10">
                  <c:v>Mar W2</c:v>
                </c:pt>
                <c:pt idx="11">
                  <c:v>Mar W3</c:v>
                </c:pt>
                <c:pt idx="12">
                  <c:v>Mar W4</c:v>
                </c:pt>
                <c:pt idx="13">
                  <c:v>Mar W5</c:v>
                </c:pt>
              </c:strCache>
            </c:strRef>
          </c:cat>
          <c:val>
            <c:numRef>
              <c:f>'chart data'!$G$93:$G$106</c:f>
              <c:numCache>
                <c:formatCode>General</c:formatCode>
                <c:ptCount val="14"/>
                <c:pt idx="0">
                  <c:v>109153</c:v>
                </c:pt>
                <c:pt idx="1">
                  <c:v>105845</c:v>
                </c:pt>
                <c:pt idx="2">
                  <c:v>108516</c:v>
                </c:pt>
                <c:pt idx="3">
                  <c:v>108301</c:v>
                </c:pt>
                <c:pt idx="4">
                  <c:v>53013</c:v>
                </c:pt>
                <c:pt idx="5">
                  <c:v>112439</c:v>
                </c:pt>
                <c:pt idx="6">
                  <c:v>160654</c:v>
                </c:pt>
                <c:pt idx="7">
                  <c:v>103551</c:v>
                </c:pt>
                <c:pt idx="8">
                  <c:v>80520</c:v>
                </c:pt>
                <c:pt idx="9">
                  <c:v>95964</c:v>
                </c:pt>
                <c:pt idx="10">
                  <c:v>94116</c:v>
                </c:pt>
                <c:pt idx="11">
                  <c:v>129667</c:v>
                </c:pt>
                <c:pt idx="12">
                  <c:v>122348</c:v>
                </c:pt>
                <c:pt idx="13">
                  <c:v>56742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81-AB4A-B69C-C0F8CE36B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5166511"/>
        <c:axId val="1871649248"/>
      </c:lineChart>
      <c:catAx>
        <c:axId val="44650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965217968"/>
        <c:crosses val="autoZero"/>
        <c:auto val="1"/>
        <c:lblAlgn val="ctr"/>
        <c:lblOffset val="100"/>
        <c:noMultiLvlLbl val="0"/>
      </c:catAx>
      <c:valAx>
        <c:axId val="196521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46507040"/>
        <c:crosses val="autoZero"/>
        <c:crossBetween val="between"/>
      </c:valAx>
      <c:valAx>
        <c:axId val="18716492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95166511"/>
        <c:crosses val="max"/>
        <c:crossBetween val="between"/>
      </c:valAx>
      <c:catAx>
        <c:axId val="4951665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716492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7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8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9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0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chart" Target="../charts/chart6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7.png"/><Relationship Id="rId7" Type="http://schemas.openxmlformats.org/officeDocument/2006/relationships/image" Target="../media/image10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9.png"/><Relationship Id="rId5" Type="http://schemas.openxmlformats.org/officeDocument/2006/relationships/image" Target="../media/image3.png"/><Relationship Id="rId4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317500</xdr:colOff>
      <xdr:row>10</xdr:row>
      <xdr:rowOff>0</xdr:rowOff>
    </xdr:from>
    <xdr:to>
      <xdr:col>5</xdr:col>
      <xdr:colOff>558800</xdr:colOff>
      <xdr:row>21</xdr:row>
      <xdr:rowOff>203200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891D6D-1908-1A49-A837-21635E226E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9</xdr:row>
      <xdr:rowOff>12700</xdr:rowOff>
    </xdr:from>
    <xdr:to>
      <xdr:col>12</xdr:col>
      <xdr:colOff>0</xdr:colOff>
      <xdr:row>22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9A205F-FC53-064F-A371-390E3D80B2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5</xdr:col>
      <xdr:colOff>800100</xdr:colOff>
      <xdr:row>35</xdr:row>
      <xdr:rowOff>203200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87A332-B21F-FC4F-8392-6C2C007070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38100</xdr:rowOff>
    </xdr:from>
    <xdr:to>
      <xdr:col>15</xdr:col>
      <xdr:colOff>685800</xdr:colOff>
      <xdr:row>10</xdr:row>
      <xdr:rowOff>63500</xdr:rowOff>
    </xdr:to>
    <xdr:sp macro="" textlink="">
      <xdr:nvSpPr>
        <xdr:cNvPr id="6145" name="Text Box 1">
          <a:extLst>
            <a:ext uri="{FF2B5EF4-FFF2-40B4-BE49-F238E27FC236}">
              <a16:creationId xmlns:a16="http://schemas.microsoft.com/office/drawing/2014/main" id="{55E74539-4106-16BA-502C-0E3675388EA7}"/>
            </a:ext>
          </a:extLst>
        </xdr:cNvPr>
        <xdr:cNvSpPr txBox="1">
          <a:spLocks noChangeArrowheads="1"/>
        </xdr:cNvSpPr>
      </xdr:nvSpPr>
      <xdr:spPr bwMode="auto">
        <a:xfrm>
          <a:off x="10820400" y="38100"/>
          <a:ext cx="3987800" cy="2057400"/>
        </a:xfrm>
        <a:prstGeom prst="rect">
          <a:avLst/>
        </a:prstGeom>
        <a:solidFill>
          <a:schemeClr val="bg1">
            <a:lumMod val="7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ptos Narrow" pitchFamily="2" charset="0"/>
            </a:rPr>
            <a:t>KEY INSIGHTS — Q1 2026</a:t>
          </a:r>
        </a:p>
        <a:p>
          <a:pPr algn="ctr" rtl="0">
            <a:defRPr sz="1000"/>
          </a:pPr>
          <a:endParaRPr lang="en-GB" sz="1200" b="0" i="0" u="none" strike="noStrike" baseline="0">
            <a:solidFill>
              <a:srgbClr val="000000"/>
            </a:solidFill>
            <a:latin typeface="Aptos Narrow" pitchFamily="2" charset="0"/>
          </a:endParaRPr>
        </a:p>
        <a:p>
          <a:pPr algn="ctr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ptos Narrow" pitchFamily="2" charset="0"/>
            </a:rPr>
            <a:t>        Cheapest reach and clicks. Weak at converting.</a:t>
          </a:r>
        </a:p>
        <a:p>
          <a:pPr algn="ctr" rtl="0">
            <a:defRPr sz="1000"/>
          </a:pPr>
          <a:endParaRPr lang="en-GB" sz="1200" b="0" i="0" u="none" strike="noStrike" baseline="0">
            <a:solidFill>
              <a:srgbClr val="000000"/>
            </a:solidFill>
            <a:latin typeface="Aptos Narrow" pitchFamily="2" charset="0"/>
          </a:endParaRPr>
        </a:p>
        <a:p>
          <a:pPr algn="ctr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ptos Narrow" pitchFamily="2" charset="0"/>
            </a:rPr>
            <a:t> Best conversion rate. Strong search intent.</a:t>
          </a:r>
        </a:p>
        <a:p>
          <a:pPr algn="ctr" rtl="0">
            <a:defRPr sz="1000"/>
          </a:pPr>
          <a:endParaRPr lang="en-GB" sz="1200" b="0" i="0" u="none" strike="noStrike" baseline="0">
            <a:solidFill>
              <a:srgbClr val="000000"/>
            </a:solidFill>
            <a:latin typeface="Aptos Narrow" pitchFamily="2" charset="0"/>
          </a:endParaRPr>
        </a:p>
        <a:p>
          <a:pPr algn="ctr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ptos Narrow" pitchFamily="2" charset="0"/>
            </a:rPr>
            <a:t>Best CTR. Strong all-around performer.</a:t>
          </a:r>
        </a:p>
        <a:p>
          <a:pPr algn="ctr" rtl="0">
            <a:defRPr sz="1000"/>
          </a:pPr>
          <a:endParaRPr lang="en-GB" sz="1200" b="0" i="0" u="none" strike="noStrike" baseline="0">
            <a:solidFill>
              <a:srgbClr val="000000"/>
            </a:solidFill>
            <a:latin typeface="Aptos Narrow" pitchFamily="2" charset="0"/>
          </a:endParaRPr>
        </a:p>
        <a:p>
          <a:pPr algn="ctr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ptos Narrow" pitchFamily="2" charset="0"/>
            </a:rPr>
            <a:t>  Highest CPA. Least efficient platform.</a:t>
          </a:r>
        </a:p>
      </xdr:txBody>
    </xdr:sp>
    <xdr:clientData/>
  </xdr:twoCellAnchor>
  <xdr:twoCellAnchor editAs="oneCell">
    <xdr:from>
      <xdr:col>11</xdr:col>
      <xdr:colOff>330200</xdr:colOff>
      <xdr:row>1</xdr:row>
      <xdr:rowOff>177800</xdr:rowOff>
    </xdr:from>
    <xdr:to>
      <xdr:col>11</xdr:col>
      <xdr:colOff>596900</xdr:colOff>
      <xdr:row>3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AB761E3-3ECE-02D2-9E04-D84061172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50600" y="381000"/>
          <a:ext cx="266700" cy="266700"/>
        </a:xfrm>
        <a:prstGeom prst="rect">
          <a:avLst/>
        </a:prstGeom>
      </xdr:spPr>
    </xdr:pic>
    <xdr:clientData/>
  </xdr:twoCellAnchor>
  <xdr:twoCellAnchor editAs="oneCell">
    <xdr:from>
      <xdr:col>11</xdr:col>
      <xdr:colOff>342900</xdr:colOff>
      <xdr:row>3</xdr:row>
      <xdr:rowOff>152400</xdr:rowOff>
    </xdr:from>
    <xdr:to>
      <xdr:col>11</xdr:col>
      <xdr:colOff>584200</xdr:colOff>
      <xdr:row>4</xdr:row>
      <xdr:rowOff>190500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AC66780-6103-E160-878D-6B3DB646C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63300" y="762000"/>
          <a:ext cx="241300" cy="241300"/>
        </a:xfrm>
        <a:prstGeom prst="rect">
          <a:avLst/>
        </a:prstGeom>
      </xdr:spPr>
    </xdr:pic>
    <xdr:clientData/>
  </xdr:twoCellAnchor>
  <xdr:twoCellAnchor editAs="oneCell">
    <xdr:from>
      <xdr:col>11</xdr:col>
      <xdr:colOff>342900</xdr:colOff>
      <xdr:row>5</xdr:row>
      <xdr:rowOff>114300</xdr:rowOff>
    </xdr:from>
    <xdr:to>
      <xdr:col>11</xdr:col>
      <xdr:colOff>635000</xdr:colOff>
      <xdr:row>7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4D55A19-DD22-9C90-2E83-EE4DEA0BA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63300" y="1130300"/>
          <a:ext cx="292100" cy="292100"/>
        </a:xfrm>
        <a:prstGeom prst="rect">
          <a:avLst/>
        </a:prstGeom>
      </xdr:spPr>
    </xdr:pic>
    <xdr:clientData/>
  </xdr:twoCellAnchor>
  <xdr:twoCellAnchor editAs="oneCell">
    <xdr:from>
      <xdr:col>11</xdr:col>
      <xdr:colOff>368300</xdr:colOff>
      <xdr:row>7</xdr:row>
      <xdr:rowOff>88900</xdr:rowOff>
    </xdr:from>
    <xdr:to>
      <xdr:col>11</xdr:col>
      <xdr:colOff>647700</xdr:colOff>
      <xdr:row>8</xdr:row>
      <xdr:rowOff>165100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0F4F693-D21C-C062-999A-E4E9CF904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88700" y="1511300"/>
          <a:ext cx="279400" cy="279400"/>
        </a:xfrm>
        <a:prstGeom prst="rect">
          <a:avLst/>
        </a:prstGeom>
      </xdr:spPr>
    </xdr:pic>
    <xdr:clientData/>
  </xdr:twoCellAnchor>
  <xdr:twoCellAnchor editAs="absolute">
    <xdr:from>
      <xdr:col>0</xdr:col>
      <xdr:colOff>139700</xdr:colOff>
      <xdr:row>14</xdr:row>
      <xdr:rowOff>152400</xdr:rowOff>
    </xdr:from>
    <xdr:to>
      <xdr:col>6</xdr:col>
      <xdr:colOff>558800</xdr:colOff>
      <xdr:row>34</xdr:row>
      <xdr:rowOff>76200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FC1FDB83-B714-C48F-7289-25F595C011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406400</xdr:colOff>
      <xdr:row>14</xdr:row>
      <xdr:rowOff>101600</xdr:rowOff>
    </xdr:from>
    <xdr:to>
      <xdr:col>16</xdr:col>
      <xdr:colOff>622300</xdr:colOff>
      <xdr:row>34</xdr:row>
      <xdr:rowOff>63500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A82989CC-2A94-EBF1-3B4F-D556DB47E4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406400</xdr:colOff>
      <xdr:row>37</xdr:row>
      <xdr:rowOff>38100</xdr:rowOff>
    </xdr:from>
    <xdr:to>
      <xdr:col>12</xdr:col>
      <xdr:colOff>698500</xdr:colOff>
      <xdr:row>62</xdr:row>
      <xdr:rowOff>25400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C2AB309C-F789-F708-2D39-6D4A7EFBA9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25400</xdr:colOff>
      <xdr:row>0</xdr:row>
      <xdr:rowOff>12700</xdr:rowOff>
    </xdr:from>
    <xdr:to>
      <xdr:col>15</xdr:col>
      <xdr:colOff>711200</xdr:colOff>
      <xdr:row>14</xdr:row>
      <xdr:rowOff>50800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5FFCE9F4-5C42-7845-92DA-B6E664A9CA08}"/>
            </a:ext>
          </a:extLst>
        </xdr:cNvPr>
        <xdr:cNvSpPr txBox="1">
          <a:spLocks noChangeArrowheads="1"/>
        </xdr:cNvSpPr>
      </xdr:nvSpPr>
      <xdr:spPr bwMode="auto">
        <a:xfrm>
          <a:off x="12433300" y="12700"/>
          <a:ext cx="3987800" cy="2882900"/>
        </a:xfrm>
        <a:prstGeom prst="rect">
          <a:avLst/>
        </a:prstGeom>
        <a:solidFill>
          <a:schemeClr val="bg1">
            <a:lumMod val="7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ptos Narrow" pitchFamily="2" charset="0"/>
            </a:rPr>
            <a:t>KEY INSIGHTS — Q1 2026</a:t>
          </a:r>
        </a:p>
        <a:p>
          <a:pPr algn="ctr" rtl="0">
            <a:defRPr sz="1000"/>
          </a:pPr>
          <a:endParaRPr lang="en-GB" sz="1200" b="1" i="0" u="none" strike="noStrike" baseline="0">
            <a:solidFill>
              <a:srgbClr val="000000"/>
            </a:solidFill>
            <a:latin typeface="Aptos Narrow" pitchFamily="2" charset="0"/>
          </a:endParaRPr>
        </a:p>
        <a:p>
          <a:pPr algn="ctr" rtl="0">
            <a:defRPr sz="1000"/>
          </a:pPr>
          <a:r>
            <a:rPr lang="en-GB" sz="1200" b="1"/>
            <a:t>Search Campaigns:</a:t>
          </a:r>
        </a:p>
        <a:p>
          <a:pPr algn="ctr" rtl="0">
            <a:defRPr sz="1000"/>
          </a:pPr>
          <a:r>
            <a:rPr lang="en-GB" sz="1200"/>
            <a:t>Highest CTR (5-6%) and best CPA ($2.87-$3.15). Strong intent drives efficient conversions. </a:t>
          </a:r>
        </a:p>
        <a:p>
          <a:pPr algn="ctr" rtl="0">
            <a:defRPr sz="1000"/>
          </a:pPr>
          <a:endParaRPr lang="en-GB" sz="1200"/>
        </a:p>
        <a:p>
          <a:pPr algn="ctr" rtl="0">
            <a:defRPr sz="1000"/>
          </a:pPr>
          <a:r>
            <a:rPr lang="en-GB" sz="1200" b="1"/>
            <a:t>Retargeting :</a:t>
          </a:r>
        </a:p>
        <a:p>
          <a:pPr algn="ctr" rtl="0">
            <a:defRPr sz="1000"/>
          </a:pPr>
          <a:r>
            <a:rPr lang="en-GB" sz="1200"/>
            <a:t>Highest conversion volume (81,656). Warm audiences convert consistently. </a:t>
          </a:r>
        </a:p>
        <a:p>
          <a:pPr algn="ctr" rtl="0">
            <a:defRPr sz="1000"/>
          </a:pPr>
          <a:endParaRPr lang="en-GB" sz="1200"/>
        </a:p>
        <a:p>
          <a:pPr algn="ctr" rtl="0">
            <a:defRPr sz="1000"/>
          </a:pPr>
          <a:r>
            <a:rPr lang="en-GB" sz="1200" b="1"/>
            <a:t>EndlessItalianNights:</a:t>
          </a:r>
        </a:p>
        <a:p>
          <a:pPr algn="ctr" rtl="0">
            <a:defRPr sz="1000"/>
          </a:pPr>
          <a:r>
            <a:rPr lang="en-GB" sz="1200"/>
            <a:t> Highest impressions (52M). Best for awareness.</a:t>
          </a:r>
        </a:p>
        <a:p>
          <a:pPr algn="ctr" rtl="0">
            <a:defRPr sz="1000"/>
          </a:pPr>
          <a:endParaRPr lang="en-GB" sz="1200"/>
        </a:p>
        <a:p>
          <a:pPr algn="ctr" rtl="0">
            <a:defRPr sz="1000"/>
          </a:pPr>
          <a:r>
            <a:rPr lang="en-GB" sz="1200" b="1"/>
            <a:t> NewYearNewPasta_Search:</a:t>
          </a:r>
        </a:p>
        <a:p>
          <a:pPr algn="ctr" rtl="0">
            <a:defRPr sz="1000"/>
          </a:pPr>
          <a:r>
            <a:rPr lang="en-GB" sz="1200"/>
            <a:t> Best CPA overall at $2.87. Best Conv Rate at 7.65%.</a:t>
          </a:r>
          <a:endParaRPr lang="en-GB" sz="1200" b="0" i="0" u="none" strike="noStrike" baseline="0">
            <a:solidFill>
              <a:srgbClr val="000000"/>
            </a:solidFill>
            <a:latin typeface="Aptos Narrow" pitchFamily="2" charset="0"/>
          </a:endParaRPr>
        </a:p>
        <a:p>
          <a:pPr algn="ctr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ptos Narrow" pitchFamily="2" charset="0"/>
            </a:rPr>
            <a:t>        </a:t>
          </a:r>
        </a:p>
      </xdr:txBody>
    </xdr:sp>
    <xdr:clientData/>
  </xdr:twoCellAnchor>
  <xdr:twoCellAnchor>
    <xdr:from>
      <xdr:col>0</xdr:col>
      <xdr:colOff>298450</xdr:colOff>
      <xdr:row>17</xdr:row>
      <xdr:rowOff>190500</xdr:rowOff>
    </xdr:from>
    <xdr:to>
      <xdr:col>5</xdr:col>
      <xdr:colOff>469900</xdr:colOff>
      <xdr:row>39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C9816B-9D8B-13D3-DC72-3DAAA17793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114300</xdr:colOff>
      <xdr:row>17</xdr:row>
      <xdr:rowOff>146050</xdr:rowOff>
    </xdr:from>
    <xdr:to>
      <xdr:col>15</xdr:col>
      <xdr:colOff>698500</xdr:colOff>
      <xdr:row>39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267069-95F2-B947-A32B-24CDCBABCF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50800</xdr:colOff>
      <xdr:row>41</xdr:row>
      <xdr:rowOff>57150</xdr:rowOff>
    </xdr:from>
    <xdr:to>
      <xdr:col>5</xdr:col>
      <xdr:colOff>482600</xdr:colOff>
      <xdr:row>65</xdr:row>
      <xdr:rowOff>127000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2C5F90F-75DE-B719-22E0-93F3555971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146050</xdr:colOff>
      <xdr:row>41</xdr:row>
      <xdr:rowOff>44450</xdr:rowOff>
    </xdr:from>
    <xdr:to>
      <xdr:col>15</xdr:col>
      <xdr:colOff>762000</xdr:colOff>
      <xdr:row>64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074D616-2403-BA19-DA73-0444F56EE1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0</xdr:rowOff>
    </xdr:from>
    <xdr:to>
      <xdr:col>15</xdr:col>
      <xdr:colOff>685800</xdr:colOff>
      <xdr:row>10</xdr:row>
      <xdr:rowOff>25400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1013D1E8-4DE6-7E4E-8C0F-656DDEDAF540}"/>
            </a:ext>
          </a:extLst>
        </xdr:cNvPr>
        <xdr:cNvSpPr txBox="1">
          <a:spLocks noChangeArrowheads="1"/>
        </xdr:cNvSpPr>
      </xdr:nvSpPr>
      <xdr:spPr bwMode="auto">
        <a:xfrm>
          <a:off x="10566400" y="0"/>
          <a:ext cx="3987800" cy="2057400"/>
        </a:xfrm>
        <a:prstGeom prst="rect">
          <a:avLst/>
        </a:prstGeom>
        <a:solidFill>
          <a:schemeClr val="bg1">
            <a:lumMod val="7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ptos Narrow" pitchFamily="2" charset="0"/>
            </a:rPr>
            <a:t>KEY INSIGHTS — Q1 2026</a:t>
          </a:r>
        </a:p>
        <a:p>
          <a:pPr algn="ctr" rtl="0">
            <a:defRPr sz="1000"/>
          </a:pPr>
          <a:endParaRPr lang="en-GB" sz="1200"/>
        </a:p>
        <a:p>
          <a:pPr algn="ctr" rtl="0">
            <a:defRPr sz="1000"/>
          </a:pPr>
          <a:r>
            <a:rPr lang="en-GB" sz="1200" b="1"/>
            <a:t> January</a:t>
          </a:r>
          <a:r>
            <a:rPr lang="en-GB" sz="1200"/>
            <a:t>:</a:t>
          </a:r>
          <a:r>
            <a:rPr lang="en-GB" sz="1200" baseline="0"/>
            <a:t>  </a:t>
          </a:r>
          <a:r>
            <a:rPr lang="en-GB" sz="1200"/>
            <a:t>Strong baseline. Highest spend ($484,828). NewYearNewPasta drove steady volume.</a:t>
          </a:r>
        </a:p>
        <a:p>
          <a:pPr algn="ctr" rtl="0">
            <a:defRPr sz="1000"/>
          </a:pPr>
          <a:endParaRPr lang="en-GB" sz="1200"/>
        </a:p>
        <a:p>
          <a:pPr algn="ctr" rtl="0">
            <a:defRPr sz="1000"/>
          </a:pPr>
          <a:r>
            <a:rPr lang="en-GB" sz="1200"/>
            <a:t> </a:t>
          </a:r>
          <a:r>
            <a:rPr lang="en-GB" sz="1200" b="1"/>
            <a:t>February</a:t>
          </a:r>
          <a:r>
            <a:rPr lang="en-GB" sz="1200"/>
            <a:t>:</a:t>
          </a:r>
          <a:r>
            <a:rPr lang="en-GB" sz="1200" baseline="0"/>
            <a:t> </a:t>
          </a:r>
          <a:r>
            <a:rPr lang="en-GB" sz="1200"/>
            <a:t>Valentine's Day elevated CPM slightly. Solid performance despite shorter month. </a:t>
          </a:r>
        </a:p>
        <a:p>
          <a:pPr algn="ctr" rtl="0">
            <a:defRPr sz="1000"/>
          </a:pPr>
          <a:endParaRPr lang="en-GB" sz="1200"/>
        </a:p>
        <a:p>
          <a:pPr algn="ctr" rtl="0">
            <a:defRPr sz="1000"/>
          </a:pPr>
          <a:r>
            <a:rPr lang="en-GB" sz="1200" b="1"/>
            <a:t>March</a:t>
          </a:r>
          <a:r>
            <a:rPr lang="en-GB" sz="1200" b="0"/>
            <a:t>:</a:t>
          </a:r>
          <a:r>
            <a:rPr lang="en-GB" sz="1200" b="0" baseline="0"/>
            <a:t> </a:t>
          </a:r>
          <a:r>
            <a:rPr lang="en-GB" sz="1200"/>
            <a:t>Best month,</a:t>
          </a:r>
          <a:r>
            <a:rPr lang="en-GB" sz="1200" baseline="0"/>
            <a:t> l</a:t>
          </a:r>
          <a:r>
            <a:rPr lang="en-GB" sz="1200"/>
            <a:t>owest CPA ($3.84),</a:t>
          </a:r>
          <a:r>
            <a:rPr lang="en-GB" sz="1200" baseline="0"/>
            <a:t> and S</a:t>
          </a:r>
          <a:r>
            <a:rPr lang="en-GB" sz="1200"/>
            <a:t>pringFeast campaign boosted conversions (129,912).</a:t>
          </a:r>
          <a:endParaRPr lang="en-GB" sz="1200" b="1" i="0" u="none" strike="noStrike" baseline="0">
            <a:solidFill>
              <a:srgbClr val="000000"/>
            </a:solidFill>
            <a:latin typeface="Aptos Narrow" pitchFamily="2" charset="0"/>
          </a:endParaRPr>
        </a:p>
      </xdr:txBody>
    </xdr:sp>
    <xdr:clientData/>
  </xdr:twoCellAnchor>
  <xdr:twoCellAnchor>
    <xdr:from>
      <xdr:col>0</xdr:col>
      <xdr:colOff>0</xdr:colOff>
      <xdr:row>11</xdr:row>
      <xdr:rowOff>196850</xdr:rowOff>
    </xdr:from>
    <xdr:to>
      <xdr:col>6</xdr:col>
      <xdr:colOff>222250</xdr:colOff>
      <xdr:row>25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46C8C8-3D9C-4DF3-905E-9B5DEF1348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152400</xdr:colOff>
      <xdr:row>11</xdr:row>
      <xdr:rowOff>152400</xdr:rowOff>
    </xdr:from>
    <xdr:to>
      <xdr:col>15</xdr:col>
      <xdr:colOff>584200</xdr:colOff>
      <xdr:row>25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3E7B0B-B798-AC53-F080-B4B05399C5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190500</xdr:rowOff>
    </xdr:from>
    <xdr:to>
      <xdr:col>4</xdr:col>
      <xdr:colOff>393700</xdr:colOff>
      <xdr:row>17</xdr:row>
      <xdr:rowOff>0</xdr:rowOff>
    </xdr:to>
    <xdr:sp macro="" textlink="">
      <xdr:nvSpPr>
        <xdr:cNvPr id="5" name="Trapezium 4">
          <a:extLst>
            <a:ext uri="{FF2B5EF4-FFF2-40B4-BE49-F238E27FC236}">
              <a16:creationId xmlns:a16="http://schemas.microsoft.com/office/drawing/2014/main" id="{209686CE-DEA9-2EB8-3D37-FEE61D1BC156}"/>
            </a:ext>
          </a:extLst>
        </xdr:cNvPr>
        <xdr:cNvSpPr/>
      </xdr:nvSpPr>
      <xdr:spPr>
        <a:xfrm>
          <a:off x="0" y="2425700"/>
          <a:ext cx="3987800" cy="1028700"/>
        </a:xfrm>
        <a:prstGeom prst="trapezoid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406400</xdr:colOff>
      <xdr:row>16</xdr:row>
      <xdr:rowOff>190500</xdr:rowOff>
    </xdr:from>
    <xdr:to>
      <xdr:col>3</xdr:col>
      <xdr:colOff>279400</xdr:colOff>
      <xdr:row>22</xdr:row>
      <xdr:rowOff>0</xdr:rowOff>
    </xdr:to>
    <xdr:sp macro="" textlink="">
      <xdr:nvSpPr>
        <xdr:cNvPr id="6" name="Trapezium 5">
          <a:extLst>
            <a:ext uri="{FF2B5EF4-FFF2-40B4-BE49-F238E27FC236}">
              <a16:creationId xmlns:a16="http://schemas.microsoft.com/office/drawing/2014/main" id="{006B980E-893F-804D-8AA7-D7683349651C}"/>
            </a:ext>
          </a:extLst>
        </xdr:cNvPr>
        <xdr:cNvSpPr/>
      </xdr:nvSpPr>
      <xdr:spPr>
        <a:xfrm>
          <a:off x="406400" y="3441700"/>
          <a:ext cx="2552700" cy="1028700"/>
        </a:xfrm>
        <a:prstGeom prst="trapezoid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762000</xdr:colOff>
      <xdr:row>22</xdr:row>
      <xdr:rowOff>0</xdr:rowOff>
    </xdr:from>
    <xdr:to>
      <xdr:col>2</xdr:col>
      <xdr:colOff>812800</xdr:colOff>
      <xdr:row>27</xdr:row>
      <xdr:rowOff>12700</xdr:rowOff>
    </xdr:to>
    <xdr:sp macro="" textlink="">
      <xdr:nvSpPr>
        <xdr:cNvPr id="7" name="Trapezium 6">
          <a:extLst>
            <a:ext uri="{FF2B5EF4-FFF2-40B4-BE49-F238E27FC236}">
              <a16:creationId xmlns:a16="http://schemas.microsoft.com/office/drawing/2014/main" id="{97A352C2-FB9E-AB40-B019-A81E6AA6D815}"/>
            </a:ext>
          </a:extLst>
        </xdr:cNvPr>
        <xdr:cNvSpPr/>
      </xdr:nvSpPr>
      <xdr:spPr>
        <a:xfrm>
          <a:off x="762000" y="4470400"/>
          <a:ext cx="1752600" cy="1028700"/>
        </a:xfrm>
        <a:prstGeom prst="trapezoid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368300</xdr:colOff>
      <xdr:row>13</xdr:row>
      <xdr:rowOff>165100</xdr:rowOff>
    </xdr:from>
    <xdr:to>
      <xdr:col>3</xdr:col>
      <xdr:colOff>533400</xdr:colOff>
      <xdr:row>15</xdr:row>
      <xdr:rowOff>38100</xdr:rowOff>
    </xdr:to>
    <xdr:sp macro="" textlink="">
      <xdr:nvSpPr>
        <xdr:cNvPr id="10242" name="Text Box 2">
          <a:extLst>
            <a:ext uri="{FF2B5EF4-FFF2-40B4-BE49-F238E27FC236}">
              <a16:creationId xmlns:a16="http://schemas.microsoft.com/office/drawing/2014/main" id="{698154C7-2E9C-B26A-06E9-87BC6A3E6CBB}"/>
            </a:ext>
          </a:extLst>
        </xdr:cNvPr>
        <xdr:cNvSpPr txBox="1">
          <a:spLocks noChangeArrowheads="1"/>
        </xdr:cNvSpPr>
      </xdr:nvSpPr>
      <xdr:spPr bwMode="auto">
        <a:xfrm>
          <a:off x="368300" y="2806700"/>
          <a:ext cx="2844800" cy="279400"/>
        </a:xfrm>
        <a:prstGeom prst="rect">
          <a:avLst/>
        </a:prstGeom>
        <a:solidFill>
          <a:schemeClr val="accent6">
            <a:lumMod val="75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en-GB" sz="1200" b="0" i="0" u="none" strike="noStrike" baseline="0">
              <a:solidFill>
                <a:schemeClr val="bg1"/>
              </a:solidFill>
              <a:latin typeface="Aptos Narrow" pitchFamily="2" charset="0"/>
            </a:rPr>
            <a:t>Impressions: 46.2M</a:t>
          </a:r>
        </a:p>
      </xdr:txBody>
    </xdr:sp>
    <xdr:clientData/>
  </xdr:twoCellAnchor>
  <xdr:twoCellAnchor>
    <xdr:from>
      <xdr:col>1</xdr:col>
      <xdr:colOff>177800</xdr:colOff>
      <xdr:row>24</xdr:row>
      <xdr:rowOff>0</xdr:rowOff>
    </xdr:from>
    <xdr:to>
      <xdr:col>2</xdr:col>
      <xdr:colOff>520700</xdr:colOff>
      <xdr:row>25</xdr:row>
      <xdr:rowOff>25400</xdr:rowOff>
    </xdr:to>
    <xdr:sp macro="" textlink="">
      <xdr:nvSpPr>
        <xdr:cNvPr id="10243" name="Text Box 3">
          <a:extLst>
            <a:ext uri="{FF2B5EF4-FFF2-40B4-BE49-F238E27FC236}">
              <a16:creationId xmlns:a16="http://schemas.microsoft.com/office/drawing/2014/main" id="{CD464387-01BE-4356-A64A-C180946AB83D}"/>
            </a:ext>
          </a:extLst>
        </xdr:cNvPr>
        <xdr:cNvSpPr txBox="1">
          <a:spLocks noChangeArrowheads="1"/>
        </xdr:cNvSpPr>
      </xdr:nvSpPr>
      <xdr:spPr bwMode="auto">
        <a:xfrm>
          <a:off x="1003300" y="4876800"/>
          <a:ext cx="1219200" cy="228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en-GB" sz="1200" b="0" i="0" u="none" strike="noStrike" baseline="0">
              <a:solidFill>
                <a:schemeClr val="bg1"/>
              </a:solidFill>
              <a:latin typeface="Aptos Narrow" pitchFamily="2" charset="0"/>
            </a:rPr>
            <a:t>Conv: 70K</a:t>
          </a:r>
        </a:p>
      </xdr:txBody>
    </xdr:sp>
    <xdr:clientData/>
  </xdr:twoCellAnchor>
  <xdr:twoCellAnchor>
    <xdr:from>
      <xdr:col>1</xdr:col>
      <xdr:colOff>228600</xdr:colOff>
      <xdr:row>18</xdr:row>
      <xdr:rowOff>139700</xdr:rowOff>
    </xdr:from>
    <xdr:to>
      <xdr:col>2</xdr:col>
      <xdr:colOff>495300</xdr:colOff>
      <xdr:row>20</xdr:row>
      <xdr:rowOff>25400</xdr:rowOff>
    </xdr:to>
    <xdr:sp macro="" textlink="">
      <xdr:nvSpPr>
        <xdr:cNvPr id="10244" name="Text Box 4">
          <a:extLst>
            <a:ext uri="{FF2B5EF4-FFF2-40B4-BE49-F238E27FC236}">
              <a16:creationId xmlns:a16="http://schemas.microsoft.com/office/drawing/2014/main" id="{E40687EB-8B22-A374-FE26-5FA632E8E4B5}"/>
            </a:ext>
          </a:extLst>
        </xdr:cNvPr>
        <xdr:cNvSpPr txBox="1">
          <a:spLocks noChangeArrowheads="1"/>
        </xdr:cNvSpPr>
      </xdr:nvSpPr>
      <xdr:spPr bwMode="auto">
        <a:xfrm>
          <a:off x="1054100" y="3797300"/>
          <a:ext cx="1143000" cy="2921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en-GB" sz="1200" b="0" i="0" u="none" strike="noStrike" baseline="0">
              <a:solidFill>
                <a:schemeClr val="bg1"/>
              </a:solidFill>
              <a:latin typeface="Aptos Narrow" pitchFamily="2" charset="0"/>
            </a:rPr>
            <a:t>Clicks: 1.6M</a:t>
          </a:r>
        </a:p>
      </xdr:txBody>
    </xdr:sp>
    <xdr:clientData/>
  </xdr:twoCellAnchor>
  <xdr:twoCellAnchor editAs="oneCell">
    <xdr:from>
      <xdr:col>1</xdr:col>
      <xdr:colOff>762000</xdr:colOff>
      <xdr:row>10</xdr:row>
      <xdr:rowOff>1411</xdr:rowOff>
    </xdr:from>
    <xdr:to>
      <xdr:col>2</xdr:col>
      <xdr:colOff>406400</xdr:colOff>
      <xdr:row>11</xdr:row>
      <xdr:rowOff>203199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44410E4-DC6A-6F6D-7BBA-1AFB0125B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0" y="2033411"/>
          <a:ext cx="520700" cy="404988"/>
        </a:xfrm>
        <a:prstGeom prst="rect">
          <a:avLst/>
        </a:prstGeom>
      </xdr:spPr>
    </xdr:pic>
    <xdr:clientData/>
  </xdr:twoCellAnchor>
  <xdr:twoCellAnchor>
    <xdr:from>
      <xdr:col>5</xdr:col>
      <xdr:colOff>381000</xdr:colOff>
      <xdr:row>12</xdr:row>
      <xdr:rowOff>12700</xdr:rowOff>
    </xdr:from>
    <xdr:to>
      <xdr:col>10</xdr:col>
      <xdr:colOff>736600</xdr:colOff>
      <xdr:row>17</xdr:row>
      <xdr:rowOff>25400</xdr:rowOff>
    </xdr:to>
    <xdr:sp macro="" textlink="">
      <xdr:nvSpPr>
        <xdr:cNvPr id="2" name="Trapezium 1">
          <a:extLst>
            <a:ext uri="{FF2B5EF4-FFF2-40B4-BE49-F238E27FC236}">
              <a16:creationId xmlns:a16="http://schemas.microsoft.com/office/drawing/2014/main" id="{8CDB5531-CA7F-1045-BCEF-E6E4C1180B75}"/>
            </a:ext>
          </a:extLst>
        </xdr:cNvPr>
        <xdr:cNvSpPr/>
      </xdr:nvSpPr>
      <xdr:spPr>
        <a:xfrm>
          <a:off x="4800600" y="2451100"/>
          <a:ext cx="4483100" cy="1028700"/>
        </a:xfrm>
        <a:prstGeom prst="trapezoid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</xdr:col>
      <xdr:colOff>304800</xdr:colOff>
      <xdr:row>13</xdr:row>
      <xdr:rowOff>165100</xdr:rowOff>
    </xdr:from>
    <xdr:to>
      <xdr:col>9</xdr:col>
      <xdr:colOff>673100</xdr:colOff>
      <xdr:row>15</xdr:row>
      <xdr:rowOff>38100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B8413F6C-8CA2-AA46-8C84-1EF7AF92744A}"/>
            </a:ext>
          </a:extLst>
        </xdr:cNvPr>
        <xdr:cNvSpPr txBox="1">
          <a:spLocks noChangeArrowheads="1"/>
        </xdr:cNvSpPr>
      </xdr:nvSpPr>
      <xdr:spPr bwMode="auto">
        <a:xfrm>
          <a:off x="5549900" y="2806700"/>
          <a:ext cx="2844800" cy="279400"/>
        </a:xfrm>
        <a:prstGeom prst="rect">
          <a:avLst/>
        </a:prstGeom>
        <a:solidFill>
          <a:schemeClr val="accent6">
            <a:lumMod val="75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en-GB" sz="1200" b="0" i="0" u="none" strike="noStrike" baseline="0">
              <a:solidFill>
                <a:schemeClr val="bg1"/>
              </a:solidFill>
              <a:latin typeface="Aptos Narrow" pitchFamily="2" charset="0"/>
            </a:rPr>
            <a:t>Impressions: 49.4M</a:t>
          </a:r>
        </a:p>
      </xdr:txBody>
    </xdr:sp>
    <xdr:clientData/>
  </xdr:twoCellAnchor>
  <xdr:twoCellAnchor>
    <xdr:from>
      <xdr:col>6</xdr:col>
      <xdr:colOff>292100</xdr:colOff>
      <xdr:row>17</xdr:row>
      <xdr:rowOff>25400</xdr:rowOff>
    </xdr:from>
    <xdr:to>
      <xdr:col>9</xdr:col>
      <xdr:colOff>508000</xdr:colOff>
      <xdr:row>22</xdr:row>
      <xdr:rowOff>38100</xdr:rowOff>
    </xdr:to>
    <xdr:sp macro="" textlink="">
      <xdr:nvSpPr>
        <xdr:cNvPr id="4" name="Trapezium 3">
          <a:extLst>
            <a:ext uri="{FF2B5EF4-FFF2-40B4-BE49-F238E27FC236}">
              <a16:creationId xmlns:a16="http://schemas.microsoft.com/office/drawing/2014/main" id="{CDD17000-0EAF-634E-A4C2-D7E6F248E55B}"/>
            </a:ext>
          </a:extLst>
        </xdr:cNvPr>
        <xdr:cNvSpPr/>
      </xdr:nvSpPr>
      <xdr:spPr>
        <a:xfrm>
          <a:off x="5537200" y="3479800"/>
          <a:ext cx="2692400" cy="1028700"/>
        </a:xfrm>
        <a:prstGeom prst="trapezoid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203200</xdr:colOff>
      <xdr:row>19</xdr:row>
      <xdr:rowOff>12700</xdr:rowOff>
    </xdr:from>
    <xdr:to>
      <xdr:col>8</xdr:col>
      <xdr:colOff>520700</xdr:colOff>
      <xdr:row>20</xdr:row>
      <xdr:rowOff>101600</xdr:rowOff>
    </xdr:to>
    <xdr:sp macro="" textlink="">
      <xdr:nvSpPr>
        <xdr:cNvPr id="8" name="Text Box 4">
          <a:extLst>
            <a:ext uri="{FF2B5EF4-FFF2-40B4-BE49-F238E27FC236}">
              <a16:creationId xmlns:a16="http://schemas.microsoft.com/office/drawing/2014/main" id="{503705EE-99A3-1B44-A2BB-0595E7B4DCC6}"/>
            </a:ext>
          </a:extLst>
        </xdr:cNvPr>
        <xdr:cNvSpPr txBox="1">
          <a:spLocks noChangeArrowheads="1"/>
        </xdr:cNvSpPr>
      </xdr:nvSpPr>
      <xdr:spPr bwMode="auto">
        <a:xfrm>
          <a:off x="6273800" y="3873500"/>
          <a:ext cx="1143000" cy="2921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en-GB" sz="1200" b="0" i="0" u="none" strike="noStrike" baseline="0">
              <a:solidFill>
                <a:schemeClr val="bg1"/>
              </a:solidFill>
              <a:latin typeface="Aptos Narrow" pitchFamily="2" charset="0"/>
            </a:rPr>
            <a:t>Clicks: 1.7M</a:t>
          </a:r>
        </a:p>
      </xdr:txBody>
    </xdr:sp>
    <xdr:clientData/>
  </xdr:twoCellAnchor>
  <xdr:twoCellAnchor>
    <xdr:from>
      <xdr:col>6</xdr:col>
      <xdr:colOff>660400</xdr:colOff>
      <xdr:row>22</xdr:row>
      <xdr:rowOff>38100</xdr:rowOff>
    </xdr:from>
    <xdr:to>
      <xdr:col>9</xdr:col>
      <xdr:colOff>152400</xdr:colOff>
      <xdr:row>27</xdr:row>
      <xdr:rowOff>50800</xdr:rowOff>
    </xdr:to>
    <xdr:sp macro="" textlink="">
      <xdr:nvSpPr>
        <xdr:cNvPr id="9" name="Trapezium 8">
          <a:extLst>
            <a:ext uri="{FF2B5EF4-FFF2-40B4-BE49-F238E27FC236}">
              <a16:creationId xmlns:a16="http://schemas.microsoft.com/office/drawing/2014/main" id="{C21C3876-0C83-7740-B625-AA05EB507B3B}"/>
            </a:ext>
          </a:extLst>
        </xdr:cNvPr>
        <xdr:cNvSpPr/>
      </xdr:nvSpPr>
      <xdr:spPr>
        <a:xfrm>
          <a:off x="5905500" y="4508500"/>
          <a:ext cx="1968500" cy="1028700"/>
        </a:xfrm>
        <a:prstGeom prst="trapezoid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152400</xdr:colOff>
      <xdr:row>24</xdr:row>
      <xdr:rowOff>25400</xdr:rowOff>
    </xdr:from>
    <xdr:to>
      <xdr:col>8</xdr:col>
      <xdr:colOff>546100</xdr:colOff>
      <xdr:row>25</xdr:row>
      <xdr:rowOff>50800</xdr:rowOff>
    </xdr:to>
    <xdr:sp macro="" textlink="">
      <xdr:nvSpPr>
        <xdr:cNvPr id="10" name="Text Box 3">
          <a:extLst>
            <a:ext uri="{FF2B5EF4-FFF2-40B4-BE49-F238E27FC236}">
              <a16:creationId xmlns:a16="http://schemas.microsoft.com/office/drawing/2014/main" id="{5A98586F-93D8-F240-A17C-263A9C59F3EF}"/>
            </a:ext>
          </a:extLst>
        </xdr:cNvPr>
        <xdr:cNvSpPr txBox="1">
          <a:spLocks noChangeArrowheads="1"/>
        </xdr:cNvSpPr>
      </xdr:nvSpPr>
      <xdr:spPr bwMode="auto">
        <a:xfrm>
          <a:off x="6223000" y="4902200"/>
          <a:ext cx="1219200" cy="228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en-GB" sz="1200" b="0" i="0" u="none" strike="noStrike" baseline="0">
              <a:solidFill>
                <a:schemeClr val="bg1"/>
              </a:solidFill>
              <a:latin typeface="Aptos Narrow" pitchFamily="2" charset="0"/>
            </a:rPr>
            <a:t>Conv: 123K</a:t>
          </a:r>
        </a:p>
      </xdr:txBody>
    </xdr:sp>
    <xdr:clientData/>
  </xdr:twoCellAnchor>
  <xdr:twoCellAnchor editAs="oneCell">
    <xdr:from>
      <xdr:col>7</xdr:col>
      <xdr:colOff>508000</xdr:colOff>
      <xdr:row>9</xdr:row>
      <xdr:rowOff>152400</xdr:rowOff>
    </xdr:from>
    <xdr:to>
      <xdr:col>8</xdr:col>
      <xdr:colOff>177800</xdr:colOff>
      <xdr:row>12</xdr:row>
      <xdr:rowOff>38100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05DF793-4F6F-9993-2F0D-6DEEAEBD1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8600" y="1981200"/>
          <a:ext cx="495300" cy="495300"/>
        </a:xfrm>
        <a:prstGeom prst="rect">
          <a:avLst/>
        </a:prstGeom>
      </xdr:spPr>
    </xdr:pic>
    <xdr:clientData/>
  </xdr:twoCellAnchor>
  <xdr:twoCellAnchor>
    <xdr:from>
      <xdr:col>11</xdr:col>
      <xdr:colOff>381000</xdr:colOff>
      <xdr:row>12</xdr:row>
      <xdr:rowOff>0</xdr:rowOff>
    </xdr:from>
    <xdr:to>
      <xdr:col>16</xdr:col>
      <xdr:colOff>749300</xdr:colOff>
      <xdr:row>17</xdr:row>
      <xdr:rowOff>12700</xdr:rowOff>
    </xdr:to>
    <xdr:sp macro="" textlink="">
      <xdr:nvSpPr>
        <xdr:cNvPr id="14" name="Trapezium 13">
          <a:extLst>
            <a:ext uri="{FF2B5EF4-FFF2-40B4-BE49-F238E27FC236}">
              <a16:creationId xmlns:a16="http://schemas.microsoft.com/office/drawing/2014/main" id="{B4840BC1-ED06-3043-A540-07AE3B2A2F58}"/>
            </a:ext>
          </a:extLst>
        </xdr:cNvPr>
        <xdr:cNvSpPr/>
      </xdr:nvSpPr>
      <xdr:spPr>
        <a:xfrm>
          <a:off x="9753600" y="2438400"/>
          <a:ext cx="4495800" cy="1028700"/>
        </a:xfrm>
        <a:prstGeom prst="trapezoid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12</xdr:col>
      <xdr:colOff>88900</xdr:colOff>
      <xdr:row>17</xdr:row>
      <xdr:rowOff>0</xdr:rowOff>
    </xdr:from>
    <xdr:to>
      <xdr:col>15</xdr:col>
      <xdr:colOff>495300</xdr:colOff>
      <xdr:row>22</xdr:row>
      <xdr:rowOff>12700</xdr:rowOff>
    </xdr:to>
    <xdr:sp macro="" textlink="">
      <xdr:nvSpPr>
        <xdr:cNvPr id="15" name="Trapezium 14">
          <a:extLst>
            <a:ext uri="{FF2B5EF4-FFF2-40B4-BE49-F238E27FC236}">
              <a16:creationId xmlns:a16="http://schemas.microsoft.com/office/drawing/2014/main" id="{EF1B8821-94BB-C547-A1A1-FBFECD090B91}"/>
            </a:ext>
          </a:extLst>
        </xdr:cNvPr>
        <xdr:cNvSpPr/>
      </xdr:nvSpPr>
      <xdr:spPr>
        <a:xfrm>
          <a:off x="10287000" y="3454400"/>
          <a:ext cx="2882900" cy="1028700"/>
        </a:xfrm>
        <a:prstGeom prst="trapezoid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12</xdr:col>
      <xdr:colOff>203200</xdr:colOff>
      <xdr:row>13</xdr:row>
      <xdr:rowOff>152400</xdr:rowOff>
    </xdr:from>
    <xdr:to>
      <xdr:col>15</xdr:col>
      <xdr:colOff>571500</xdr:colOff>
      <xdr:row>15</xdr:row>
      <xdr:rowOff>25400</xdr:rowOff>
    </xdr:to>
    <xdr:sp macro="" textlink="">
      <xdr:nvSpPr>
        <xdr:cNvPr id="16" name="Text Box 2">
          <a:extLst>
            <a:ext uri="{FF2B5EF4-FFF2-40B4-BE49-F238E27FC236}">
              <a16:creationId xmlns:a16="http://schemas.microsoft.com/office/drawing/2014/main" id="{AA5760FE-BFBC-4F43-BBA4-A54F4FF3411B}"/>
            </a:ext>
          </a:extLst>
        </xdr:cNvPr>
        <xdr:cNvSpPr txBox="1">
          <a:spLocks noChangeArrowheads="1"/>
        </xdr:cNvSpPr>
      </xdr:nvSpPr>
      <xdr:spPr bwMode="auto">
        <a:xfrm>
          <a:off x="10401300" y="2794000"/>
          <a:ext cx="2844800" cy="279400"/>
        </a:xfrm>
        <a:prstGeom prst="rect">
          <a:avLst/>
        </a:prstGeom>
        <a:solidFill>
          <a:schemeClr val="accent6">
            <a:lumMod val="75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en-GB" sz="1200" b="0" i="0" u="none" strike="noStrike" baseline="0">
              <a:solidFill>
                <a:schemeClr val="bg1"/>
              </a:solidFill>
              <a:latin typeface="Aptos Narrow" pitchFamily="2" charset="0"/>
            </a:rPr>
            <a:t>Impressions: 55.9M</a:t>
          </a:r>
        </a:p>
      </xdr:txBody>
    </xdr:sp>
    <xdr:clientData/>
  </xdr:twoCellAnchor>
  <xdr:twoCellAnchor>
    <xdr:from>
      <xdr:col>13</xdr:col>
      <xdr:colOff>63500</xdr:colOff>
      <xdr:row>18</xdr:row>
      <xdr:rowOff>152400</xdr:rowOff>
    </xdr:from>
    <xdr:to>
      <xdr:col>14</xdr:col>
      <xdr:colOff>381000</xdr:colOff>
      <xdr:row>20</xdr:row>
      <xdr:rowOff>38100</xdr:rowOff>
    </xdr:to>
    <xdr:sp macro="" textlink="">
      <xdr:nvSpPr>
        <xdr:cNvPr id="17" name="Text Box 4">
          <a:extLst>
            <a:ext uri="{FF2B5EF4-FFF2-40B4-BE49-F238E27FC236}">
              <a16:creationId xmlns:a16="http://schemas.microsoft.com/office/drawing/2014/main" id="{1BC16ABC-8147-7544-B167-A21EAB1415DC}"/>
            </a:ext>
          </a:extLst>
        </xdr:cNvPr>
        <xdr:cNvSpPr txBox="1">
          <a:spLocks noChangeArrowheads="1"/>
        </xdr:cNvSpPr>
      </xdr:nvSpPr>
      <xdr:spPr bwMode="auto">
        <a:xfrm>
          <a:off x="11087100" y="3810000"/>
          <a:ext cx="1143000" cy="2921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en-GB" sz="1200" b="0" i="0" u="none" strike="noStrike" baseline="0">
              <a:solidFill>
                <a:schemeClr val="bg1"/>
              </a:solidFill>
              <a:latin typeface="Aptos Narrow" pitchFamily="2" charset="0"/>
            </a:rPr>
            <a:t>Clicks: 2.2M</a:t>
          </a:r>
        </a:p>
      </xdr:txBody>
    </xdr:sp>
    <xdr:clientData/>
  </xdr:twoCellAnchor>
  <xdr:twoCellAnchor>
    <xdr:from>
      <xdr:col>12</xdr:col>
      <xdr:colOff>584200</xdr:colOff>
      <xdr:row>22</xdr:row>
      <xdr:rowOff>12700</xdr:rowOff>
    </xdr:from>
    <xdr:to>
      <xdr:col>14</xdr:col>
      <xdr:colOff>673100</xdr:colOff>
      <xdr:row>27</xdr:row>
      <xdr:rowOff>25400</xdr:rowOff>
    </xdr:to>
    <xdr:sp macro="" textlink="">
      <xdr:nvSpPr>
        <xdr:cNvPr id="18" name="Trapezium 17">
          <a:extLst>
            <a:ext uri="{FF2B5EF4-FFF2-40B4-BE49-F238E27FC236}">
              <a16:creationId xmlns:a16="http://schemas.microsoft.com/office/drawing/2014/main" id="{3CD52545-7A77-E848-B114-2C47D5791AE5}"/>
            </a:ext>
          </a:extLst>
        </xdr:cNvPr>
        <xdr:cNvSpPr/>
      </xdr:nvSpPr>
      <xdr:spPr>
        <a:xfrm>
          <a:off x="10782300" y="4483100"/>
          <a:ext cx="1739900" cy="1028700"/>
        </a:xfrm>
        <a:prstGeom prst="trapezoid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13</xdr:col>
      <xdr:colOff>50800</xdr:colOff>
      <xdr:row>23</xdr:row>
      <xdr:rowOff>190500</xdr:rowOff>
    </xdr:from>
    <xdr:to>
      <xdr:col>14</xdr:col>
      <xdr:colOff>444500</xdr:colOff>
      <xdr:row>25</xdr:row>
      <xdr:rowOff>12700</xdr:rowOff>
    </xdr:to>
    <xdr:sp macro="" textlink="">
      <xdr:nvSpPr>
        <xdr:cNvPr id="19" name="Text Box 3">
          <a:extLst>
            <a:ext uri="{FF2B5EF4-FFF2-40B4-BE49-F238E27FC236}">
              <a16:creationId xmlns:a16="http://schemas.microsoft.com/office/drawing/2014/main" id="{BD63057D-E486-574A-A0CE-D9365A19AC24}"/>
            </a:ext>
          </a:extLst>
        </xdr:cNvPr>
        <xdr:cNvSpPr txBox="1">
          <a:spLocks noChangeArrowheads="1"/>
        </xdr:cNvSpPr>
      </xdr:nvSpPr>
      <xdr:spPr bwMode="auto">
        <a:xfrm>
          <a:off x="11074400" y="4864100"/>
          <a:ext cx="1219200" cy="228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en-GB" sz="1200" b="0" i="0" u="none" strike="noStrike" baseline="0">
              <a:solidFill>
                <a:schemeClr val="bg1"/>
              </a:solidFill>
              <a:latin typeface="Aptos Narrow" pitchFamily="2" charset="0"/>
            </a:rPr>
            <a:t>Conv: 103K</a:t>
          </a:r>
        </a:p>
      </xdr:txBody>
    </xdr:sp>
    <xdr:clientData/>
  </xdr:twoCellAnchor>
  <xdr:twoCellAnchor editAs="oneCell">
    <xdr:from>
      <xdr:col>13</xdr:col>
      <xdr:colOff>571500</xdr:colOff>
      <xdr:row>9</xdr:row>
      <xdr:rowOff>114300</xdr:rowOff>
    </xdr:from>
    <xdr:to>
      <xdr:col>14</xdr:col>
      <xdr:colOff>241300</xdr:colOff>
      <xdr:row>12</xdr:row>
      <xdr:rowOff>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22B420A-EDF8-7C0D-7AF2-48A5DFA44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5100" y="1943100"/>
          <a:ext cx="495300" cy="495300"/>
        </a:xfrm>
        <a:prstGeom prst="rect">
          <a:avLst/>
        </a:prstGeom>
      </xdr:spPr>
    </xdr:pic>
    <xdr:clientData/>
  </xdr:twoCellAnchor>
  <xdr:twoCellAnchor>
    <xdr:from>
      <xdr:col>17</xdr:col>
      <xdr:colOff>660400</xdr:colOff>
      <xdr:row>12</xdr:row>
      <xdr:rowOff>0</xdr:rowOff>
    </xdr:from>
    <xdr:to>
      <xdr:col>23</xdr:col>
      <xdr:colOff>508000</xdr:colOff>
      <xdr:row>17</xdr:row>
      <xdr:rowOff>12700</xdr:rowOff>
    </xdr:to>
    <xdr:sp macro="" textlink="">
      <xdr:nvSpPr>
        <xdr:cNvPr id="24" name="Trapezium 23">
          <a:extLst>
            <a:ext uri="{FF2B5EF4-FFF2-40B4-BE49-F238E27FC236}">
              <a16:creationId xmlns:a16="http://schemas.microsoft.com/office/drawing/2014/main" id="{1D61C2EA-57D4-2B48-BD8D-907551BA9B2F}"/>
            </a:ext>
          </a:extLst>
        </xdr:cNvPr>
        <xdr:cNvSpPr/>
      </xdr:nvSpPr>
      <xdr:spPr>
        <a:xfrm>
          <a:off x="14986000" y="2438400"/>
          <a:ext cx="4800600" cy="1028700"/>
        </a:xfrm>
        <a:prstGeom prst="trapezoid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18</xdr:col>
      <xdr:colOff>660400</xdr:colOff>
      <xdr:row>13</xdr:row>
      <xdr:rowOff>152400</xdr:rowOff>
    </xdr:from>
    <xdr:to>
      <xdr:col>22</xdr:col>
      <xdr:colOff>203200</xdr:colOff>
      <xdr:row>15</xdr:row>
      <xdr:rowOff>25400</xdr:rowOff>
    </xdr:to>
    <xdr:sp macro="" textlink="">
      <xdr:nvSpPr>
        <xdr:cNvPr id="25" name="Text Box 2">
          <a:extLst>
            <a:ext uri="{FF2B5EF4-FFF2-40B4-BE49-F238E27FC236}">
              <a16:creationId xmlns:a16="http://schemas.microsoft.com/office/drawing/2014/main" id="{72D17D94-C148-384F-B86D-9F6DEED0BFA3}"/>
            </a:ext>
          </a:extLst>
        </xdr:cNvPr>
        <xdr:cNvSpPr txBox="1">
          <a:spLocks noChangeArrowheads="1"/>
        </xdr:cNvSpPr>
      </xdr:nvSpPr>
      <xdr:spPr bwMode="auto">
        <a:xfrm>
          <a:off x="15811500" y="2794000"/>
          <a:ext cx="2844800" cy="279400"/>
        </a:xfrm>
        <a:prstGeom prst="rect">
          <a:avLst/>
        </a:prstGeom>
        <a:solidFill>
          <a:schemeClr val="accent6">
            <a:lumMod val="75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en-GB" sz="1200" b="0" i="0" u="none" strike="noStrike" baseline="0">
              <a:solidFill>
                <a:schemeClr val="bg1"/>
              </a:solidFill>
              <a:latin typeface="Aptos Narrow" pitchFamily="2" charset="0"/>
            </a:rPr>
            <a:t>Impressions: 58.1M</a:t>
          </a:r>
        </a:p>
      </xdr:txBody>
    </xdr:sp>
    <xdr:clientData/>
  </xdr:twoCellAnchor>
  <xdr:twoCellAnchor>
    <xdr:from>
      <xdr:col>19</xdr:col>
      <xdr:colOff>0</xdr:colOff>
      <xdr:row>17</xdr:row>
      <xdr:rowOff>0</xdr:rowOff>
    </xdr:from>
    <xdr:to>
      <xdr:col>22</xdr:col>
      <xdr:colOff>342900</xdr:colOff>
      <xdr:row>22</xdr:row>
      <xdr:rowOff>12700</xdr:rowOff>
    </xdr:to>
    <xdr:sp macro="" textlink="">
      <xdr:nvSpPr>
        <xdr:cNvPr id="26" name="Trapezium 25">
          <a:extLst>
            <a:ext uri="{FF2B5EF4-FFF2-40B4-BE49-F238E27FC236}">
              <a16:creationId xmlns:a16="http://schemas.microsoft.com/office/drawing/2014/main" id="{7AA18144-A1D8-EE4B-BE56-36880EC62CC8}"/>
            </a:ext>
          </a:extLst>
        </xdr:cNvPr>
        <xdr:cNvSpPr/>
      </xdr:nvSpPr>
      <xdr:spPr>
        <a:xfrm>
          <a:off x="15976600" y="3454400"/>
          <a:ext cx="2819400" cy="1028700"/>
        </a:xfrm>
        <a:prstGeom prst="trapezoid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19</xdr:col>
      <xdr:colOff>736600</xdr:colOff>
      <xdr:row>18</xdr:row>
      <xdr:rowOff>139700</xdr:rowOff>
    </xdr:from>
    <xdr:to>
      <xdr:col>21</xdr:col>
      <xdr:colOff>228600</xdr:colOff>
      <xdr:row>20</xdr:row>
      <xdr:rowOff>25400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A0CA57F5-416C-BA43-9485-EA18EE935D0A}"/>
            </a:ext>
          </a:extLst>
        </xdr:cNvPr>
        <xdr:cNvSpPr txBox="1">
          <a:spLocks noChangeArrowheads="1"/>
        </xdr:cNvSpPr>
      </xdr:nvSpPr>
      <xdr:spPr bwMode="auto">
        <a:xfrm>
          <a:off x="16713200" y="3797300"/>
          <a:ext cx="1143000" cy="2921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en-GB" sz="1200" b="0" i="0" u="none" strike="noStrike" baseline="0">
              <a:solidFill>
                <a:schemeClr val="bg1"/>
              </a:solidFill>
              <a:latin typeface="Aptos Narrow" pitchFamily="2" charset="0"/>
            </a:rPr>
            <a:t>Clicks: 2.1M</a:t>
          </a:r>
        </a:p>
      </xdr:txBody>
    </xdr:sp>
    <xdr:clientData/>
  </xdr:twoCellAnchor>
  <xdr:twoCellAnchor>
    <xdr:from>
      <xdr:col>19</xdr:col>
      <xdr:colOff>622300</xdr:colOff>
      <xdr:row>22</xdr:row>
      <xdr:rowOff>0</xdr:rowOff>
    </xdr:from>
    <xdr:to>
      <xdr:col>21</xdr:col>
      <xdr:colOff>393700</xdr:colOff>
      <xdr:row>27</xdr:row>
      <xdr:rowOff>12700</xdr:rowOff>
    </xdr:to>
    <xdr:sp macro="" textlink="">
      <xdr:nvSpPr>
        <xdr:cNvPr id="28" name="Trapezium 27">
          <a:extLst>
            <a:ext uri="{FF2B5EF4-FFF2-40B4-BE49-F238E27FC236}">
              <a16:creationId xmlns:a16="http://schemas.microsoft.com/office/drawing/2014/main" id="{583A19A7-AF6B-8E45-9CFC-4020A5586E91}"/>
            </a:ext>
          </a:extLst>
        </xdr:cNvPr>
        <xdr:cNvSpPr/>
      </xdr:nvSpPr>
      <xdr:spPr>
        <a:xfrm>
          <a:off x="16598900" y="4470400"/>
          <a:ext cx="1422400" cy="1028700"/>
        </a:xfrm>
        <a:prstGeom prst="trapezoid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19</xdr:col>
      <xdr:colOff>787400</xdr:colOff>
      <xdr:row>24</xdr:row>
      <xdr:rowOff>76200</xdr:rowOff>
    </xdr:from>
    <xdr:to>
      <xdr:col>21</xdr:col>
      <xdr:colOff>228600</xdr:colOff>
      <xdr:row>25</xdr:row>
      <xdr:rowOff>76200</xdr:rowOff>
    </xdr:to>
    <xdr:sp macro="" textlink="">
      <xdr:nvSpPr>
        <xdr:cNvPr id="29" name="Text Box 3">
          <a:extLst>
            <a:ext uri="{FF2B5EF4-FFF2-40B4-BE49-F238E27FC236}">
              <a16:creationId xmlns:a16="http://schemas.microsoft.com/office/drawing/2014/main" id="{70EA2404-C7D7-3D49-8AF2-3CFD8C7E29F2}"/>
            </a:ext>
          </a:extLst>
        </xdr:cNvPr>
        <xdr:cNvSpPr txBox="1">
          <a:spLocks noChangeArrowheads="1"/>
        </xdr:cNvSpPr>
      </xdr:nvSpPr>
      <xdr:spPr bwMode="auto">
        <a:xfrm>
          <a:off x="16764000" y="4953000"/>
          <a:ext cx="1092200" cy="2032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en-GB" sz="1200" b="0" i="0" u="none" strike="noStrike" baseline="0">
              <a:solidFill>
                <a:schemeClr val="bg1"/>
              </a:solidFill>
              <a:latin typeface="Aptos Narrow" pitchFamily="2" charset="0"/>
            </a:rPr>
            <a:t>Conv: 73K</a:t>
          </a:r>
        </a:p>
      </xdr:txBody>
    </xdr:sp>
    <xdr:clientData/>
  </xdr:twoCellAnchor>
  <xdr:twoCellAnchor editAs="oneCell">
    <xdr:from>
      <xdr:col>20</xdr:col>
      <xdr:colOff>139700</xdr:colOff>
      <xdr:row>9</xdr:row>
      <xdr:rowOff>76200</xdr:rowOff>
    </xdr:from>
    <xdr:to>
      <xdr:col>20</xdr:col>
      <xdr:colOff>711200</xdr:colOff>
      <xdr:row>12</xdr:row>
      <xdr:rowOff>38100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AF432CE2-E011-56A2-9246-C4E8E08E9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41800" y="1905000"/>
          <a:ext cx="571500" cy="571500"/>
        </a:xfrm>
        <a:prstGeom prst="rect">
          <a:avLst/>
        </a:prstGeom>
      </xdr:spPr>
    </xdr:pic>
    <xdr:clientData/>
  </xdr:twoCellAnchor>
  <xdr:twoCellAnchor>
    <xdr:from>
      <xdr:col>6</xdr:col>
      <xdr:colOff>127000</xdr:colOff>
      <xdr:row>0</xdr:row>
      <xdr:rowOff>0</xdr:rowOff>
    </xdr:from>
    <xdr:to>
      <xdr:col>10</xdr:col>
      <xdr:colOff>812800</xdr:colOff>
      <xdr:row>9</xdr:row>
      <xdr:rowOff>63500</xdr:rowOff>
    </xdr:to>
    <xdr:sp macro="" textlink="">
      <xdr:nvSpPr>
        <xdr:cNvPr id="33" name="Text Box 1">
          <a:extLst>
            <a:ext uri="{FF2B5EF4-FFF2-40B4-BE49-F238E27FC236}">
              <a16:creationId xmlns:a16="http://schemas.microsoft.com/office/drawing/2014/main" id="{A4B8D221-CC6B-D440-92AA-A875E4B664C9}"/>
            </a:ext>
          </a:extLst>
        </xdr:cNvPr>
        <xdr:cNvSpPr txBox="1">
          <a:spLocks noChangeArrowheads="1"/>
        </xdr:cNvSpPr>
      </xdr:nvSpPr>
      <xdr:spPr bwMode="auto">
        <a:xfrm>
          <a:off x="5372100" y="0"/>
          <a:ext cx="3987800" cy="1892300"/>
        </a:xfrm>
        <a:prstGeom prst="rect">
          <a:avLst/>
        </a:prstGeom>
        <a:solidFill>
          <a:schemeClr val="bg1">
            <a:lumMod val="7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ptos Narrow" pitchFamily="2" charset="0"/>
            </a:rPr>
            <a:t>KEY INSIGHTS — Q1 2026</a:t>
          </a:r>
        </a:p>
        <a:p>
          <a:pPr algn="ctr" rtl="0">
            <a:defRPr sz="1000"/>
          </a:pPr>
          <a:endParaRPr lang="en-GB" sz="1200" b="0" i="0" u="none" strike="noStrike" baseline="0">
            <a:solidFill>
              <a:srgbClr val="000000"/>
            </a:solidFill>
            <a:latin typeface="Aptos Narrow" pitchFamily="2" charset="0"/>
          </a:endParaRPr>
        </a:p>
        <a:p>
          <a:pPr algn="ctr" rtl="0">
            <a:defRPr sz="1000"/>
          </a:pPr>
          <a:r>
            <a:rPr lang="en-GB" sz="1200"/>
            <a:t>       Best at attracting clicks. Most engaging ads. </a:t>
          </a:r>
        </a:p>
        <a:p>
          <a:pPr algn="ctr" rtl="0">
            <a:defRPr sz="1000"/>
          </a:pPr>
          <a:endParaRPr lang="en-GB" sz="1200"/>
        </a:p>
        <a:p>
          <a:pPr algn="ctr" rtl="0">
            <a:defRPr sz="1000"/>
          </a:pPr>
          <a:r>
            <a:rPr lang="en-GB" sz="1200"/>
            <a:t>           Best at converting clicks. Strong search intent. </a:t>
          </a:r>
        </a:p>
        <a:p>
          <a:pPr algn="ctr" rtl="0">
            <a:defRPr sz="1000"/>
          </a:pPr>
          <a:endParaRPr lang="en-GB" sz="1200"/>
        </a:p>
        <a:p>
          <a:pPr algn="ctr" rtl="0">
            <a:defRPr sz="1000"/>
          </a:pPr>
          <a:r>
            <a:rPr lang="en-GB" sz="1200"/>
            <a:t>Widest reach but weakest at converting. </a:t>
          </a:r>
        </a:p>
        <a:p>
          <a:pPr algn="ctr" rtl="0">
            <a:defRPr sz="1000"/>
          </a:pPr>
          <a:endParaRPr lang="en-GB" sz="1200"/>
        </a:p>
        <a:p>
          <a:pPr algn="ctr" rtl="0">
            <a:defRPr sz="1000"/>
          </a:pPr>
          <a:r>
            <a:rPr lang="en-GB" sz="1200"/>
            <a:t>                 No standout metric. Consistent across all stages.</a:t>
          </a:r>
          <a:endParaRPr lang="en-GB" sz="1200" b="0" i="0" u="none" strike="noStrike" baseline="0">
            <a:solidFill>
              <a:srgbClr val="000000"/>
            </a:solidFill>
            <a:latin typeface="Aptos Narrow" pitchFamily="2" charset="0"/>
          </a:endParaRPr>
        </a:p>
      </xdr:txBody>
    </xdr:sp>
    <xdr:clientData/>
  </xdr:twoCellAnchor>
  <xdr:twoCellAnchor editAs="oneCell">
    <xdr:from>
      <xdr:col>6</xdr:col>
      <xdr:colOff>520700</xdr:colOff>
      <xdr:row>1</xdr:row>
      <xdr:rowOff>139700</xdr:rowOff>
    </xdr:from>
    <xdr:to>
      <xdr:col>6</xdr:col>
      <xdr:colOff>812800</xdr:colOff>
      <xdr:row>3</xdr:row>
      <xdr:rowOff>25400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243E995D-97F4-3BF6-B700-59A21E896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342900"/>
          <a:ext cx="292100" cy="292100"/>
        </a:xfrm>
        <a:prstGeom prst="rect">
          <a:avLst/>
        </a:prstGeom>
      </xdr:spPr>
    </xdr:pic>
    <xdr:clientData/>
  </xdr:twoCellAnchor>
  <xdr:twoCellAnchor editAs="oneCell">
    <xdr:from>
      <xdr:col>6</xdr:col>
      <xdr:colOff>533400</xdr:colOff>
      <xdr:row>3</xdr:row>
      <xdr:rowOff>88900</xdr:rowOff>
    </xdr:from>
    <xdr:to>
      <xdr:col>6</xdr:col>
      <xdr:colOff>768783</xdr:colOff>
      <xdr:row>4</xdr:row>
      <xdr:rowOff>165100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31B84791-2A93-79E4-8113-70031FD10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78500" y="698500"/>
          <a:ext cx="235383" cy="279400"/>
        </a:xfrm>
        <a:prstGeom prst="rect">
          <a:avLst/>
        </a:prstGeom>
      </xdr:spPr>
    </xdr:pic>
    <xdr:clientData/>
  </xdr:twoCellAnchor>
  <xdr:twoCellAnchor editAs="oneCell">
    <xdr:from>
      <xdr:col>6</xdr:col>
      <xdr:colOff>482600</xdr:colOff>
      <xdr:row>5</xdr:row>
      <xdr:rowOff>50800</xdr:rowOff>
    </xdr:from>
    <xdr:to>
      <xdr:col>6</xdr:col>
      <xdr:colOff>800100</xdr:colOff>
      <xdr:row>6</xdr:row>
      <xdr:rowOff>165100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53538463-9E81-21F3-E830-6C2F451D1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7700" y="1066800"/>
          <a:ext cx="317500" cy="317500"/>
        </a:xfrm>
        <a:prstGeom prst="rect">
          <a:avLst/>
        </a:prstGeom>
      </xdr:spPr>
    </xdr:pic>
    <xdr:clientData/>
  </xdr:twoCellAnchor>
  <xdr:twoCellAnchor editAs="oneCell">
    <xdr:from>
      <xdr:col>6</xdr:col>
      <xdr:colOff>495300</xdr:colOff>
      <xdr:row>7</xdr:row>
      <xdr:rowOff>50800</xdr:rowOff>
    </xdr:from>
    <xdr:to>
      <xdr:col>6</xdr:col>
      <xdr:colOff>762000</xdr:colOff>
      <xdr:row>8</xdr:row>
      <xdr:rowOff>114300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497BFA68-4E98-E645-214D-CD5B21F29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0400" y="1473200"/>
          <a:ext cx="266700" cy="2667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11</xdr:col>
      <xdr:colOff>685800</xdr:colOff>
      <xdr:row>13</xdr:row>
      <xdr:rowOff>190500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87F73BB9-3EF4-1A47-BDD0-1EED4BC0E729}"/>
            </a:ext>
          </a:extLst>
        </xdr:cNvPr>
        <xdr:cNvSpPr txBox="1">
          <a:spLocks noChangeArrowheads="1"/>
        </xdr:cNvSpPr>
      </xdr:nvSpPr>
      <xdr:spPr bwMode="auto">
        <a:xfrm>
          <a:off x="6654800" y="0"/>
          <a:ext cx="3987800" cy="2832100"/>
        </a:xfrm>
        <a:prstGeom prst="rect">
          <a:avLst/>
        </a:prstGeom>
        <a:solidFill>
          <a:schemeClr val="bg1">
            <a:lumMod val="7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ptos Narrow" pitchFamily="2" charset="0"/>
            </a:rPr>
            <a:t>KEY INSIGHTS — Q1 2026</a:t>
          </a:r>
        </a:p>
        <a:p>
          <a:pPr algn="ctr" rtl="0">
            <a:defRPr sz="1000"/>
          </a:pPr>
          <a:endParaRPr lang="en-GB" sz="1200" b="0" i="0" u="none" strike="noStrike" baseline="0">
            <a:solidFill>
              <a:srgbClr val="000000"/>
            </a:solidFill>
            <a:latin typeface="Aptos Narrow" pitchFamily="2" charset="0"/>
          </a:endParaRPr>
        </a:p>
        <a:p>
          <a:pPr algn="ctr" rtl="0">
            <a:defRPr sz="1000"/>
          </a:pPr>
          <a:r>
            <a:rPr lang="en-GB" sz="1200"/>
            <a:t>February Week 2 Highest conversions (40,381). Valentine's Day campaign drove the spike. </a:t>
          </a:r>
        </a:p>
        <a:p>
          <a:pPr algn="ctr" rtl="0">
            <a:defRPr sz="1000"/>
          </a:pPr>
          <a:endParaRPr lang="en-GB" sz="1200"/>
        </a:p>
        <a:p>
          <a:pPr algn="ctr" rtl="0">
            <a:defRPr sz="1000"/>
          </a:pPr>
          <a:r>
            <a:rPr lang="en-GB" sz="1200"/>
            <a:t>March Week 5 Best Conv Rate (5.11%) and lowest CPA ($3.75). Campaigns most efficient at end of quarter. </a:t>
          </a:r>
        </a:p>
        <a:p>
          <a:pPr algn="ctr" rtl="0">
            <a:defRPr sz="1000"/>
          </a:pPr>
          <a:endParaRPr lang="en-GB" sz="1200"/>
        </a:p>
        <a:p>
          <a:pPr algn="ctr" rtl="0">
            <a:defRPr sz="1000"/>
          </a:pPr>
          <a:r>
            <a:rPr lang="en-GB" sz="1200"/>
            <a:t>January Week 1 Weakest start. Lowest Conv Rate (4.76%). Campaigns improved as quarter progressed. </a:t>
          </a:r>
        </a:p>
        <a:p>
          <a:pPr algn="ctr" rtl="0">
            <a:defRPr sz="1000"/>
          </a:pPr>
          <a:endParaRPr lang="en-GB" sz="1200"/>
        </a:p>
        <a:p>
          <a:pPr algn="ctr" rtl="0">
            <a:defRPr sz="1000"/>
          </a:pPr>
          <a:r>
            <a:rPr lang="en-GB" sz="1200"/>
            <a:t>Trend CPA improved from $3.93 to $3.79 over Q1. Conv Rate improved from 4.76% to 5.11%.       </a:t>
          </a:r>
          <a:endParaRPr lang="en-GB" sz="1200" b="0" i="0" u="none" strike="noStrike" baseline="0">
            <a:solidFill>
              <a:srgbClr val="000000"/>
            </a:solidFill>
            <a:latin typeface="Aptos Narrow" pitchFamily="2" charset="0"/>
          </a:endParaRPr>
        </a:p>
      </xdr:txBody>
    </xdr:sp>
    <xdr:clientData/>
  </xdr:twoCellAnchor>
  <xdr:twoCellAnchor>
    <xdr:from>
      <xdr:col>0</xdr:col>
      <xdr:colOff>69850</xdr:colOff>
      <xdr:row>24</xdr:row>
      <xdr:rowOff>12700</xdr:rowOff>
    </xdr:from>
    <xdr:to>
      <xdr:col>7</xdr:col>
      <xdr:colOff>469900</xdr:colOff>
      <xdr:row>40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6709EB-604B-4755-2CAD-C22B85CC96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552450</xdr:colOff>
      <xdr:row>22</xdr:row>
      <xdr:rowOff>38100</xdr:rowOff>
    </xdr:from>
    <xdr:to>
      <xdr:col>18</xdr:col>
      <xdr:colOff>457200</xdr:colOff>
      <xdr:row>42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47FC9E-7CD8-049C-E6AC-F65FE6EABB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93.763923726852" createdVersion="8" refreshedVersion="8" minRefreshableVersion="3" recordCount="2437" xr:uid="{17397B18-20DC-F94E-96FF-DA42593C5D98}">
  <cacheSource type="worksheet">
    <worksheetSource name="Campaign_Data"/>
  </cacheSource>
  <cacheFields count="15">
    <cacheField name="date" numFmtId="14">
      <sharedItems containsSemiMixedTypes="0" containsNonDate="0" containsDate="1" containsString="0" minDate="2026-01-01T00:00:00" maxDate="2026-04-01T00:00:00" count="90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</sharedItems>
      <fieldGroup par="14"/>
    </cacheField>
    <cacheField name="campaign_name" numFmtId="0">
      <sharedItems count="13">
        <s v="BellaCucina_EndlessItalianNights"/>
        <s v="BellaCucina_Retargeting"/>
        <s v="BellaCucina_NewYearNewPasta"/>
        <s v="BellaCucina_WeekendSpecial"/>
        <s v="BellaCucina_ValentinesDate"/>
        <s v="BellaCucina_SpringFeast"/>
        <s v="BellaCucina_Search_Brand"/>
        <s v="BellaCucina_Search_NonBrand"/>
        <s v="BellaCucina_Display_Retargeting"/>
        <s v="BellaCucina_Search_Weekend"/>
        <s v="BellaCucina_NewYearNewPasta_Search"/>
        <s v="BellaCucina_ValentinesDate_Search"/>
        <s v="BellaCucina_SpringFeast_Search"/>
      </sharedItems>
    </cacheField>
    <cacheField name="ad_group" numFmtId="0">
      <sharedItems count="22">
        <s v="Foodies 18-24"/>
        <s v="Families 25-34"/>
        <s v="Website Visitors"/>
        <s v="App Users"/>
        <s v="Foodies 18-34"/>
        <s v="Families 25-44"/>
        <s v="Profile Visitors"/>
        <s v="Post Engagers"/>
        <s v="Couples 18-34"/>
        <s v="Core Brand"/>
        <s v="Category"/>
        <s v="Competitor"/>
        <s v="Cart Abandoners"/>
        <s v="Homepage Visitors"/>
        <s v="Weekend Dining"/>
        <s v="New Year Dining"/>
        <s v="Valentine Dining"/>
        <s v="Spring Dining"/>
        <s v="Lookalike 1% Diners"/>
        <s v="Menu Viewers"/>
        <s v="Couples 25-44"/>
        <s v="Foodies 25-44"/>
      </sharedItems>
    </cacheField>
    <cacheField name="ad_format" numFmtId="0">
      <sharedItems containsBlank="1"/>
    </cacheField>
    <cacheField name="impressions" numFmtId="0">
      <sharedItems containsSemiMixedTypes="0" containsString="0" containsNumber="1" containsInteger="1" minValue="10012" maxValue="266249"/>
    </cacheField>
    <cacheField name="clicks" numFmtId="0">
      <sharedItems containsSemiMixedTypes="0" containsString="0" containsNumber="1" containsInteger="1" minValue="533" maxValue="9095"/>
    </cacheField>
    <cacheField name="spend_usd" numFmtId="0">
      <sharedItems containsSemiMixedTypes="0" containsString="0" containsNumber="1" minValue="114.14" maxValue="1714.73"/>
    </cacheField>
    <cacheField name="video_views" numFmtId="0">
      <sharedItems containsString="0" containsBlank="1" containsNumber="1" minValue="376.86" maxValue="171276"/>
    </cacheField>
    <cacheField name="conversions" numFmtId="0">
      <sharedItems containsSemiMixedTypes="0" containsString="0" containsNumber="1" containsInteger="1" minValue="30" maxValue="537"/>
    </cacheField>
    <cacheField name="platform" numFmtId="0">
      <sharedItems count="4">
        <s v="TikTok"/>
        <s v="Instagram"/>
        <s v="Google Ads"/>
        <s v="Facebook"/>
      </sharedItems>
    </cacheField>
    <cacheField name="keyword" numFmtId="0">
      <sharedItems containsBlank="1"/>
    </cacheField>
    <cacheField name="match_type" numFmtId="0">
      <sharedItems containsBlank="1"/>
    </cacheField>
    <cacheField name="quality_score" numFmtId="0">
      <sharedItems containsBlank="1"/>
    </cacheField>
    <cacheField name="Days (date)" numFmtId="0" databaseField="0">
      <fieldGroup base="0">
        <rangePr groupBy="days" startDate="2026-01-01T00:00:00" endDate="2026-04-01T00:00:00"/>
        <groupItems count="368">
          <s v="&lt;01/01/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/04/2026"/>
        </groupItems>
      </fieldGroup>
    </cacheField>
    <cacheField name="Months (date)" numFmtId="0" databaseField="0">
      <fieldGroup base="0">
        <rangePr groupBy="months" startDate="2026-01-01T00:00:00" endDate="2026-04-01T00:00:00"/>
        <groupItems count="14">
          <s v="&lt;01/0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4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37">
  <r>
    <x v="0"/>
    <x v="0"/>
    <x v="0"/>
    <s v="Video"/>
    <n v="123810"/>
    <n v="3701"/>
    <n v="627.91999999999996"/>
    <n v="92175"/>
    <n v="94"/>
    <x v="0"/>
    <m/>
    <m/>
    <m/>
  </r>
  <r>
    <x v="0"/>
    <x v="0"/>
    <x v="1"/>
    <s v="Video"/>
    <n v="53434"/>
    <n v="2110"/>
    <n v="370.7"/>
    <n v="38937"/>
    <n v="69"/>
    <x v="0"/>
    <m/>
    <m/>
    <m/>
  </r>
  <r>
    <x v="0"/>
    <x v="1"/>
    <x v="2"/>
    <s v="Video"/>
    <n v="43905"/>
    <n v="1299"/>
    <n v="193.95"/>
    <n v="34254"/>
    <n v="47"/>
    <x v="0"/>
    <m/>
    <m/>
    <m/>
  </r>
  <r>
    <x v="0"/>
    <x v="1"/>
    <x v="3"/>
    <s v="Video"/>
    <n v="125181"/>
    <n v="4997"/>
    <n v="783.43"/>
    <n v="95753"/>
    <n v="146"/>
    <x v="0"/>
    <m/>
    <m/>
    <m/>
  </r>
  <r>
    <x v="0"/>
    <x v="2"/>
    <x v="0"/>
    <s v="Video"/>
    <n v="40851"/>
    <n v="1670"/>
    <n v="244.47"/>
    <n v="31139"/>
    <n v="48"/>
    <x v="0"/>
    <m/>
    <m/>
    <m/>
  </r>
  <r>
    <x v="0"/>
    <x v="2"/>
    <x v="1"/>
    <s v="Video"/>
    <n v="68221"/>
    <n v="3020"/>
    <n v="463.46"/>
    <n v="49751"/>
    <n v="74"/>
    <x v="0"/>
    <m/>
    <m/>
    <m/>
  </r>
  <r>
    <x v="1"/>
    <x v="0"/>
    <x v="0"/>
    <s v="Video"/>
    <n v="85082"/>
    <n v="3255"/>
    <n v="560.79"/>
    <n v="67467"/>
    <n v="116"/>
    <x v="0"/>
    <m/>
    <m/>
    <m/>
  </r>
  <r>
    <x v="1"/>
    <x v="0"/>
    <x v="1"/>
    <s v="Video"/>
    <n v="89615"/>
    <n v="2629"/>
    <n v="398.89"/>
    <n v="70156"/>
    <n v="118"/>
    <x v="0"/>
    <m/>
    <m/>
    <m/>
  </r>
  <r>
    <x v="1"/>
    <x v="1"/>
    <x v="2"/>
    <s v="Video"/>
    <n v="87400"/>
    <n v="3305"/>
    <n v="555.84"/>
    <n v="63328"/>
    <n v="92"/>
    <x v="0"/>
    <m/>
    <m/>
    <m/>
  </r>
  <r>
    <x v="1"/>
    <x v="1"/>
    <x v="3"/>
    <s v="Video"/>
    <n v="77930"/>
    <n v="3487"/>
    <n v="607.48"/>
    <n v="62862"/>
    <n v="111"/>
    <x v="0"/>
    <m/>
    <m/>
    <m/>
  </r>
  <r>
    <x v="1"/>
    <x v="2"/>
    <x v="0"/>
    <s v="Video"/>
    <n v="99429"/>
    <n v="3858"/>
    <n v="596.41999999999996"/>
    <n v="75269"/>
    <n v="105"/>
    <x v="0"/>
    <m/>
    <m/>
    <m/>
  </r>
  <r>
    <x v="1"/>
    <x v="2"/>
    <x v="1"/>
    <s v="Video"/>
    <n v="74993"/>
    <n v="2994"/>
    <n v="501.02"/>
    <n v="54530"/>
    <n v="115"/>
    <x v="0"/>
    <m/>
    <m/>
    <m/>
  </r>
  <r>
    <x v="2"/>
    <x v="0"/>
    <x v="0"/>
    <s v="Video"/>
    <n v="154014"/>
    <n v="6221"/>
    <n v="911.6"/>
    <n v="116734"/>
    <n v="296"/>
    <x v="0"/>
    <m/>
    <m/>
    <m/>
  </r>
  <r>
    <x v="2"/>
    <x v="0"/>
    <x v="1"/>
    <s v="Video"/>
    <n v="173440"/>
    <n v="6885"/>
    <n v="1024.3800000000001"/>
    <n v="130501"/>
    <n v="289"/>
    <x v="0"/>
    <m/>
    <m/>
    <m/>
  </r>
  <r>
    <x v="2"/>
    <x v="1"/>
    <x v="2"/>
    <s v="Video"/>
    <n v="66263"/>
    <n v="2113"/>
    <n v="298.52999999999997"/>
    <n v="49799"/>
    <n v="61"/>
    <x v="0"/>
    <m/>
    <m/>
    <m/>
  </r>
  <r>
    <x v="2"/>
    <x v="1"/>
    <x v="3"/>
    <s v="Video"/>
    <n v="94714"/>
    <n v="4122"/>
    <n v="670.6"/>
    <n v="74993"/>
    <n v="113"/>
    <x v="0"/>
    <m/>
    <m/>
    <m/>
  </r>
  <r>
    <x v="2"/>
    <x v="3"/>
    <x v="0"/>
    <s v="Video"/>
    <n v="147609"/>
    <n v="5125"/>
    <n v="904.98"/>
    <n v="113051"/>
    <n v="148"/>
    <x v="0"/>
    <m/>
    <m/>
    <m/>
  </r>
  <r>
    <x v="2"/>
    <x v="3"/>
    <x v="1"/>
    <s v="Video"/>
    <n v="101255"/>
    <n v="4117"/>
    <n v="665.14"/>
    <n v="80467"/>
    <n v="136"/>
    <x v="0"/>
    <m/>
    <m/>
    <m/>
  </r>
  <r>
    <x v="2"/>
    <x v="2"/>
    <x v="0"/>
    <s v="Video"/>
    <n v="163077"/>
    <n v="5673"/>
    <n v="843.99"/>
    <n v="133682"/>
    <n v="199"/>
    <x v="0"/>
    <m/>
    <m/>
    <m/>
  </r>
  <r>
    <x v="2"/>
    <x v="2"/>
    <x v="1"/>
    <s v="Video"/>
    <n v="72681"/>
    <n v="2968"/>
    <n v="517.75"/>
    <n v="53441"/>
    <n v="77"/>
    <x v="0"/>
    <m/>
    <m/>
    <m/>
  </r>
  <r>
    <x v="3"/>
    <x v="0"/>
    <x v="0"/>
    <s v="Video"/>
    <n v="180868"/>
    <n v="6362"/>
    <n v="906.85"/>
    <n v="137127"/>
    <n v="304"/>
    <x v="0"/>
    <m/>
    <m/>
    <m/>
  </r>
  <r>
    <x v="3"/>
    <x v="0"/>
    <x v="1"/>
    <s v="Video"/>
    <n v="153092"/>
    <n v="4940"/>
    <n v="800.92"/>
    <n v="124654"/>
    <n v="196"/>
    <x v="0"/>
    <m/>
    <m/>
    <m/>
  </r>
  <r>
    <x v="3"/>
    <x v="1"/>
    <x v="2"/>
    <s v="Video"/>
    <n v="77019"/>
    <n v="3049"/>
    <n v="492.35"/>
    <n v="57508"/>
    <n v="117"/>
    <x v="0"/>
    <m/>
    <m/>
    <m/>
  </r>
  <r>
    <x v="3"/>
    <x v="1"/>
    <x v="3"/>
    <s v="Video"/>
    <n v="76469"/>
    <n v="2522"/>
    <n v="369.03"/>
    <n v="55082"/>
    <n v="102"/>
    <x v="0"/>
    <m/>
    <m/>
    <m/>
  </r>
  <r>
    <x v="3"/>
    <x v="3"/>
    <x v="0"/>
    <s v="Video"/>
    <n v="104330"/>
    <n v="4644"/>
    <n v="791.7"/>
    <n v="80414"/>
    <n v="115"/>
    <x v="0"/>
    <m/>
    <m/>
    <m/>
  </r>
  <r>
    <x v="3"/>
    <x v="3"/>
    <x v="1"/>
    <s v="Video"/>
    <n v="170742"/>
    <n v="5647"/>
    <n v="934.91"/>
    <n v="133331"/>
    <n v="146"/>
    <x v="0"/>
    <m/>
    <m/>
    <m/>
  </r>
  <r>
    <x v="3"/>
    <x v="2"/>
    <x v="0"/>
    <s v="Video"/>
    <n v="85643"/>
    <n v="3183"/>
    <n v="544.75"/>
    <n v="66205"/>
    <n v="70"/>
    <x v="0"/>
    <m/>
    <m/>
    <m/>
  </r>
  <r>
    <x v="3"/>
    <x v="2"/>
    <x v="1"/>
    <s v="Video"/>
    <n v="115481"/>
    <n v="4192"/>
    <n v="605.64"/>
    <n v="87338"/>
    <n v="199"/>
    <x v="0"/>
    <m/>
    <m/>
    <m/>
  </r>
  <r>
    <x v="4"/>
    <x v="0"/>
    <x v="0"/>
    <s v="Video"/>
    <n v="80306"/>
    <n v="2575"/>
    <n v="385.31"/>
    <n v="62376"/>
    <n v="61"/>
    <x v="0"/>
    <m/>
    <m/>
    <m/>
  </r>
  <r>
    <x v="4"/>
    <x v="0"/>
    <x v="1"/>
    <s v="Video"/>
    <n v="103699"/>
    <n v="4342"/>
    <n v="777.74"/>
    <n v="80187"/>
    <n v="109"/>
    <x v="0"/>
    <m/>
    <m/>
    <m/>
  </r>
  <r>
    <x v="4"/>
    <x v="1"/>
    <x v="2"/>
    <s v="Video"/>
    <n v="126474"/>
    <n v="4563"/>
    <n v="739.17"/>
    <n v="94413"/>
    <n v="203"/>
    <x v="0"/>
    <m/>
    <m/>
    <m/>
  </r>
  <r>
    <x v="4"/>
    <x v="1"/>
    <x v="3"/>
    <s v="Video"/>
    <n v="95461"/>
    <n v="4237"/>
    <n v="750.61"/>
    <n v="75941"/>
    <n v="169"/>
    <x v="0"/>
    <m/>
    <m/>
    <m/>
  </r>
  <r>
    <x v="4"/>
    <x v="2"/>
    <x v="0"/>
    <s v="Video"/>
    <n v="80857"/>
    <n v="2812"/>
    <n v="469.23"/>
    <n v="61236"/>
    <n v="127"/>
    <x v="0"/>
    <m/>
    <m/>
    <m/>
  </r>
  <r>
    <x v="4"/>
    <x v="2"/>
    <x v="1"/>
    <s v="Video"/>
    <n v="99177"/>
    <n v="2980"/>
    <n v="443.98"/>
    <n v="74760"/>
    <n v="111"/>
    <x v="0"/>
    <m/>
    <m/>
    <m/>
  </r>
  <r>
    <x v="5"/>
    <x v="0"/>
    <x v="0"/>
    <s v="Video"/>
    <n v="70161"/>
    <n v="2666"/>
    <n v="374.01"/>
    <n v="55482"/>
    <n v="62"/>
    <x v="0"/>
    <m/>
    <m/>
    <m/>
  </r>
  <r>
    <x v="5"/>
    <x v="0"/>
    <x v="1"/>
    <s v="Video"/>
    <n v="48834"/>
    <n v="2119"/>
    <n v="369.52"/>
    <n v="35506"/>
    <n v="59"/>
    <x v="0"/>
    <m/>
    <m/>
    <m/>
  </r>
  <r>
    <x v="5"/>
    <x v="1"/>
    <x v="2"/>
    <s v="Video"/>
    <n v="127684"/>
    <n v="4628"/>
    <n v="747.74"/>
    <n v="101168"/>
    <n v="207"/>
    <x v="0"/>
    <m/>
    <m/>
    <m/>
  </r>
  <r>
    <x v="5"/>
    <x v="1"/>
    <x v="3"/>
    <s v="Video"/>
    <n v="115525"/>
    <n v="4162"/>
    <n v="713.3"/>
    <n v="92506"/>
    <n v="112"/>
    <x v="0"/>
    <m/>
    <m/>
    <m/>
  </r>
  <r>
    <x v="5"/>
    <x v="2"/>
    <x v="0"/>
    <s v="Video"/>
    <n v="52704"/>
    <n v="2066"/>
    <n v="318.52"/>
    <n v="40113"/>
    <n v="91"/>
    <x v="0"/>
    <m/>
    <m/>
    <m/>
  </r>
  <r>
    <x v="5"/>
    <x v="2"/>
    <x v="1"/>
    <s v="Video"/>
    <n v="47100"/>
    <n v="1857"/>
    <n v="333.08"/>
    <n v="34375"/>
    <n v="60"/>
    <x v="0"/>
    <m/>
    <m/>
    <m/>
  </r>
  <r>
    <x v="6"/>
    <x v="0"/>
    <x v="0"/>
    <s v="Video"/>
    <n v="84473"/>
    <n v="3514"/>
    <n v="507.32"/>
    <n v="62438"/>
    <n v="126"/>
    <x v="0"/>
    <m/>
    <m/>
    <m/>
  </r>
  <r>
    <x v="6"/>
    <x v="0"/>
    <x v="1"/>
    <s v="Video"/>
    <n v="58373"/>
    <n v="2053"/>
    <n v="310.29000000000002"/>
    <n v="43486"/>
    <n v="94"/>
    <x v="0"/>
    <m/>
    <m/>
    <m/>
  </r>
  <r>
    <x v="6"/>
    <x v="1"/>
    <x v="2"/>
    <s v="Video"/>
    <n v="98082"/>
    <n v="4093"/>
    <n v="713.16"/>
    <n v="71579"/>
    <n v="159"/>
    <x v="0"/>
    <m/>
    <m/>
    <m/>
  </r>
  <r>
    <x v="6"/>
    <x v="1"/>
    <x v="3"/>
    <s v="Video"/>
    <n v="110855"/>
    <n v="4679"/>
    <n v="836.42"/>
    <n v="90084"/>
    <n v="206"/>
    <x v="0"/>
    <m/>
    <m/>
    <m/>
  </r>
  <r>
    <x v="6"/>
    <x v="2"/>
    <x v="0"/>
    <s v="Video"/>
    <n v="61798"/>
    <n v="2157"/>
    <n v="343.51"/>
    <n v="49837"/>
    <n v="98"/>
    <x v="0"/>
    <m/>
    <m/>
    <m/>
  </r>
  <r>
    <x v="6"/>
    <x v="2"/>
    <x v="1"/>
    <s v="Video"/>
    <n v="61579"/>
    <n v="2120"/>
    <n v="380.35"/>
    <n v="45969"/>
    <n v="89"/>
    <x v="0"/>
    <m/>
    <m/>
    <m/>
  </r>
  <r>
    <x v="7"/>
    <x v="0"/>
    <x v="0"/>
    <s v="Video"/>
    <n v="99638"/>
    <n v="3273"/>
    <n v="549.41999999999996"/>
    <n v="79017"/>
    <n v="138"/>
    <x v="0"/>
    <m/>
    <m/>
    <m/>
  </r>
  <r>
    <x v="7"/>
    <x v="0"/>
    <x v="1"/>
    <s v="Video"/>
    <n v="126752"/>
    <n v="5097"/>
    <n v="745.14"/>
    <n v="95022"/>
    <n v="240"/>
    <x v="0"/>
    <m/>
    <m/>
    <m/>
  </r>
  <r>
    <x v="7"/>
    <x v="1"/>
    <x v="2"/>
    <s v="Video"/>
    <n v="115914"/>
    <n v="4695"/>
    <n v="668.75"/>
    <n v="87093"/>
    <n v="109"/>
    <x v="0"/>
    <m/>
    <m/>
    <m/>
  </r>
  <r>
    <x v="7"/>
    <x v="1"/>
    <x v="3"/>
    <s v="Video"/>
    <n v="102493"/>
    <n v="3745"/>
    <n v="652.04"/>
    <n v="75408"/>
    <n v="175"/>
    <x v="0"/>
    <m/>
    <m/>
    <m/>
  </r>
  <r>
    <x v="7"/>
    <x v="2"/>
    <x v="0"/>
    <s v="Video"/>
    <n v="50500"/>
    <n v="2144"/>
    <n v="306.04000000000002"/>
    <n v="36703"/>
    <n v="95"/>
    <x v="0"/>
    <m/>
    <m/>
    <m/>
  </r>
  <r>
    <x v="7"/>
    <x v="2"/>
    <x v="1"/>
    <s v="Video"/>
    <n v="92923"/>
    <n v="2791"/>
    <n v="490.13"/>
    <n v="69192"/>
    <n v="104"/>
    <x v="0"/>
    <m/>
    <m/>
    <m/>
  </r>
  <r>
    <x v="8"/>
    <x v="0"/>
    <x v="0"/>
    <s v="Video"/>
    <n v="121183"/>
    <n v="3562"/>
    <n v="592.34"/>
    <n v="94101"/>
    <n v="107"/>
    <x v="0"/>
    <m/>
    <m/>
    <m/>
  </r>
  <r>
    <x v="8"/>
    <x v="0"/>
    <x v="1"/>
    <s v="Video"/>
    <n v="74179"/>
    <n v="2334"/>
    <n v="393.62"/>
    <n v="55179"/>
    <n v="75"/>
    <x v="0"/>
    <m/>
    <m/>
    <m/>
  </r>
  <r>
    <x v="8"/>
    <x v="1"/>
    <x v="2"/>
    <s v="Video"/>
    <n v="128039"/>
    <n v="4990"/>
    <n v="789.86"/>
    <n v="104083"/>
    <n v="231"/>
    <x v="0"/>
    <m/>
    <m/>
    <m/>
  </r>
  <r>
    <x v="8"/>
    <x v="1"/>
    <x v="3"/>
    <s v="Video"/>
    <n v="41220"/>
    <n v="1475"/>
    <n v="265.41000000000003"/>
    <n v="33784"/>
    <n v="35"/>
    <x v="0"/>
    <m/>
    <m/>
    <m/>
  </r>
  <r>
    <x v="8"/>
    <x v="2"/>
    <x v="0"/>
    <s v="Video"/>
    <n v="67938"/>
    <n v="2486"/>
    <n v="361.21"/>
    <n v="51286"/>
    <n v="59"/>
    <x v="0"/>
    <m/>
    <m/>
    <m/>
  </r>
  <r>
    <x v="8"/>
    <x v="2"/>
    <x v="1"/>
    <s v="Video"/>
    <n v="72018"/>
    <n v="2468"/>
    <n v="361.09"/>
    <n v="57857"/>
    <n v="99"/>
    <x v="0"/>
    <m/>
    <m/>
    <m/>
  </r>
  <r>
    <x v="9"/>
    <x v="0"/>
    <x v="0"/>
    <s v="Video"/>
    <n v="168242"/>
    <n v="7524"/>
    <n v="1296.26"/>
    <n v="130033"/>
    <n v="296"/>
    <x v="0"/>
    <m/>
    <m/>
    <m/>
  </r>
  <r>
    <x v="9"/>
    <x v="0"/>
    <x v="1"/>
    <s v="Video"/>
    <n v="157768"/>
    <n v="5220"/>
    <n v="869.32"/>
    <n v="128406"/>
    <n v="133"/>
    <x v="0"/>
    <m/>
    <m/>
    <m/>
  </r>
  <r>
    <x v="9"/>
    <x v="1"/>
    <x v="2"/>
    <s v="Video"/>
    <n v="77180"/>
    <n v="3328"/>
    <n v="564.75"/>
    <n v="56769"/>
    <n v="97"/>
    <x v="0"/>
    <m/>
    <m/>
    <m/>
  </r>
  <r>
    <x v="9"/>
    <x v="1"/>
    <x v="3"/>
    <s v="Video"/>
    <n v="94649"/>
    <n v="3804"/>
    <n v="563.54"/>
    <n v="74150"/>
    <n v="109"/>
    <x v="0"/>
    <m/>
    <m/>
    <m/>
  </r>
  <r>
    <x v="9"/>
    <x v="3"/>
    <x v="0"/>
    <s v="Video"/>
    <n v="145644"/>
    <n v="4699"/>
    <n v="828.56"/>
    <n v="105603"/>
    <n v="180"/>
    <x v="0"/>
    <m/>
    <m/>
    <m/>
  </r>
  <r>
    <x v="9"/>
    <x v="3"/>
    <x v="1"/>
    <s v="Video"/>
    <n v="106771"/>
    <n v="3069"/>
    <n v="470.61"/>
    <n v="78271"/>
    <n v="145"/>
    <x v="0"/>
    <m/>
    <m/>
    <m/>
  </r>
  <r>
    <x v="9"/>
    <x v="2"/>
    <x v="0"/>
    <s v="Video"/>
    <n v="85649"/>
    <n v="3477"/>
    <n v="563.51"/>
    <n v="65330"/>
    <n v="77"/>
    <x v="0"/>
    <m/>
    <m/>
    <m/>
  </r>
  <r>
    <x v="9"/>
    <x v="2"/>
    <x v="1"/>
    <s v="Video"/>
    <n v="69806"/>
    <n v="3076"/>
    <n v="515.66"/>
    <n v="51300"/>
    <n v="70"/>
    <x v="0"/>
    <m/>
    <m/>
    <m/>
  </r>
  <r>
    <x v="10"/>
    <x v="0"/>
    <x v="0"/>
    <s v="Video"/>
    <n v="123750"/>
    <n v="4690"/>
    <n v="684.38"/>
    <n v="90677"/>
    <n v="140"/>
    <x v="0"/>
    <m/>
    <m/>
    <m/>
  </r>
  <r>
    <x v="10"/>
    <x v="0"/>
    <x v="1"/>
    <s v="Video"/>
    <n v="63320"/>
    <n v="2740"/>
    <n v="406.62"/>
    <n v="47170"/>
    <n v="67"/>
    <x v="0"/>
    <m/>
    <m/>
    <m/>
  </r>
  <r>
    <x v="10"/>
    <x v="1"/>
    <x v="2"/>
    <s v="Video"/>
    <n v="158739"/>
    <n v="6830"/>
    <n v="1067.22"/>
    <n v="124144"/>
    <n v="177"/>
    <x v="0"/>
    <m/>
    <m/>
    <m/>
  </r>
  <r>
    <x v="10"/>
    <x v="1"/>
    <x v="3"/>
    <s v="Video"/>
    <n v="99440"/>
    <n v="4245"/>
    <n v="760.06"/>
    <n v="79659"/>
    <n v="190"/>
    <x v="0"/>
    <m/>
    <m/>
    <m/>
  </r>
  <r>
    <x v="10"/>
    <x v="3"/>
    <x v="0"/>
    <s v="Video"/>
    <n v="60547"/>
    <n v="1879"/>
    <n v="332.54"/>
    <n v="48330"/>
    <n v="61"/>
    <x v="0"/>
    <m/>
    <m/>
    <m/>
  </r>
  <r>
    <x v="10"/>
    <x v="3"/>
    <x v="1"/>
    <s v="Video"/>
    <n v="178928"/>
    <n v="7638"/>
    <n v="1317.02"/>
    <n v="133602"/>
    <n v="324"/>
    <x v="0"/>
    <m/>
    <m/>
    <m/>
  </r>
  <r>
    <x v="10"/>
    <x v="2"/>
    <x v="0"/>
    <s v="Video"/>
    <n v="75835"/>
    <n v="2616"/>
    <n v="370.29"/>
    <n v="58170"/>
    <n v="71"/>
    <x v="0"/>
    <m/>
    <m/>
    <m/>
  </r>
  <r>
    <x v="10"/>
    <x v="2"/>
    <x v="1"/>
    <s v="Video"/>
    <n v="140464"/>
    <n v="4767"/>
    <n v="823.84"/>
    <n v="113373"/>
    <n v="132"/>
    <x v="0"/>
    <m/>
    <m/>
    <m/>
  </r>
  <r>
    <x v="11"/>
    <x v="0"/>
    <x v="0"/>
    <s v="Video"/>
    <n v="126511"/>
    <n v="3957"/>
    <n v="605.94000000000005"/>
    <n v="102022"/>
    <n v="186"/>
    <x v="0"/>
    <m/>
    <m/>
    <m/>
  </r>
  <r>
    <x v="11"/>
    <x v="0"/>
    <x v="1"/>
    <s v="Video"/>
    <n v="76585"/>
    <n v="2601"/>
    <n v="417.14"/>
    <n v="60345"/>
    <n v="114"/>
    <x v="0"/>
    <m/>
    <m/>
    <m/>
  </r>
  <r>
    <x v="11"/>
    <x v="1"/>
    <x v="2"/>
    <s v="Video"/>
    <n v="83404"/>
    <n v="3667"/>
    <n v="530.29999999999995"/>
    <n v="68144"/>
    <n v="97"/>
    <x v="0"/>
    <m/>
    <m/>
    <m/>
  </r>
  <r>
    <x v="11"/>
    <x v="1"/>
    <x v="3"/>
    <s v="Video"/>
    <n v="74795"/>
    <n v="2142"/>
    <n v="350.99"/>
    <n v="56437"/>
    <n v="90"/>
    <x v="0"/>
    <m/>
    <m/>
    <m/>
  </r>
  <r>
    <x v="11"/>
    <x v="2"/>
    <x v="0"/>
    <s v="Video"/>
    <n v="97199"/>
    <n v="3723"/>
    <n v="597.38"/>
    <n v="73727"/>
    <n v="137"/>
    <x v="0"/>
    <m/>
    <m/>
    <m/>
  </r>
  <r>
    <x v="11"/>
    <x v="2"/>
    <x v="1"/>
    <s v="Video"/>
    <n v="73386"/>
    <n v="2110"/>
    <n v="332.2"/>
    <n v="56653"/>
    <n v="90"/>
    <x v="0"/>
    <m/>
    <m/>
    <m/>
  </r>
  <r>
    <x v="12"/>
    <x v="0"/>
    <x v="0"/>
    <s v="Video"/>
    <n v="127900"/>
    <n v="4009"/>
    <n v="630.41999999999996"/>
    <n v="104224"/>
    <n v="184"/>
    <x v="0"/>
    <m/>
    <m/>
    <m/>
  </r>
  <r>
    <x v="12"/>
    <x v="0"/>
    <x v="1"/>
    <s v="Video"/>
    <n v="121678"/>
    <n v="4056"/>
    <n v="705.42"/>
    <n v="96365"/>
    <n v="120"/>
    <x v="0"/>
    <m/>
    <m/>
    <m/>
  </r>
  <r>
    <x v="12"/>
    <x v="1"/>
    <x v="2"/>
    <s v="Video"/>
    <n v="80538"/>
    <n v="3168"/>
    <n v="484.85"/>
    <n v="63602"/>
    <n v="115"/>
    <x v="0"/>
    <m/>
    <m/>
    <m/>
  </r>
  <r>
    <x v="12"/>
    <x v="1"/>
    <x v="3"/>
    <s v="Video"/>
    <n v="65144"/>
    <n v="2289"/>
    <n v="406.56"/>
    <n v="51316"/>
    <n v="104"/>
    <x v="0"/>
    <m/>
    <m/>
    <m/>
  </r>
  <r>
    <x v="12"/>
    <x v="2"/>
    <x v="0"/>
    <s v="Video"/>
    <n v="120676"/>
    <n v="4546"/>
    <n v="710.28"/>
    <n v="96947"/>
    <n v="135"/>
    <x v="0"/>
    <m/>
    <m/>
    <m/>
  </r>
  <r>
    <x v="12"/>
    <x v="2"/>
    <x v="1"/>
    <s v="Video"/>
    <n v="67549"/>
    <n v="2385"/>
    <n v="389.23"/>
    <n v="53057"/>
    <n v="81"/>
    <x v="0"/>
    <m/>
    <m/>
    <m/>
  </r>
  <r>
    <x v="13"/>
    <x v="0"/>
    <x v="0"/>
    <s v="Video"/>
    <n v="97954"/>
    <n v="3867"/>
    <n v="620.45000000000005"/>
    <n v="78301"/>
    <n v="181"/>
    <x v="0"/>
    <m/>
    <m/>
    <m/>
  </r>
  <r>
    <x v="13"/>
    <x v="0"/>
    <x v="1"/>
    <s v="Video"/>
    <n v="62241"/>
    <n v="2439"/>
    <n v="369.15"/>
    <n v="48945"/>
    <n v="92"/>
    <x v="0"/>
    <m/>
    <m/>
    <m/>
  </r>
  <r>
    <x v="13"/>
    <x v="1"/>
    <x v="2"/>
    <s v="Video"/>
    <n v="52240"/>
    <n v="2189"/>
    <n v="372.23"/>
    <n v="41127"/>
    <n v="60"/>
    <x v="0"/>
    <m/>
    <m/>
    <m/>
  </r>
  <r>
    <x v="13"/>
    <x v="1"/>
    <x v="3"/>
    <s v="Video"/>
    <n v="66100"/>
    <n v="2016"/>
    <n v="285.97000000000003"/>
    <n v="54095"/>
    <n v="76"/>
    <x v="0"/>
    <m/>
    <m/>
    <m/>
  </r>
  <r>
    <x v="13"/>
    <x v="2"/>
    <x v="0"/>
    <s v="Video"/>
    <n v="49545"/>
    <n v="1770"/>
    <n v="310.54000000000002"/>
    <n v="38524"/>
    <n v="71"/>
    <x v="0"/>
    <m/>
    <m/>
    <m/>
  </r>
  <r>
    <x v="13"/>
    <x v="2"/>
    <x v="1"/>
    <s v="Video"/>
    <n v="90328"/>
    <n v="3288"/>
    <n v="492.41"/>
    <n v="70962"/>
    <n v="72"/>
    <x v="0"/>
    <m/>
    <m/>
    <m/>
  </r>
  <r>
    <x v="14"/>
    <x v="0"/>
    <x v="0"/>
    <s v="Video"/>
    <n v="53970"/>
    <n v="2225"/>
    <n v="330.98"/>
    <n v="43198"/>
    <n v="89"/>
    <x v="0"/>
    <m/>
    <m/>
    <m/>
  </r>
  <r>
    <x v="14"/>
    <x v="0"/>
    <x v="1"/>
    <s v="Video"/>
    <n v="100889"/>
    <n v="2911"/>
    <n v="436.56"/>
    <n v="81198"/>
    <n v="98"/>
    <x v="0"/>
    <m/>
    <m/>
    <m/>
  </r>
  <r>
    <x v="14"/>
    <x v="1"/>
    <x v="2"/>
    <s v="Video"/>
    <n v="100901"/>
    <n v="3970"/>
    <n v="712.68"/>
    <n v="78656"/>
    <n v="185"/>
    <x v="0"/>
    <m/>
    <m/>
    <m/>
  </r>
  <r>
    <x v="14"/>
    <x v="1"/>
    <x v="3"/>
    <s v="Video"/>
    <n v="98008"/>
    <n v="3764"/>
    <n v="635.25"/>
    <n v="75512"/>
    <n v="164"/>
    <x v="0"/>
    <m/>
    <m/>
    <m/>
  </r>
  <r>
    <x v="14"/>
    <x v="2"/>
    <x v="0"/>
    <s v="Video"/>
    <n v="111810"/>
    <n v="3978"/>
    <n v="582.25"/>
    <n v="90135"/>
    <n v="134"/>
    <x v="0"/>
    <m/>
    <m/>
    <m/>
  </r>
  <r>
    <x v="14"/>
    <x v="2"/>
    <x v="1"/>
    <s v="Video"/>
    <n v="72406"/>
    <n v="3061"/>
    <n v="462.49"/>
    <n v="57763"/>
    <n v="105"/>
    <x v="0"/>
    <m/>
    <m/>
    <m/>
  </r>
  <r>
    <x v="15"/>
    <x v="0"/>
    <x v="0"/>
    <s v="Video"/>
    <n v="71358"/>
    <n v="2331"/>
    <n v="333.56"/>
    <n v="53416"/>
    <n v="67"/>
    <x v="0"/>
    <m/>
    <m/>
    <m/>
  </r>
  <r>
    <x v="15"/>
    <x v="0"/>
    <x v="1"/>
    <s v="Video"/>
    <n v="81904"/>
    <n v="3536"/>
    <n v="506.44"/>
    <n v="60206"/>
    <n v="113"/>
    <x v="0"/>
    <m/>
    <m/>
    <m/>
  </r>
  <r>
    <x v="15"/>
    <x v="1"/>
    <x v="2"/>
    <s v="Video"/>
    <n v="60028"/>
    <n v="2401"/>
    <n v="342.31"/>
    <n v="45666"/>
    <n v="86"/>
    <x v="0"/>
    <m/>
    <m/>
    <m/>
  </r>
  <r>
    <x v="15"/>
    <x v="1"/>
    <x v="3"/>
    <s v="Video"/>
    <n v="94496"/>
    <n v="2745"/>
    <n v="475.75"/>
    <n v="71717"/>
    <n v="115"/>
    <x v="0"/>
    <m/>
    <m/>
    <m/>
  </r>
  <r>
    <x v="15"/>
    <x v="2"/>
    <x v="0"/>
    <s v="Video"/>
    <n v="42560"/>
    <n v="1811"/>
    <n v="309"/>
    <n v="32262"/>
    <n v="40"/>
    <x v="0"/>
    <m/>
    <m/>
    <m/>
  </r>
  <r>
    <x v="15"/>
    <x v="2"/>
    <x v="1"/>
    <s v="Video"/>
    <n v="86105"/>
    <n v="2848"/>
    <n v="443.15"/>
    <n v="69673"/>
    <n v="124"/>
    <x v="0"/>
    <m/>
    <m/>
    <m/>
  </r>
  <r>
    <x v="16"/>
    <x v="0"/>
    <x v="0"/>
    <s v="Video"/>
    <n v="154763"/>
    <n v="6300"/>
    <n v="1019.63"/>
    <n v="120765"/>
    <n v="174"/>
    <x v="0"/>
    <m/>
    <m/>
    <m/>
  </r>
  <r>
    <x v="16"/>
    <x v="0"/>
    <x v="1"/>
    <s v="Video"/>
    <n v="96264"/>
    <n v="3142"/>
    <n v="500.92"/>
    <n v="73053"/>
    <n v="123"/>
    <x v="0"/>
    <m/>
    <m/>
    <m/>
  </r>
  <r>
    <x v="16"/>
    <x v="1"/>
    <x v="2"/>
    <s v="Video"/>
    <n v="130191"/>
    <n v="5248"/>
    <n v="911.16"/>
    <n v="105709"/>
    <n v="249"/>
    <x v="0"/>
    <m/>
    <m/>
    <m/>
  </r>
  <r>
    <x v="16"/>
    <x v="1"/>
    <x v="3"/>
    <s v="Video"/>
    <n v="154011"/>
    <n v="4382"/>
    <n v="682.54"/>
    <n v="119580"/>
    <n v="99"/>
    <x v="0"/>
    <m/>
    <m/>
    <m/>
  </r>
  <r>
    <x v="16"/>
    <x v="3"/>
    <x v="0"/>
    <s v="Video"/>
    <n v="173944"/>
    <n v="6137"/>
    <n v="1071.97"/>
    <n v="128400"/>
    <n v="176"/>
    <x v="0"/>
    <m/>
    <m/>
    <m/>
  </r>
  <r>
    <x v="16"/>
    <x v="3"/>
    <x v="1"/>
    <s v="Video"/>
    <n v="116068"/>
    <n v="3667"/>
    <n v="561.32000000000005"/>
    <n v="92404"/>
    <n v="116"/>
    <x v="0"/>
    <m/>
    <m/>
    <m/>
  </r>
  <r>
    <x v="16"/>
    <x v="2"/>
    <x v="0"/>
    <s v="Video"/>
    <n v="133357"/>
    <n v="4305"/>
    <n v="616.79999999999995"/>
    <n v="96275"/>
    <n v="155"/>
    <x v="0"/>
    <m/>
    <m/>
    <m/>
  </r>
  <r>
    <x v="16"/>
    <x v="2"/>
    <x v="1"/>
    <s v="Video"/>
    <n v="120217"/>
    <n v="3824"/>
    <n v="545.86"/>
    <n v="98064"/>
    <n v="88"/>
    <x v="0"/>
    <m/>
    <m/>
    <m/>
  </r>
  <r>
    <x v="17"/>
    <x v="0"/>
    <x v="0"/>
    <s v="Video"/>
    <n v="61693"/>
    <n v="2723"/>
    <n v="402.93"/>
    <n v="44544"/>
    <n v="70"/>
    <x v="0"/>
    <m/>
    <m/>
    <m/>
  </r>
  <r>
    <x v="17"/>
    <x v="0"/>
    <x v="1"/>
    <s v="Video"/>
    <n v="79161"/>
    <n v="2853"/>
    <n v="412.47"/>
    <n v="64498"/>
    <n v="97"/>
    <x v="0"/>
    <m/>
    <m/>
    <m/>
  </r>
  <r>
    <x v="17"/>
    <x v="1"/>
    <x v="2"/>
    <s v="Video"/>
    <n v="103020"/>
    <n v="4227"/>
    <n v="620.15"/>
    <n v="80430"/>
    <n v="175"/>
    <x v="0"/>
    <m/>
    <m/>
    <m/>
  </r>
  <r>
    <x v="17"/>
    <x v="1"/>
    <x v="3"/>
    <s v="Video"/>
    <n v="77016"/>
    <n v="3174"/>
    <n v="465.15"/>
    <n v="57847"/>
    <n v="117"/>
    <x v="0"/>
    <m/>
    <m/>
    <m/>
  </r>
  <r>
    <x v="17"/>
    <x v="3"/>
    <x v="0"/>
    <s v="Video"/>
    <n v="113243"/>
    <n v="4279"/>
    <n v="754.48"/>
    <n v="85785"/>
    <n v="198"/>
    <x v="0"/>
    <m/>
    <m/>
    <m/>
  </r>
  <r>
    <x v="17"/>
    <x v="3"/>
    <x v="1"/>
    <s v="Video"/>
    <n v="92393"/>
    <n v="2706"/>
    <n v="453.59"/>
    <n v="72318"/>
    <n v="66"/>
    <x v="0"/>
    <m/>
    <m/>
    <m/>
  </r>
  <r>
    <x v="17"/>
    <x v="2"/>
    <x v="0"/>
    <s v="Video"/>
    <n v="111340"/>
    <n v="4726"/>
    <n v="775.14"/>
    <n v="81512"/>
    <n v="224"/>
    <x v="0"/>
    <m/>
    <m/>
    <m/>
  </r>
  <r>
    <x v="17"/>
    <x v="2"/>
    <x v="1"/>
    <s v="Video"/>
    <n v="63536"/>
    <n v="2154"/>
    <n v="338.47"/>
    <n v="48100"/>
    <n v="75"/>
    <x v="0"/>
    <m/>
    <m/>
    <m/>
  </r>
  <r>
    <x v="18"/>
    <x v="0"/>
    <x v="0"/>
    <s v="Video"/>
    <n v="84725"/>
    <n v="2390"/>
    <n v="374.76"/>
    <n v="65155"/>
    <n v="79"/>
    <x v="0"/>
    <m/>
    <m/>
    <m/>
  </r>
  <r>
    <x v="18"/>
    <x v="0"/>
    <x v="1"/>
    <s v="Video"/>
    <n v="87472"/>
    <n v="3394"/>
    <n v="587.66999999999996"/>
    <n v="69166"/>
    <n v="113"/>
    <x v="0"/>
    <m/>
    <m/>
    <m/>
  </r>
  <r>
    <x v="18"/>
    <x v="1"/>
    <x v="2"/>
    <s v="Video"/>
    <n v="108386"/>
    <n v="4813"/>
    <n v="725.82"/>
    <n v="86797"/>
    <n v="173"/>
    <x v="0"/>
    <m/>
    <m/>
    <m/>
  </r>
  <r>
    <x v="18"/>
    <x v="1"/>
    <x v="3"/>
    <s v="Video"/>
    <n v="103372"/>
    <n v="3711"/>
    <n v="642.11"/>
    <n v="80552"/>
    <n v="112"/>
    <x v="0"/>
    <m/>
    <m/>
    <m/>
  </r>
  <r>
    <x v="18"/>
    <x v="2"/>
    <x v="0"/>
    <s v="Video"/>
    <n v="72177"/>
    <n v="3040"/>
    <n v="436.14"/>
    <n v="58330"/>
    <n v="86"/>
    <x v="0"/>
    <m/>
    <m/>
    <m/>
  </r>
  <r>
    <x v="18"/>
    <x v="2"/>
    <x v="1"/>
    <s v="Video"/>
    <n v="100910"/>
    <n v="3803"/>
    <n v="634.05999999999995"/>
    <n v="76049"/>
    <n v="132"/>
    <x v="0"/>
    <m/>
    <m/>
    <m/>
  </r>
  <r>
    <x v="19"/>
    <x v="0"/>
    <x v="0"/>
    <s v="Video"/>
    <n v="82600"/>
    <n v="2568"/>
    <n v="381.31"/>
    <n v="66062"/>
    <n v="79"/>
    <x v="0"/>
    <m/>
    <m/>
    <m/>
  </r>
  <r>
    <x v="19"/>
    <x v="0"/>
    <x v="1"/>
    <s v="Video"/>
    <n v="118139"/>
    <n v="4716"/>
    <n v="712.36"/>
    <n v="85180"/>
    <n v="219"/>
    <x v="0"/>
    <m/>
    <m/>
    <m/>
  </r>
  <r>
    <x v="19"/>
    <x v="1"/>
    <x v="2"/>
    <s v="Video"/>
    <n v="51221"/>
    <n v="1644"/>
    <n v="256.89"/>
    <n v="39722"/>
    <n v="46"/>
    <x v="0"/>
    <m/>
    <m/>
    <m/>
  </r>
  <r>
    <x v="19"/>
    <x v="1"/>
    <x v="3"/>
    <s v="Video"/>
    <n v="102402"/>
    <n v="3991"/>
    <n v="637.09"/>
    <n v="81849"/>
    <n v="97"/>
    <x v="0"/>
    <m/>
    <m/>
    <m/>
  </r>
  <r>
    <x v="19"/>
    <x v="2"/>
    <x v="0"/>
    <s v="Video"/>
    <n v="69045"/>
    <n v="2407"/>
    <n v="360.41"/>
    <n v="54296"/>
    <n v="76"/>
    <x v="0"/>
    <m/>
    <m/>
    <m/>
  </r>
  <r>
    <x v="19"/>
    <x v="2"/>
    <x v="1"/>
    <s v="Video"/>
    <n v="112544"/>
    <n v="4167"/>
    <n v="654.29999999999995"/>
    <n v="89426"/>
    <n v="127"/>
    <x v="0"/>
    <m/>
    <m/>
    <m/>
  </r>
  <r>
    <x v="20"/>
    <x v="0"/>
    <x v="0"/>
    <s v="Video"/>
    <n v="99473"/>
    <n v="3243"/>
    <n v="486.63"/>
    <n v="72820"/>
    <n v="87"/>
    <x v="0"/>
    <m/>
    <m/>
    <m/>
  </r>
  <r>
    <x v="20"/>
    <x v="0"/>
    <x v="1"/>
    <s v="Video"/>
    <n v="55670"/>
    <n v="2261"/>
    <n v="402.54"/>
    <n v="43924"/>
    <n v="61"/>
    <x v="0"/>
    <m/>
    <m/>
    <m/>
  </r>
  <r>
    <x v="20"/>
    <x v="1"/>
    <x v="2"/>
    <s v="Video"/>
    <n v="103464"/>
    <n v="3383"/>
    <n v="553.4"/>
    <n v="82359"/>
    <n v="126"/>
    <x v="0"/>
    <m/>
    <m/>
    <m/>
  </r>
  <r>
    <x v="20"/>
    <x v="1"/>
    <x v="3"/>
    <s v="Video"/>
    <n v="53176"/>
    <n v="2241"/>
    <n v="340.3"/>
    <n v="40205"/>
    <n v="66"/>
    <x v="0"/>
    <m/>
    <m/>
    <m/>
  </r>
  <r>
    <x v="20"/>
    <x v="2"/>
    <x v="0"/>
    <s v="Video"/>
    <n v="110010"/>
    <n v="3317"/>
    <n v="470.42"/>
    <n v="79807"/>
    <n v="98"/>
    <x v="0"/>
    <m/>
    <m/>
    <m/>
  </r>
  <r>
    <x v="20"/>
    <x v="2"/>
    <x v="1"/>
    <s v="Video"/>
    <n v="56551"/>
    <n v="2196"/>
    <n v="373.57"/>
    <n v="41296"/>
    <n v="49"/>
    <x v="0"/>
    <m/>
    <m/>
    <m/>
  </r>
  <r>
    <x v="21"/>
    <x v="0"/>
    <x v="0"/>
    <s v="Video"/>
    <n v="77268"/>
    <n v="2780"/>
    <n v="438.18"/>
    <n v="57057"/>
    <n v="64"/>
    <x v="0"/>
    <m/>
    <m/>
    <m/>
  </r>
  <r>
    <x v="21"/>
    <x v="0"/>
    <x v="1"/>
    <s v="Video"/>
    <n v="102616"/>
    <n v="3072"/>
    <n v="438.11"/>
    <n v="78929"/>
    <n v="113"/>
    <x v="0"/>
    <m/>
    <m/>
    <m/>
  </r>
  <r>
    <x v="21"/>
    <x v="1"/>
    <x v="2"/>
    <s v="Video"/>
    <n v="129974"/>
    <n v="3757"/>
    <n v="548.4"/>
    <n v="100896"/>
    <n v="112"/>
    <x v="0"/>
    <m/>
    <m/>
    <m/>
  </r>
  <r>
    <x v="21"/>
    <x v="1"/>
    <x v="3"/>
    <s v="Video"/>
    <n v="72530"/>
    <n v="2176"/>
    <n v="371.18"/>
    <n v="56619"/>
    <n v="92"/>
    <x v="0"/>
    <m/>
    <m/>
    <m/>
  </r>
  <r>
    <x v="21"/>
    <x v="2"/>
    <x v="0"/>
    <s v="Video"/>
    <n v="69581"/>
    <n v="2865"/>
    <n v="444.69"/>
    <n v="56419"/>
    <n v="85"/>
    <x v="0"/>
    <m/>
    <m/>
    <m/>
  </r>
  <r>
    <x v="21"/>
    <x v="2"/>
    <x v="1"/>
    <s v="Video"/>
    <n v="117139"/>
    <n v="5251"/>
    <n v="799.28"/>
    <n v="91614"/>
    <n v="198"/>
    <x v="0"/>
    <m/>
    <m/>
    <m/>
  </r>
  <r>
    <x v="22"/>
    <x v="0"/>
    <x v="0"/>
    <s v="Video"/>
    <n v="53006"/>
    <n v="2338"/>
    <n v="346.75"/>
    <n v="39282"/>
    <n v="91"/>
    <x v="0"/>
    <m/>
    <m/>
    <m/>
  </r>
  <r>
    <x v="22"/>
    <x v="0"/>
    <x v="1"/>
    <s v="Video"/>
    <n v="60585"/>
    <n v="1943"/>
    <n v="314.92"/>
    <n v="44569"/>
    <n v="63"/>
    <x v="0"/>
    <m/>
    <m/>
    <m/>
  </r>
  <r>
    <x v="22"/>
    <x v="1"/>
    <x v="2"/>
    <s v="Video"/>
    <n v="117832"/>
    <n v="4240"/>
    <n v="599.14"/>
    <n v="88233"/>
    <n v="124"/>
    <x v="0"/>
    <m/>
    <m/>
    <m/>
  </r>
  <r>
    <x v="22"/>
    <x v="1"/>
    <x v="3"/>
    <s v="Video"/>
    <n v="99510"/>
    <n v="2906"/>
    <n v="433.97"/>
    <n v="74279"/>
    <n v="123"/>
    <x v="0"/>
    <m/>
    <m/>
    <m/>
  </r>
  <r>
    <x v="22"/>
    <x v="2"/>
    <x v="0"/>
    <s v="Video"/>
    <n v="117304"/>
    <n v="4603"/>
    <n v="816.33"/>
    <n v="89445"/>
    <n v="166"/>
    <x v="0"/>
    <m/>
    <m/>
    <m/>
  </r>
  <r>
    <x v="22"/>
    <x v="2"/>
    <x v="1"/>
    <s v="Video"/>
    <n v="124886"/>
    <n v="3813"/>
    <n v="574.33000000000004"/>
    <n v="91694"/>
    <n v="89"/>
    <x v="0"/>
    <m/>
    <m/>
    <m/>
  </r>
  <r>
    <x v="23"/>
    <x v="0"/>
    <x v="0"/>
    <s v="Video"/>
    <n v="112446"/>
    <n v="4285"/>
    <n v="741.17"/>
    <n v="91319"/>
    <n v="143"/>
    <x v="0"/>
    <m/>
    <m/>
    <m/>
  </r>
  <r>
    <x v="23"/>
    <x v="0"/>
    <x v="1"/>
    <s v="Video"/>
    <n v="142006"/>
    <n v="5638"/>
    <n v="947.12"/>
    <n v="115630"/>
    <n v="197"/>
    <x v="0"/>
    <m/>
    <m/>
    <m/>
  </r>
  <r>
    <x v="23"/>
    <x v="1"/>
    <x v="2"/>
    <s v="Video"/>
    <n v="146610"/>
    <n v="5196"/>
    <n v="851.74"/>
    <n v="118599"/>
    <n v="213"/>
    <x v="0"/>
    <m/>
    <m/>
    <m/>
  </r>
  <r>
    <x v="23"/>
    <x v="1"/>
    <x v="3"/>
    <s v="Video"/>
    <n v="166780"/>
    <n v="5379"/>
    <n v="772.71"/>
    <n v="136124"/>
    <n v="235"/>
    <x v="0"/>
    <m/>
    <m/>
    <m/>
  </r>
  <r>
    <x v="23"/>
    <x v="3"/>
    <x v="0"/>
    <s v="Video"/>
    <n v="161548"/>
    <n v="6135"/>
    <n v="863.99"/>
    <n v="128669"/>
    <n v="265"/>
    <x v="0"/>
    <m/>
    <m/>
    <m/>
  </r>
  <r>
    <x v="23"/>
    <x v="3"/>
    <x v="1"/>
    <s v="Video"/>
    <n v="161740"/>
    <n v="4639"/>
    <n v="789.79"/>
    <n v="124062"/>
    <n v="180"/>
    <x v="0"/>
    <m/>
    <m/>
    <m/>
  </r>
  <r>
    <x v="23"/>
    <x v="2"/>
    <x v="0"/>
    <s v="Video"/>
    <n v="107041"/>
    <n v="3327"/>
    <n v="543.67999999999995"/>
    <n v="83864"/>
    <n v="115"/>
    <x v="0"/>
    <m/>
    <m/>
    <m/>
  </r>
  <r>
    <x v="23"/>
    <x v="2"/>
    <x v="1"/>
    <s v="Video"/>
    <n v="72742"/>
    <n v="2617"/>
    <n v="409.13"/>
    <n v="54709"/>
    <n v="64"/>
    <x v="0"/>
    <m/>
    <m/>
    <m/>
  </r>
  <r>
    <x v="24"/>
    <x v="0"/>
    <x v="0"/>
    <s v="Video"/>
    <n v="85510"/>
    <n v="2873"/>
    <n v="481.94"/>
    <n v="64031"/>
    <n v="133"/>
    <x v="0"/>
    <m/>
    <m/>
    <m/>
  </r>
  <r>
    <x v="24"/>
    <x v="0"/>
    <x v="1"/>
    <s v="Video"/>
    <n v="156942"/>
    <n v="4492"/>
    <n v="644.70000000000005"/>
    <n v="116959"/>
    <n v="112"/>
    <x v="0"/>
    <m/>
    <m/>
    <m/>
  </r>
  <r>
    <x v="24"/>
    <x v="1"/>
    <x v="2"/>
    <s v="Video"/>
    <n v="130166"/>
    <n v="5558"/>
    <n v="961.52"/>
    <n v="93734"/>
    <n v="247"/>
    <x v="0"/>
    <m/>
    <m/>
    <m/>
  </r>
  <r>
    <x v="24"/>
    <x v="1"/>
    <x v="3"/>
    <s v="Video"/>
    <n v="140772"/>
    <n v="4930"/>
    <n v="727.19"/>
    <n v="106448"/>
    <n v="205"/>
    <x v="0"/>
    <m/>
    <m/>
    <m/>
  </r>
  <r>
    <x v="24"/>
    <x v="3"/>
    <x v="0"/>
    <s v="Video"/>
    <n v="170762"/>
    <n v="6064"/>
    <n v="861.48"/>
    <n v="127508"/>
    <n v="154"/>
    <x v="0"/>
    <m/>
    <m/>
    <m/>
  </r>
  <r>
    <x v="24"/>
    <x v="3"/>
    <x v="1"/>
    <s v="Video"/>
    <n v="108852"/>
    <n v="3858"/>
    <n v="647.87"/>
    <n v="79695"/>
    <n v="182"/>
    <x v="0"/>
    <m/>
    <m/>
    <m/>
  </r>
  <r>
    <x v="24"/>
    <x v="2"/>
    <x v="0"/>
    <s v="Video"/>
    <n v="167728"/>
    <n v="6975"/>
    <n v="1174.53"/>
    <n v="125976"/>
    <n v="155"/>
    <x v="0"/>
    <m/>
    <m/>
    <m/>
  </r>
  <r>
    <x v="24"/>
    <x v="2"/>
    <x v="1"/>
    <s v="Video"/>
    <n v="130866"/>
    <n v="3871"/>
    <n v="695.58"/>
    <n v="106170"/>
    <n v="131"/>
    <x v="0"/>
    <m/>
    <m/>
    <m/>
  </r>
  <r>
    <x v="25"/>
    <x v="0"/>
    <x v="0"/>
    <s v="Video"/>
    <n v="55396"/>
    <n v="2161"/>
    <n v="315.85000000000002"/>
    <n v="45051"/>
    <n v="63"/>
    <x v="0"/>
    <m/>
    <m/>
    <m/>
  </r>
  <r>
    <x v="25"/>
    <x v="0"/>
    <x v="1"/>
    <s v="Video"/>
    <n v="75838"/>
    <n v="2659"/>
    <n v="423.58"/>
    <n v="58184"/>
    <n v="90"/>
    <x v="0"/>
    <m/>
    <m/>
    <m/>
  </r>
  <r>
    <x v="25"/>
    <x v="1"/>
    <x v="2"/>
    <s v="Video"/>
    <n v="58958"/>
    <n v="2035"/>
    <n v="359.94"/>
    <n v="45446"/>
    <n v="91"/>
    <x v="0"/>
    <m/>
    <m/>
    <m/>
  </r>
  <r>
    <x v="25"/>
    <x v="1"/>
    <x v="3"/>
    <s v="Video"/>
    <n v="49150"/>
    <n v="1607"/>
    <n v="275.76"/>
    <n v="37427"/>
    <n v="74"/>
    <x v="0"/>
    <m/>
    <m/>
    <m/>
  </r>
  <r>
    <x v="25"/>
    <x v="2"/>
    <x v="0"/>
    <s v="Video"/>
    <n v="106550"/>
    <n v="3467"/>
    <n v="485.74"/>
    <n v="84452"/>
    <n v="151"/>
    <x v="0"/>
    <m/>
    <m/>
    <m/>
  </r>
  <r>
    <x v="25"/>
    <x v="2"/>
    <x v="1"/>
    <s v="Video"/>
    <n v="116011"/>
    <n v="5218"/>
    <n v="832.72"/>
    <n v="85251"/>
    <n v="187"/>
    <x v="0"/>
    <m/>
    <m/>
    <m/>
  </r>
  <r>
    <x v="26"/>
    <x v="0"/>
    <x v="0"/>
    <s v="Video"/>
    <n v="85236"/>
    <n v="2868"/>
    <n v="489.04"/>
    <n v="64585"/>
    <n v="132"/>
    <x v="0"/>
    <m/>
    <m/>
    <m/>
  </r>
  <r>
    <x v="26"/>
    <x v="0"/>
    <x v="1"/>
    <s v="Video"/>
    <n v="64727"/>
    <n v="2891"/>
    <n v="432.36"/>
    <n v="49082"/>
    <n v="127"/>
    <x v="0"/>
    <m/>
    <m/>
    <m/>
  </r>
  <r>
    <x v="26"/>
    <x v="1"/>
    <x v="2"/>
    <s v="Video"/>
    <n v="93841"/>
    <n v="2697"/>
    <n v="457.92"/>
    <n v="74183"/>
    <n v="116"/>
    <x v="0"/>
    <m/>
    <m/>
    <m/>
  </r>
  <r>
    <x v="26"/>
    <x v="1"/>
    <x v="3"/>
    <s v="Video"/>
    <n v="90604"/>
    <n v="4059"/>
    <n v="696.91"/>
    <n v="71142"/>
    <n v="105"/>
    <x v="0"/>
    <m/>
    <m/>
    <m/>
  </r>
  <r>
    <x v="26"/>
    <x v="2"/>
    <x v="0"/>
    <s v="Video"/>
    <n v="44852"/>
    <n v="1352"/>
    <n v="241.49"/>
    <n v="33782"/>
    <n v="33"/>
    <x v="0"/>
    <m/>
    <m/>
    <m/>
  </r>
  <r>
    <x v="26"/>
    <x v="2"/>
    <x v="1"/>
    <s v="Video"/>
    <n v="97711"/>
    <n v="2901"/>
    <n v="511.79"/>
    <n v="70501"/>
    <n v="74"/>
    <x v="0"/>
    <m/>
    <m/>
    <m/>
  </r>
  <r>
    <x v="27"/>
    <x v="0"/>
    <x v="0"/>
    <s v="Video"/>
    <n v="125823"/>
    <n v="5597"/>
    <n v="800.33"/>
    <n v="100425"/>
    <n v="161"/>
    <x v="0"/>
    <m/>
    <m/>
    <m/>
  </r>
  <r>
    <x v="27"/>
    <x v="0"/>
    <x v="1"/>
    <s v="Video"/>
    <n v="121691"/>
    <n v="4840"/>
    <n v="803.41"/>
    <n v="97982"/>
    <n v="213"/>
    <x v="0"/>
    <m/>
    <m/>
    <m/>
  </r>
  <r>
    <x v="27"/>
    <x v="1"/>
    <x v="2"/>
    <s v="Video"/>
    <n v="109942"/>
    <n v="3788"/>
    <n v="578.29999999999995"/>
    <n v="87059"/>
    <n v="158"/>
    <x v="0"/>
    <m/>
    <m/>
    <m/>
  </r>
  <r>
    <x v="27"/>
    <x v="1"/>
    <x v="3"/>
    <s v="Video"/>
    <n v="110912"/>
    <n v="3173"/>
    <n v="452.9"/>
    <n v="86856"/>
    <n v="145"/>
    <x v="0"/>
    <m/>
    <m/>
    <m/>
  </r>
  <r>
    <x v="27"/>
    <x v="2"/>
    <x v="0"/>
    <s v="Video"/>
    <n v="69817"/>
    <n v="2841"/>
    <n v="447.06"/>
    <n v="50955"/>
    <n v="109"/>
    <x v="0"/>
    <m/>
    <m/>
    <m/>
  </r>
  <r>
    <x v="27"/>
    <x v="2"/>
    <x v="1"/>
    <s v="Video"/>
    <n v="53173"/>
    <n v="1889"/>
    <n v="316.89999999999998"/>
    <n v="43088"/>
    <n v="43"/>
    <x v="0"/>
    <m/>
    <m/>
    <m/>
  </r>
  <r>
    <x v="28"/>
    <x v="0"/>
    <x v="0"/>
    <s v="Video"/>
    <n v="47355"/>
    <n v="1562"/>
    <n v="242.1"/>
    <n v="34784"/>
    <n v="55"/>
    <x v="0"/>
    <m/>
    <m/>
    <m/>
  </r>
  <r>
    <x v="28"/>
    <x v="0"/>
    <x v="1"/>
    <s v="Video"/>
    <n v="114177"/>
    <n v="4520"/>
    <n v="665.35"/>
    <n v="84206"/>
    <n v="171"/>
    <x v="0"/>
    <m/>
    <m/>
    <m/>
  </r>
  <r>
    <x v="28"/>
    <x v="1"/>
    <x v="2"/>
    <s v="Video"/>
    <n v="90140"/>
    <n v="3473"/>
    <n v="519.67999999999995"/>
    <n v="73129"/>
    <n v="89"/>
    <x v="0"/>
    <m/>
    <m/>
    <m/>
  </r>
  <r>
    <x v="28"/>
    <x v="1"/>
    <x v="3"/>
    <s v="Video"/>
    <n v="100443"/>
    <n v="3901"/>
    <n v="617.85"/>
    <n v="79016"/>
    <n v="176"/>
    <x v="0"/>
    <m/>
    <m/>
    <m/>
  </r>
  <r>
    <x v="28"/>
    <x v="2"/>
    <x v="0"/>
    <s v="Video"/>
    <n v="100981"/>
    <n v="4374"/>
    <n v="730.91"/>
    <n v="74301"/>
    <n v="146"/>
    <x v="0"/>
    <m/>
    <m/>
    <m/>
  </r>
  <r>
    <x v="28"/>
    <x v="2"/>
    <x v="1"/>
    <s v="Video"/>
    <n v="85293"/>
    <n v="3820"/>
    <n v="580.51"/>
    <n v="69616"/>
    <n v="152"/>
    <x v="0"/>
    <m/>
    <m/>
    <m/>
  </r>
  <r>
    <x v="29"/>
    <x v="0"/>
    <x v="0"/>
    <s v="Video"/>
    <n v="99878"/>
    <n v="4231"/>
    <n v="626.05999999999995"/>
    <n v="75754"/>
    <n v="146"/>
    <x v="0"/>
    <m/>
    <m/>
    <m/>
  </r>
  <r>
    <x v="29"/>
    <x v="0"/>
    <x v="1"/>
    <s v="Video"/>
    <n v="71091"/>
    <n v="2451"/>
    <n v="378.33"/>
    <n v="53288"/>
    <n v="98"/>
    <x v="0"/>
    <m/>
    <m/>
    <m/>
  </r>
  <r>
    <x v="29"/>
    <x v="1"/>
    <x v="2"/>
    <s v="Video"/>
    <n v="42875"/>
    <n v="1913"/>
    <n v="318.19"/>
    <n v="32046"/>
    <n v="70"/>
    <x v="0"/>
    <m/>
    <m/>
    <m/>
  </r>
  <r>
    <x v="29"/>
    <x v="1"/>
    <x v="3"/>
    <s v="Video"/>
    <n v="129889"/>
    <n v="5355"/>
    <n v="958.25"/>
    <n v="105347"/>
    <n v="221"/>
    <x v="0"/>
    <m/>
    <m/>
    <m/>
  </r>
  <r>
    <x v="29"/>
    <x v="2"/>
    <x v="0"/>
    <s v="Video"/>
    <n v="77512"/>
    <n v="3192"/>
    <n v="476.26"/>
    <n v="62024"/>
    <n v="88"/>
    <x v="0"/>
    <m/>
    <m/>
    <m/>
  </r>
  <r>
    <x v="29"/>
    <x v="2"/>
    <x v="1"/>
    <s v="Video"/>
    <n v="64920"/>
    <n v="2503"/>
    <n v="418.28"/>
    <n v="51422"/>
    <n v="97"/>
    <x v="0"/>
    <m/>
    <m/>
    <m/>
  </r>
  <r>
    <x v="30"/>
    <x v="0"/>
    <x v="0"/>
    <s v="Video"/>
    <n v="81097"/>
    <n v="3136"/>
    <n v="552.36"/>
    <n v="63631"/>
    <n v="94"/>
    <x v="0"/>
    <m/>
    <m/>
    <m/>
  </r>
  <r>
    <x v="30"/>
    <x v="0"/>
    <x v="1"/>
    <s v="Video"/>
    <n v="136890"/>
    <n v="3910"/>
    <n v="604.46"/>
    <n v="100359"/>
    <n v="178"/>
    <x v="0"/>
    <m/>
    <m/>
    <m/>
  </r>
  <r>
    <x v="30"/>
    <x v="1"/>
    <x v="2"/>
    <s v="Video"/>
    <n v="115952"/>
    <n v="4720"/>
    <n v="693.96"/>
    <n v="85017"/>
    <n v="170"/>
    <x v="0"/>
    <m/>
    <m/>
    <m/>
  </r>
  <r>
    <x v="30"/>
    <x v="1"/>
    <x v="3"/>
    <s v="Video"/>
    <n v="123134"/>
    <n v="4558"/>
    <n v="804.67"/>
    <n v="98882"/>
    <n v="130"/>
    <x v="0"/>
    <m/>
    <m/>
    <m/>
  </r>
  <r>
    <x v="30"/>
    <x v="3"/>
    <x v="0"/>
    <s v="Video"/>
    <n v="144418"/>
    <n v="6418"/>
    <n v="974.29"/>
    <n v="116551"/>
    <n v="275"/>
    <x v="0"/>
    <m/>
    <m/>
    <m/>
  </r>
  <r>
    <x v="30"/>
    <x v="3"/>
    <x v="1"/>
    <s v="Video"/>
    <n v="141939"/>
    <n v="6297"/>
    <n v="917.03"/>
    <n v="115914"/>
    <n v="279"/>
    <x v="0"/>
    <m/>
    <m/>
    <m/>
  </r>
  <r>
    <x v="30"/>
    <x v="2"/>
    <x v="0"/>
    <s v="Video"/>
    <n v="179753"/>
    <n v="8027"/>
    <n v="1434.35"/>
    <n v="143884"/>
    <n v="252"/>
    <x v="0"/>
    <m/>
    <m/>
    <m/>
  </r>
  <r>
    <x v="30"/>
    <x v="2"/>
    <x v="1"/>
    <s v="Video"/>
    <n v="128403"/>
    <n v="3625"/>
    <n v="585.29999999999995"/>
    <n v="98289"/>
    <n v="143"/>
    <x v="0"/>
    <m/>
    <m/>
    <m/>
  </r>
  <r>
    <x v="31"/>
    <x v="0"/>
    <x v="0"/>
    <s v="Video"/>
    <n v="179375"/>
    <n v="5821"/>
    <n v="903.66"/>
    <n v="140603"/>
    <n v="184"/>
    <x v="0"/>
    <m/>
    <m/>
    <m/>
  </r>
  <r>
    <x v="31"/>
    <x v="0"/>
    <x v="1"/>
    <s v="Video"/>
    <n v="179832"/>
    <n v="5750"/>
    <n v="810.76"/>
    <n v="145380"/>
    <n v="210"/>
    <x v="0"/>
    <m/>
    <m/>
    <m/>
  </r>
  <r>
    <x v="31"/>
    <x v="1"/>
    <x v="2"/>
    <s v="Video"/>
    <n v="167949"/>
    <n v="5334"/>
    <n v="760.25"/>
    <n v="134759"/>
    <n v="243"/>
    <x v="0"/>
    <m/>
    <m/>
    <m/>
  </r>
  <r>
    <x v="31"/>
    <x v="1"/>
    <x v="3"/>
    <s v="Video"/>
    <n v="111451"/>
    <n v="4350"/>
    <n v="629.29999999999995"/>
    <n v="80750"/>
    <n v="99"/>
    <x v="0"/>
    <m/>
    <m/>
    <m/>
  </r>
  <r>
    <x v="31"/>
    <x v="3"/>
    <x v="0"/>
    <s v="Video"/>
    <n v="146396"/>
    <n v="4388"/>
    <n v="655.53"/>
    <n v="113274"/>
    <n v="140"/>
    <x v="0"/>
    <m/>
    <m/>
    <m/>
  </r>
  <r>
    <x v="31"/>
    <x v="3"/>
    <x v="1"/>
    <s v="Video"/>
    <n v="124080"/>
    <n v="4888"/>
    <n v="829.62"/>
    <n v="101075"/>
    <n v="160"/>
    <x v="0"/>
    <m/>
    <m/>
    <m/>
  </r>
  <r>
    <x v="31"/>
    <x v="4"/>
    <x v="0"/>
    <s v="Video"/>
    <n v="84354"/>
    <n v="3631"/>
    <n v="603.46"/>
    <n v="67767"/>
    <n v="138"/>
    <x v="0"/>
    <m/>
    <m/>
    <m/>
  </r>
  <r>
    <x v="31"/>
    <x v="4"/>
    <x v="1"/>
    <s v="Video"/>
    <n v="107332"/>
    <n v="3064"/>
    <n v="474.37"/>
    <n v="82037"/>
    <n v="143"/>
    <x v="0"/>
    <m/>
    <m/>
    <m/>
  </r>
  <r>
    <x v="32"/>
    <x v="0"/>
    <x v="0"/>
    <s v="Video"/>
    <n v="87537"/>
    <n v="2598"/>
    <n v="434.98"/>
    <n v="67792"/>
    <n v="123"/>
    <x v="0"/>
    <m/>
    <m/>
    <m/>
  </r>
  <r>
    <x v="32"/>
    <x v="0"/>
    <x v="1"/>
    <s v="Video"/>
    <n v="87012"/>
    <n v="2525"/>
    <n v="381.36"/>
    <n v="71073"/>
    <n v="117"/>
    <x v="0"/>
    <m/>
    <m/>
    <m/>
  </r>
  <r>
    <x v="32"/>
    <x v="1"/>
    <x v="2"/>
    <s v="Video"/>
    <n v="99600"/>
    <n v="2944"/>
    <n v="437.14"/>
    <n v="78081"/>
    <n v="139"/>
    <x v="0"/>
    <m/>
    <m/>
    <m/>
  </r>
  <r>
    <x v="32"/>
    <x v="1"/>
    <x v="3"/>
    <s v="Video"/>
    <n v="46629"/>
    <n v="1929"/>
    <n v="288.85000000000002"/>
    <n v="34160"/>
    <n v="70"/>
    <x v="0"/>
    <m/>
    <m/>
    <m/>
  </r>
  <r>
    <x v="32"/>
    <x v="4"/>
    <x v="0"/>
    <s v="Video"/>
    <n v="48992"/>
    <n v="2062"/>
    <n v="334.39"/>
    <n v="38147"/>
    <n v="88"/>
    <x v="0"/>
    <m/>
    <m/>
    <m/>
  </r>
  <r>
    <x v="32"/>
    <x v="4"/>
    <x v="1"/>
    <s v="Video"/>
    <n v="70539"/>
    <n v="2369"/>
    <n v="345.64"/>
    <n v="57140"/>
    <n v="52"/>
    <x v="0"/>
    <m/>
    <m/>
    <m/>
  </r>
  <r>
    <x v="33"/>
    <x v="0"/>
    <x v="0"/>
    <s v="Video"/>
    <n v="58964"/>
    <n v="2640"/>
    <n v="426.65"/>
    <n v="47162"/>
    <n v="65"/>
    <x v="0"/>
    <m/>
    <m/>
    <m/>
  </r>
  <r>
    <x v="33"/>
    <x v="0"/>
    <x v="1"/>
    <s v="Video"/>
    <n v="43379"/>
    <n v="1311"/>
    <n v="202.33"/>
    <n v="34653"/>
    <n v="48"/>
    <x v="0"/>
    <m/>
    <m/>
    <m/>
  </r>
  <r>
    <x v="33"/>
    <x v="1"/>
    <x v="2"/>
    <s v="Video"/>
    <n v="42068"/>
    <n v="1302"/>
    <n v="185.01"/>
    <n v="33409"/>
    <n v="46"/>
    <x v="0"/>
    <m/>
    <m/>
    <m/>
  </r>
  <r>
    <x v="33"/>
    <x v="1"/>
    <x v="3"/>
    <s v="Video"/>
    <n v="48330"/>
    <n v="1744"/>
    <n v="298.43"/>
    <n v="37278"/>
    <n v="43"/>
    <x v="0"/>
    <m/>
    <m/>
    <m/>
  </r>
  <r>
    <x v="33"/>
    <x v="4"/>
    <x v="0"/>
    <s v="Video"/>
    <n v="106039"/>
    <n v="3368"/>
    <n v="554.39"/>
    <n v="84059"/>
    <n v="153"/>
    <x v="0"/>
    <m/>
    <m/>
    <m/>
  </r>
  <r>
    <x v="33"/>
    <x v="4"/>
    <x v="1"/>
    <s v="Video"/>
    <n v="126363"/>
    <n v="4658"/>
    <n v="737.46"/>
    <n v="103163"/>
    <n v="109"/>
    <x v="0"/>
    <m/>
    <m/>
    <m/>
  </r>
  <r>
    <x v="34"/>
    <x v="0"/>
    <x v="0"/>
    <s v="Video"/>
    <n v="102781"/>
    <n v="4358"/>
    <n v="684.43"/>
    <n v="75111"/>
    <n v="176"/>
    <x v="0"/>
    <m/>
    <m/>
    <m/>
  </r>
  <r>
    <x v="34"/>
    <x v="0"/>
    <x v="1"/>
    <s v="Video"/>
    <n v="98138"/>
    <n v="2870"/>
    <n v="411.07"/>
    <n v="76629"/>
    <n v="68"/>
    <x v="0"/>
    <m/>
    <m/>
    <m/>
  </r>
  <r>
    <x v="34"/>
    <x v="1"/>
    <x v="2"/>
    <s v="Video"/>
    <n v="76046"/>
    <n v="2936"/>
    <n v="479.79"/>
    <n v="60168"/>
    <n v="93"/>
    <x v="0"/>
    <m/>
    <m/>
    <m/>
  </r>
  <r>
    <x v="34"/>
    <x v="1"/>
    <x v="3"/>
    <s v="Video"/>
    <n v="118301"/>
    <n v="4379"/>
    <n v="692.53"/>
    <n v="92338"/>
    <n v="107"/>
    <x v="0"/>
    <m/>
    <m/>
    <m/>
  </r>
  <r>
    <x v="34"/>
    <x v="4"/>
    <x v="0"/>
    <s v="Video"/>
    <n v="54996"/>
    <n v="2337"/>
    <n v="388.03"/>
    <n v="43826"/>
    <n v="95"/>
    <x v="0"/>
    <m/>
    <m/>
    <m/>
  </r>
  <r>
    <x v="34"/>
    <x v="4"/>
    <x v="1"/>
    <s v="Video"/>
    <n v="68183"/>
    <n v="2407"/>
    <n v="422.49"/>
    <n v="51913"/>
    <n v="104"/>
    <x v="0"/>
    <m/>
    <m/>
    <m/>
  </r>
  <r>
    <x v="35"/>
    <x v="0"/>
    <x v="0"/>
    <s v="Video"/>
    <n v="92262"/>
    <n v="3235"/>
    <n v="465.2"/>
    <n v="70366"/>
    <n v="127"/>
    <x v="0"/>
    <m/>
    <m/>
    <m/>
  </r>
  <r>
    <x v="35"/>
    <x v="0"/>
    <x v="1"/>
    <s v="Video"/>
    <n v="89060"/>
    <n v="3937"/>
    <n v="659.34"/>
    <n v="68347"/>
    <n v="95"/>
    <x v="0"/>
    <m/>
    <m/>
    <m/>
  </r>
  <r>
    <x v="35"/>
    <x v="1"/>
    <x v="2"/>
    <s v="Video"/>
    <n v="51188"/>
    <n v="1514"/>
    <n v="217.81"/>
    <n v="40637"/>
    <n v="65"/>
    <x v="0"/>
    <m/>
    <m/>
    <m/>
  </r>
  <r>
    <x v="35"/>
    <x v="1"/>
    <x v="3"/>
    <s v="Video"/>
    <n v="112924"/>
    <n v="3277"/>
    <n v="584.16999999999996"/>
    <n v="87648"/>
    <n v="129"/>
    <x v="0"/>
    <m/>
    <m/>
    <m/>
  </r>
  <r>
    <x v="35"/>
    <x v="4"/>
    <x v="0"/>
    <s v="Video"/>
    <n v="93845"/>
    <n v="3191"/>
    <n v="531.66"/>
    <n v="74609"/>
    <n v="142"/>
    <x v="0"/>
    <m/>
    <m/>
    <m/>
  </r>
  <r>
    <x v="35"/>
    <x v="4"/>
    <x v="1"/>
    <s v="Video"/>
    <n v="46743"/>
    <n v="2078"/>
    <n v="340.83"/>
    <n v="35298"/>
    <n v="76"/>
    <x v="0"/>
    <m/>
    <m/>
    <m/>
  </r>
  <r>
    <x v="36"/>
    <x v="0"/>
    <x v="0"/>
    <s v="Video"/>
    <n v="67884"/>
    <n v="2079"/>
    <n v="331.16"/>
    <n v="54628"/>
    <n v="64"/>
    <x v="0"/>
    <m/>
    <m/>
    <m/>
  </r>
  <r>
    <x v="36"/>
    <x v="0"/>
    <x v="1"/>
    <s v="Video"/>
    <n v="112910"/>
    <n v="3867"/>
    <n v="659.34"/>
    <n v="87777"/>
    <n v="166"/>
    <x v="0"/>
    <m/>
    <m/>
    <m/>
  </r>
  <r>
    <x v="36"/>
    <x v="1"/>
    <x v="2"/>
    <s v="Video"/>
    <n v="113526"/>
    <n v="5059"/>
    <n v="873.88"/>
    <n v="88704"/>
    <n v="195"/>
    <x v="0"/>
    <m/>
    <m/>
    <m/>
  </r>
  <r>
    <x v="36"/>
    <x v="1"/>
    <x v="3"/>
    <s v="Video"/>
    <n v="43441"/>
    <n v="1666"/>
    <n v="277.08"/>
    <n v="34290"/>
    <n v="37"/>
    <x v="0"/>
    <m/>
    <m/>
    <m/>
  </r>
  <r>
    <x v="36"/>
    <x v="4"/>
    <x v="0"/>
    <s v="Video"/>
    <n v="75818"/>
    <n v="3028"/>
    <n v="461.34"/>
    <n v="57165"/>
    <n v="67"/>
    <x v="0"/>
    <m/>
    <m/>
    <m/>
  </r>
  <r>
    <x v="36"/>
    <x v="4"/>
    <x v="1"/>
    <s v="Video"/>
    <n v="58776"/>
    <n v="2211"/>
    <n v="344.99"/>
    <n v="43152"/>
    <n v="85"/>
    <x v="0"/>
    <m/>
    <m/>
    <m/>
  </r>
  <r>
    <x v="37"/>
    <x v="0"/>
    <x v="0"/>
    <s v="Video"/>
    <n v="61625"/>
    <n v="1821"/>
    <n v="293.58"/>
    <n v="46688"/>
    <n v="61"/>
    <x v="0"/>
    <m/>
    <m/>
    <m/>
  </r>
  <r>
    <x v="37"/>
    <x v="0"/>
    <x v="1"/>
    <s v="Video"/>
    <n v="84883"/>
    <n v="2910"/>
    <n v="491.39"/>
    <n v="67709"/>
    <n v="106"/>
    <x v="0"/>
    <m/>
    <m/>
    <m/>
  </r>
  <r>
    <x v="37"/>
    <x v="1"/>
    <x v="2"/>
    <s v="Video"/>
    <n v="71589"/>
    <n v="3079"/>
    <n v="450.22"/>
    <n v="56945"/>
    <n v="71"/>
    <x v="0"/>
    <m/>
    <m/>
    <m/>
  </r>
  <r>
    <x v="37"/>
    <x v="1"/>
    <x v="3"/>
    <s v="Video"/>
    <n v="70970"/>
    <n v="2315"/>
    <n v="385.4"/>
    <n v="54545"/>
    <n v="77"/>
    <x v="0"/>
    <m/>
    <m/>
    <m/>
  </r>
  <r>
    <x v="37"/>
    <x v="3"/>
    <x v="0"/>
    <s v="Video"/>
    <n v="106125"/>
    <n v="3360"/>
    <n v="539.26"/>
    <n v="80073"/>
    <n v="83"/>
    <x v="0"/>
    <m/>
    <m/>
    <m/>
  </r>
  <r>
    <x v="37"/>
    <x v="3"/>
    <x v="1"/>
    <s v="Video"/>
    <n v="180453"/>
    <n v="7134"/>
    <n v="1137.6300000000001"/>
    <n v="141964"/>
    <n v="165"/>
    <x v="0"/>
    <m/>
    <m/>
    <m/>
  </r>
  <r>
    <x v="37"/>
    <x v="4"/>
    <x v="0"/>
    <s v="Video"/>
    <n v="128529"/>
    <n v="5749"/>
    <n v="817.46"/>
    <n v="95168"/>
    <n v="267"/>
    <x v="0"/>
    <m/>
    <m/>
    <m/>
  </r>
  <r>
    <x v="37"/>
    <x v="4"/>
    <x v="1"/>
    <s v="Video"/>
    <n v="81181"/>
    <n v="3327"/>
    <n v="504.3"/>
    <n v="59424"/>
    <n v="116"/>
    <x v="0"/>
    <m/>
    <m/>
    <m/>
  </r>
  <r>
    <x v="38"/>
    <x v="0"/>
    <x v="0"/>
    <s v="Video"/>
    <n v="135024"/>
    <n v="4183"/>
    <n v="649.24"/>
    <n v="106718"/>
    <n v="146"/>
    <x v="0"/>
    <m/>
    <m/>
    <m/>
  </r>
  <r>
    <x v="38"/>
    <x v="0"/>
    <x v="1"/>
    <s v="Video"/>
    <n v="178586"/>
    <n v="7448"/>
    <n v="1064.19"/>
    <n v="143971"/>
    <n v="172"/>
    <x v="0"/>
    <m/>
    <m/>
    <m/>
  </r>
  <r>
    <x v="38"/>
    <x v="1"/>
    <x v="2"/>
    <s v="Video"/>
    <n v="59438"/>
    <n v="2128"/>
    <n v="304.55"/>
    <n v="44656"/>
    <n v="70"/>
    <x v="0"/>
    <m/>
    <m/>
    <m/>
  </r>
  <r>
    <x v="38"/>
    <x v="1"/>
    <x v="3"/>
    <s v="Video"/>
    <n v="130211"/>
    <n v="5216"/>
    <n v="817.39"/>
    <n v="95251"/>
    <n v="117"/>
    <x v="0"/>
    <m/>
    <m/>
    <m/>
  </r>
  <r>
    <x v="38"/>
    <x v="3"/>
    <x v="0"/>
    <s v="Video"/>
    <n v="115595"/>
    <n v="3574"/>
    <n v="635.83000000000004"/>
    <n v="88546"/>
    <n v="142"/>
    <x v="0"/>
    <m/>
    <m/>
    <m/>
  </r>
  <r>
    <x v="38"/>
    <x v="3"/>
    <x v="1"/>
    <s v="Video"/>
    <n v="122399"/>
    <n v="3610"/>
    <n v="627.34"/>
    <n v="91105"/>
    <n v="134"/>
    <x v="0"/>
    <m/>
    <m/>
    <m/>
  </r>
  <r>
    <x v="38"/>
    <x v="4"/>
    <x v="0"/>
    <s v="Video"/>
    <n v="152146"/>
    <n v="4463"/>
    <n v="780.23"/>
    <n v="120892"/>
    <n v="123"/>
    <x v="0"/>
    <m/>
    <m/>
    <m/>
  </r>
  <r>
    <x v="38"/>
    <x v="4"/>
    <x v="1"/>
    <s v="Video"/>
    <n v="86851"/>
    <n v="2544"/>
    <n v="420.6"/>
    <n v="67141"/>
    <n v="68"/>
    <x v="0"/>
    <m/>
    <m/>
    <m/>
  </r>
  <r>
    <x v="39"/>
    <x v="0"/>
    <x v="0"/>
    <s v="Video"/>
    <n v="137268"/>
    <n v="4662"/>
    <n v="831.37"/>
    <n v="107692"/>
    <n v="120"/>
    <x v="0"/>
    <m/>
    <m/>
    <m/>
  </r>
  <r>
    <x v="39"/>
    <x v="0"/>
    <x v="1"/>
    <s v="Video"/>
    <n v="85558"/>
    <n v="2608"/>
    <n v="385.7"/>
    <n v="66755"/>
    <n v="108"/>
    <x v="0"/>
    <m/>
    <m/>
    <m/>
  </r>
  <r>
    <x v="39"/>
    <x v="1"/>
    <x v="2"/>
    <s v="Video"/>
    <n v="201468"/>
    <n v="5899"/>
    <n v="1050.33"/>
    <n v="157708"/>
    <n v="200"/>
    <x v="0"/>
    <m/>
    <m/>
    <m/>
  </r>
  <r>
    <x v="39"/>
    <x v="1"/>
    <x v="3"/>
    <s v="Video"/>
    <n v="182222"/>
    <n v="7456"/>
    <n v="1177.72"/>
    <n v="148039"/>
    <n v="273"/>
    <x v="0"/>
    <m/>
    <m/>
    <m/>
  </r>
  <r>
    <x v="39"/>
    <x v="4"/>
    <x v="0"/>
    <s v="Video"/>
    <n v="197230"/>
    <n v="8830"/>
    <n v="1350.36"/>
    <n v="161156"/>
    <n v="266"/>
    <x v="0"/>
    <m/>
    <m/>
    <m/>
  </r>
  <r>
    <x v="39"/>
    <x v="4"/>
    <x v="1"/>
    <s v="Video"/>
    <n v="156224"/>
    <n v="4555"/>
    <n v="718.27"/>
    <n v="117212"/>
    <n v="132"/>
    <x v="0"/>
    <m/>
    <m/>
    <m/>
  </r>
  <r>
    <x v="40"/>
    <x v="0"/>
    <x v="0"/>
    <s v="Video"/>
    <n v="75779"/>
    <n v="2575"/>
    <n v="368.14"/>
    <n v="58059"/>
    <n v="59"/>
    <x v="0"/>
    <m/>
    <m/>
    <m/>
  </r>
  <r>
    <x v="40"/>
    <x v="0"/>
    <x v="1"/>
    <s v="Video"/>
    <n v="141329"/>
    <n v="5955"/>
    <n v="851.98"/>
    <n v="113971"/>
    <n v="263"/>
    <x v="0"/>
    <m/>
    <m/>
    <m/>
  </r>
  <r>
    <x v="40"/>
    <x v="1"/>
    <x v="2"/>
    <s v="Video"/>
    <n v="192976"/>
    <n v="7352"/>
    <n v="1142.3499999999999"/>
    <n v="150141"/>
    <n v="344"/>
    <x v="0"/>
    <m/>
    <m/>
    <m/>
  </r>
  <r>
    <x v="40"/>
    <x v="1"/>
    <x v="3"/>
    <s v="Video"/>
    <n v="72601"/>
    <n v="2587"/>
    <n v="445.98"/>
    <n v="57005"/>
    <n v="78"/>
    <x v="0"/>
    <m/>
    <m/>
    <m/>
  </r>
  <r>
    <x v="40"/>
    <x v="4"/>
    <x v="0"/>
    <s v="Video"/>
    <n v="163745"/>
    <n v="5980"/>
    <n v="1066.29"/>
    <n v="125273"/>
    <n v="257"/>
    <x v="0"/>
    <m/>
    <m/>
    <m/>
  </r>
  <r>
    <x v="40"/>
    <x v="4"/>
    <x v="1"/>
    <s v="Video"/>
    <n v="136024"/>
    <n v="6080"/>
    <n v="871.71"/>
    <n v="106726"/>
    <n v="139"/>
    <x v="0"/>
    <m/>
    <m/>
    <m/>
  </r>
  <r>
    <x v="41"/>
    <x v="0"/>
    <x v="0"/>
    <s v="Video"/>
    <n v="155803"/>
    <n v="6987"/>
    <n v="1124.6500000000001"/>
    <n v="121679"/>
    <n v="219"/>
    <x v="0"/>
    <m/>
    <m/>
    <m/>
  </r>
  <r>
    <x v="41"/>
    <x v="0"/>
    <x v="1"/>
    <s v="Video"/>
    <n v="123326"/>
    <n v="4265"/>
    <n v="729.22"/>
    <n v="97167"/>
    <n v="99"/>
    <x v="0"/>
    <m/>
    <m/>
    <m/>
  </r>
  <r>
    <x v="41"/>
    <x v="1"/>
    <x v="2"/>
    <s v="Video"/>
    <n v="196305"/>
    <n v="7656"/>
    <n v="1092.02"/>
    <n v="143194"/>
    <n v="303"/>
    <x v="0"/>
    <m/>
    <m/>
    <m/>
  </r>
  <r>
    <x v="41"/>
    <x v="1"/>
    <x v="3"/>
    <s v="Video"/>
    <n v="123588"/>
    <n v="3989"/>
    <n v="694.34"/>
    <n v="100902"/>
    <n v="150"/>
    <x v="0"/>
    <m/>
    <m/>
    <m/>
  </r>
  <r>
    <x v="41"/>
    <x v="4"/>
    <x v="0"/>
    <s v="Video"/>
    <n v="95534"/>
    <n v="3216"/>
    <n v="525.20000000000005"/>
    <n v="70135"/>
    <n v="100"/>
    <x v="0"/>
    <m/>
    <m/>
    <m/>
  </r>
  <r>
    <x v="41"/>
    <x v="4"/>
    <x v="1"/>
    <s v="Video"/>
    <n v="201584"/>
    <n v="8037"/>
    <n v="1251.19"/>
    <n v="157135"/>
    <n v="372"/>
    <x v="0"/>
    <m/>
    <m/>
    <m/>
  </r>
  <r>
    <x v="42"/>
    <x v="0"/>
    <x v="0"/>
    <s v="Video"/>
    <n v="128923"/>
    <n v="4834"/>
    <n v="801.19"/>
    <n v="97059"/>
    <n v="122"/>
    <x v="0"/>
    <m/>
    <m/>
    <m/>
  </r>
  <r>
    <x v="42"/>
    <x v="0"/>
    <x v="1"/>
    <s v="Video"/>
    <n v="207740"/>
    <n v="9039"/>
    <n v="1299.25"/>
    <n v="163500"/>
    <n v="318"/>
    <x v="0"/>
    <m/>
    <m/>
    <m/>
  </r>
  <r>
    <x v="42"/>
    <x v="1"/>
    <x v="2"/>
    <s v="Video"/>
    <n v="67822"/>
    <n v="2317"/>
    <n v="341.09"/>
    <n v="50284"/>
    <n v="108"/>
    <x v="0"/>
    <m/>
    <m/>
    <m/>
  </r>
  <r>
    <x v="42"/>
    <x v="1"/>
    <x v="3"/>
    <s v="Video"/>
    <n v="165977"/>
    <n v="5189"/>
    <n v="934.02"/>
    <n v="122075"/>
    <n v="154"/>
    <x v="0"/>
    <m/>
    <m/>
    <m/>
  </r>
  <r>
    <x v="42"/>
    <x v="4"/>
    <x v="0"/>
    <s v="Video"/>
    <n v="85209"/>
    <n v="3121"/>
    <n v="504.32"/>
    <n v="67644"/>
    <n v="111"/>
    <x v="0"/>
    <m/>
    <m/>
    <m/>
  </r>
  <r>
    <x v="42"/>
    <x v="4"/>
    <x v="1"/>
    <s v="Video"/>
    <n v="202816"/>
    <n v="6839"/>
    <n v="1167.0899999999999"/>
    <n v="148685"/>
    <n v="217"/>
    <x v="0"/>
    <m/>
    <m/>
    <m/>
  </r>
  <r>
    <x v="43"/>
    <x v="0"/>
    <x v="0"/>
    <s v="Video"/>
    <n v="98025"/>
    <n v="3046"/>
    <n v="510.86"/>
    <n v="76702"/>
    <n v="138"/>
    <x v="0"/>
    <m/>
    <m/>
    <m/>
  </r>
  <r>
    <x v="43"/>
    <x v="0"/>
    <x v="1"/>
    <s v="Video"/>
    <n v="155785"/>
    <n v="4477"/>
    <n v="692.02"/>
    <n v="123375"/>
    <n v="211"/>
    <x v="0"/>
    <m/>
    <m/>
    <m/>
  </r>
  <r>
    <x v="43"/>
    <x v="1"/>
    <x v="2"/>
    <s v="Video"/>
    <n v="192049"/>
    <n v="6307"/>
    <n v="1071.82"/>
    <n v="146896"/>
    <n v="226"/>
    <x v="0"/>
    <m/>
    <m/>
    <m/>
  </r>
  <r>
    <x v="43"/>
    <x v="1"/>
    <x v="3"/>
    <s v="Video"/>
    <n v="128899"/>
    <n v="5725"/>
    <n v="981.12"/>
    <n v="104459"/>
    <n v="154"/>
    <x v="0"/>
    <m/>
    <m/>
    <m/>
  </r>
  <r>
    <x v="43"/>
    <x v="4"/>
    <x v="0"/>
    <s v="Video"/>
    <n v="206251"/>
    <n v="9095"/>
    <n v="1631.44"/>
    <n v="158022"/>
    <n v="266"/>
    <x v="0"/>
    <m/>
    <m/>
    <m/>
  </r>
  <r>
    <x v="43"/>
    <x v="4"/>
    <x v="1"/>
    <s v="Video"/>
    <n v="144083"/>
    <n v="5266"/>
    <n v="825.43"/>
    <n v="106074"/>
    <n v="143"/>
    <x v="0"/>
    <m/>
    <m/>
    <m/>
  </r>
  <r>
    <x v="44"/>
    <x v="0"/>
    <x v="0"/>
    <s v="Video"/>
    <n v="190806"/>
    <n v="5791"/>
    <n v="868.65"/>
    <n v="149614"/>
    <n v="259"/>
    <x v="0"/>
    <m/>
    <m/>
    <m/>
  </r>
  <r>
    <x v="44"/>
    <x v="0"/>
    <x v="1"/>
    <s v="Video"/>
    <n v="180294"/>
    <n v="7911"/>
    <n v="1332.66"/>
    <n v="139113"/>
    <n v="199"/>
    <x v="0"/>
    <m/>
    <m/>
    <m/>
  </r>
  <r>
    <x v="44"/>
    <x v="1"/>
    <x v="2"/>
    <s v="Video"/>
    <n v="81588"/>
    <n v="3342"/>
    <n v="504.35"/>
    <n v="66129"/>
    <n v="86"/>
    <x v="0"/>
    <m/>
    <m/>
    <m/>
  </r>
  <r>
    <x v="44"/>
    <x v="1"/>
    <x v="3"/>
    <s v="Video"/>
    <n v="155744"/>
    <n v="4603"/>
    <n v="812.06"/>
    <n v="124855"/>
    <n v="207"/>
    <x v="0"/>
    <m/>
    <m/>
    <m/>
  </r>
  <r>
    <x v="44"/>
    <x v="3"/>
    <x v="0"/>
    <s v="Video"/>
    <n v="69592"/>
    <n v="2439"/>
    <n v="380.14"/>
    <n v="52708"/>
    <n v="78"/>
    <x v="0"/>
    <m/>
    <m/>
    <m/>
  </r>
  <r>
    <x v="44"/>
    <x v="3"/>
    <x v="1"/>
    <s v="Video"/>
    <n v="81113"/>
    <n v="2788"/>
    <n v="393.46"/>
    <n v="65951"/>
    <n v="122"/>
    <x v="0"/>
    <m/>
    <m/>
    <m/>
  </r>
  <r>
    <x v="44"/>
    <x v="4"/>
    <x v="0"/>
    <s v="Video"/>
    <n v="200305"/>
    <n v="6750"/>
    <n v="984.43"/>
    <n v="144986"/>
    <n v="309"/>
    <x v="0"/>
    <m/>
    <m/>
    <m/>
  </r>
  <r>
    <x v="44"/>
    <x v="4"/>
    <x v="1"/>
    <s v="Video"/>
    <n v="163080"/>
    <n v="6496"/>
    <n v="945.5"/>
    <n v="128923"/>
    <n v="218"/>
    <x v="0"/>
    <m/>
    <m/>
    <m/>
  </r>
  <r>
    <x v="45"/>
    <x v="0"/>
    <x v="0"/>
    <s v="Video"/>
    <n v="65100"/>
    <n v="2825"/>
    <n v="397.65"/>
    <n v="48275"/>
    <n v="73"/>
    <x v="0"/>
    <m/>
    <m/>
    <m/>
  </r>
  <r>
    <x v="45"/>
    <x v="0"/>
    <x v="1"/>
    <s v="Video"/>
    <n v="191691"/>
    <n v="7087"/>
    <n v="1023.7"/>
    <n v="143540"/>
    <n v="211"/>
    <x v="0"/>
    <m/>
    <m/>
    <m/>
  </r>
  <r>
    <x v="45"/>
    <x v="1"/>
    <x v="2"/>
    <s v="Video"/>
    <n v="74012"/>
    <n v="2372"/>
    <n v="392.7"/>
    <n v="57898"/>
    <n v="56"/>
    <x v="0"/>
    <m/>
    <m/>
    <m/>
  </r>
  <r>
    <x v="45"/>
    <x v="1"/>
    <x v="3"/>
    <s v="Video"/>
    <n v="168820"/>
    <n v="6439"/>
    <n v="905.69"/>
    <n v="130250"/>
    <n v="182"/>
    <x v="0"/>
    <m/>
    <m/>
    <m/>
  </r>
  <r>
    <x v="45"/>
    <x v="3"/>
    <x v="0"/>
    <s v="Video"/>
    <n v="94108"/>
    <n v="3101"/>
    <n v="434.33"/>
    <n v="71078"/>
    <n v="114"/>
    <x v="0"/>
    <m/>
    <m/>
    <m/>
  </r>
  <r>
    <x v="45"/>
    <x v="3"/>
    <x v="1"/>
    <s v="Video"/>
    <n v="103281"/>
    <n v="4058"/>
    <n v="582.02"/>
    <n v="84428"/>
    <n v="96"/>
    <x v="0"/>
    <m/>
    <m/>
    <m/>
  </r>
  <r>
    <x v="45"/>
    <x v="4"/>
    <x v="0"/>
    <s v="Video"/>
    <n v="174321"/>
    <n v="6493"/>
    <n v="1113.27"/>
    <n v="134360"/>
    <n v="146"/>
    <x v="0"/>
    <m/>
    <m/>
    <m/>
  </r>
  <r>
    <x v="45"/>
    <x v="4"/>
    <x v="1"/>
    <s v="Video"/>
    <n v="162593"/>
    <n v="4672"/>
    <n v="726.38"/>
    <n v="123136"/>
    <n v="193"/>
    <x v="0"/>
    <m/>
    <m/>
    <m/>
  </r>
  <r>
    <x v="46"/>
    <x v="0"/>
    <x v="0"/>
    <s v="Video"/>
    <n v="138888"/>
    <n v="5750"/>
    <n v="884.3"/>
    <n v="110179"/>
    <n v="220"/>
    <x v="0"/>
    <m/>
    <m/>
    <m/>
  </r>
  <r>
    <x v="46"/>
    <x v="0"/>
    <x v="1"/>
    <s v="Video"/>
    <n v="186033"/>
    <n v="7533"/>
    <n v="1154.81"/>
    <n v="134768"/>
    <n v="272"/>
    <x v="0"/>
    <m/>
    <m/>
    <m/>
  </r>
  <r>
    <x v="46"/>
    <x v="1"/>
    <x v="2"/>
    <s v="Video"/>
    <n v="198803"/>
    <n v="6158"/>
    <n v="1054.04"/>
    <n v="152375"/>
    <n v="246"/>
    <x v="0"/>
    <m/>
    <m/>
    <m/>
  </r>
  <r>
    <x v="46"/>
    <x v="1"/>
    <x v="3"/>
    <s v="Video"/>
    <n v="196483"/>
    <n v="6110"/>
    <n v="888.36"/>
    <n v="155536"/>
    <n v="284"/>
    <x v="0"/>
    <m/>
    <m/>
    <m/>
  </r>
  <r>
    <x v="46"/>
    <x v="4"/>
    <x v="0"/>
    <s v="Video"/>
    <n v="71755"/>
    <n v="2367"/>
    <n v="335.53"/>
    <n v="53094"/>
    <n v="54"/>
    <x v="0"/>
    <m/>
    <m/>
    <m/>
  </r>
  <r>
    <x v="46"/>
    <x v="4"/>
    <x v="1"/>
    <s v="Video"/>
    <n v="129027"/>
    <n v="4743"/>
    <n v="851.68"/>
    <n v="99906"/>
    <n v="135"/>
    <x v="0"/>
    <m/>
    <m/>
    <m/>
  </r>
  <r>
    <x v="47"/>
    <x v="0"/>
    <x v="0"/>
    <s v="Video"/>
    <n v="124790"/>
    <n v="3899"/>
    <n v="601.53"/>
    <n v="99592"/>
    <n v="173"/>
    <x v="0"/>
    <m/>
    <m/>
    <m/>
  </r>
  <r>
    <x v="47"/>
    <x v="0"/>
    <x v="1"/>
    <s v="Video"/>
    <n v="83506"/>
    <n v="2726"/>
    <n v="468.8"/>
    <n v="63773"/>
    <n v="88"/>
    <x v="0"/>
    <m/>
    <m/>
    <m/>
  </r>
  <r>
    <x v="47"/>
    <x v="1"/>
    <x v="2"/>
    <s v="Video"/>
    <n v="97637"/>
    <n v="4218"/>
    <n v="655.75"/>
    <n v="79805"/>
    <n v="147"/>
    <x v="0"/>
    <m/>
    <m/>
    <m/>
  </r>
  <r>
    <x v="47"/>
    <x v="1"/>
    <x v="3"/>
    <s v="Video"/>
    <n v="105211"/>
    <n v="3602"/>
    <n v="619.15"/>
    <n v="78558"/>
    <n v="86"/>
    <x v="0"/>
    <m/>
    <m/>
    <m/>
  </r>
  <r>
    <x v="48"/>
    <x v="0"/>
    <x v="0"/>
    <s v="Video"/>
    <n v="95640"/>
    <n v="2806"/>
    <n v="460.46"/>
    <n v="76725"/>
    <n v="101"/>
    <x v="0"/>
    <m/>
    <m/>
    <m/>
  </r>
  <r>
    <x v="48"/>
    <x v="0"/>
    <x v="1"/>
    <s v="Video"/>
    <n v="82101"/>
    <n v="2442"/>
    <n v="373.91"/>
    <n v="61539"/>
    <n v="82"/>
    <x v="0"/>
    <m/>
    <m/>
    <m/>
  </r>
  <r>
    <x v="48"/>
    <x v="1"/>
    <x v="2"/>
    <s v="Video"/>
    <n v="95851"/>
    <n v="2955"/>
    <n v="466.17"/>
    <n v="73298"/>
    <n v="120"/>
    <x v="0"/>
    <m/>
    <m/>
    <m/>
  </r>
  <r>
    <x v="48"/>
    <x v="1"/>
    <x v="3"/>
    <s v="Video"/>
    <n v="86210"/>
    <n v="3314"/>
    <n v="521.62"/>
    <n v="67584"/>
    <n v="141"/>
    <x v="0"/>
    <m/>
    <m/>
    <m/>
  </r>
  <r>
    <x v="49"/>
    <x v="0"/>
    <x v="0"/>
    <s v="Video"/>
    <n v="47518"/>
    <n v="1391"/>
    <n v="230.21"/>
    <n v="35939"/>
    <n v="59"/>
    <x v="0"/>
    <m/>
    <m/>
    <m/>
  </r>
  <r>
    <x v="49"/>
    <x v="0"/>
    <x v="1"/>
    <s v="Video"/>
    <n v="129051"/>
    <n v="3964"/>
    <n v="559.9"/>
    <n v="103868"/>
    <n v="157"/>
    <x v="0"/>
    <m/>
    <m/>
    <m/>
  </r>
  <r>
    <x v="49"/>
    <x v="1"/>
    <x v="2"/>
    <s v="Video"/>
    <n v="97432"/>
    <n v="2785"/>
    <n v="397.39"/>
    <n v="77736"/>
    <n v="87"/>
    <x v="0"/>
    <m/>
    <m/>
    <m/>
  </r>
  <r>
    <x v="49"/>
    <x v="1"/>
    <x v="3"/>
    <s v="Video"/>
    <n v="90181"/>
    <n v="3980"/>
    <n v="562.36"/>
    <n v="66314"/>
    <n v="134"/>
    <x v="0"/>
    <m/>
    <m/>
    <m/>
  </r>
  <r>
    <x v="50"/>
    <x v="0"/>
    <x v="0"/>
    <s v="Video"/>
    <n v="88623"/>
    <n v="3041"/>
    <n v="518.55999999999995"/>
    <n v="68894"/>
    <n v="108"/>
    <x v="0"/>
    <m/>
    <m/>
    <m/>
  </r>
  <r>
    <x v="50"/>
    <x v="0"/>
    <x v="1"/>
    <s v="Video"/>
    <n v="92171"/>
    <n v="3073"/>
    <n v="464.48"/>
    <n v="75216"/>
    <n v="69"/>
    <x v="0"/>
    <m/>
    <m/>
    <m/>
  </r>
  <r>
    <x v="50"/>
    <x v="1"/>
    <x v="2"/>
    <s v="Video"/>
    <n v="64385"/>
    <n v="2349"/>
    <n v="365.22"/>
    <n v="49973"/>
    <n v="67"/>
    <x v="0"/>
    <m/>
    <m/>
    <m/>
  </r>
  <r>
    <x v="50"/>
    <x v="1"/>
    <x v="3"/>
    <s v="Video"/>
    <n v="74116"/>
    <n v="2962"/>
    <n v="440.1"/>
    <n v="57898"/>
    <n v="118"/>
    <x v="0"/>
    <m/>
    <m/>
    <m/>
  </r>
  <r>
    <x v="51"/>
    <x v="0"/>
    <x v="0"/>
    <s v="Video"/>
    <n v="146134"/>
    <n v="4589"/>
    <n v="667.37"/>
    <n v="106298"/>
    <n v="121"/>
    <x v="0"/>
    <m/>
    <m/>
    <m/>
  </r>
  <r>
    <x v="51"/>
    <x v="0"/>
    <x v="1"/>
    <s v="Video"/>
    <n v="137677"/>
    <n v="6189"/>
    <n v="1067.1099999999999"/>
    <n v="112448"/>
    <n v="294"/>
    <x v="0"/>
    <m/>
    <m/>
    <m/>
  </r>
  <r>
    <x v="51"/>
    <x v="1"/>
    <x v="2"/>
    <s v="Video"/>
    <n v="178549"/>
    <n v="6053"/>
    <n v="863.14"/>
    <n v="138235"/>
    <n v="273"/>
    <x v="0"/>
    <m/>
    <m/>
    <m/>
  </r>
  <r>
    <x v="51"/>
    <x v="1"/>
    <x v="3"/>
    <s v="Video"/>
    <n v="84901"/>
    <n v="3404"/>
    <n v="602.82000000000005"/>
    <n v="66542"/>
    <n v="145"/>
    <x v="0"/>
    <m/>
    <m/>
    <m/>
  </r>
  <r>
    <x v="51"/>
    <x v="3"/>
    <x v="0"/>
    <s v="Video"/>
    <n v="149356"/>
    <n v="4751"/>
    <n v="852.35"/>
    <n v="119366"/>
    <n v="133"/>
    <x v="0"/>
    <m/>
    <m/>
    <m/>
  </r>
  <r>
    <x v="51"/>
    <x v="3"/>
    <x v="1"/>
    <s v="Video"/>
    <n v="146652"/>
    <n v="4171"/>
    <n v="676.37"/>
    <n v="110999"/>
    <n v="178"/>
    <x v="0"/>
    <m/>
    <m/>
    <m/>
  </r>
  <r>
    <x v="52"/>
    <x v="0"/>
    <x v="0"/>
    <s v="Video"/>
    <n v="157227"/>
    <n v="4749"/>
    <n v="832.83"/>
    <n v="114237"/>
    <n v="153"/>
    <x v="0"/>
    <m/>
    <m/>
    <m/>
  </r>
  <r>
    <x v="52"/>
    <x v="0"/>
    <x v="1"/>
    <s v="Video"/>
    <n v="143834"/>
    <n v="5312"/>
    <n v="907.11"/>
    <n v="115402"/>
    <n v="127"/>
    <x v="0"/>
    <m/>
    <m/>
    <m/>
  </r>
  <r>
    <x v="52"/>
    <x v="1"/>
    <x v="2"/>
    <s v="Video"/>
    <n v="114174"/>
    <n v="4443"/>
    <n v="701.99"/>
    <n v="89970"/>
    <n v="137"/>
    <x v="0"/>
    <m/>
    <m/>
    <m/>
  </r>
  <r>
    <x v="52"/>
    <x v="1"/>
    <x v="3"/>
    <s v="Video"/>
    <n v="157164"/>
    <n v="6109"/>
    <n v="899.72"/>
    <n v="128344"/>
    <n v="203"/>
    <x v="0"/>
    <m/>
    <m/>
    <m/>
  </r>
  <r>
    <x v="52"/>
    <x v="3"/>
    <x v="0"/>
    <s v="Video"/>
    <n v="66168"/>
    <n v="2787"/>
    <n v="447.94"/>
    <n v="49653"/>
    <n v="73"/>
    <x v="0"/>
    <m/>
    <m/>
    <m/>
  </r>
  <r>
    <x v="52"/>
    <x v="3"/>
    <x v="1"/>
    <s v="Video"/>
    <n v="97372"/>
    <n v="3299"/>
    <n v="586.02"/>
    <n v="78821"/>
    <n v="145"/>
    <x v="0"/>
    <m/>
    <m/>
    <m/>
  </r>
  <r>
    <x v="53"/>
    <x v="0"/>
    <x v="0"/>
    <s v="Video"/>
    <n v="72847"/>
    <n v="2282"/>
    <n v="406.78"/>
    <n v="54449"/>
    <n v="87"/>
    <x v="0"/>
    <m/>
    <m/>
    <m/>
  </r>
  <r>
    <x v="53"/>
    <x v="0"/>
    <x v="1"/>
    <s v="Video"/>
    <n v="120534"/>
    <n v="4468"/>
    <n v="715.34"/>
    <n v="88817"/>
    <n v="207"/>
    <x v="0"/>
    <m/>
    <m/>
    <m/>
  </r>
  <r>
    <x v="53"/>
    <x v="1"/>
    <x v="2"/>
    <s v="Video"/>
    <n v="60210"/>
    <n v="1861"/>
    <n v="307.02999999999997"/>
    <n v="48782"/>
    <n v="57"/>
    <x v="0"/>
    <m/>
    <m/>
    <m/>
  </r>
  <r>
    <x v="53"/>
    <x v="1"/>
    <x v="3"/>
    <s v="Video"/>
    <n v="113874"/>
    <n v="3268"/>
    <n v="570.42999999999995"/>
    <n v="82914"/>
    <n v="152"/>
    <x v="0"/>
    <m/>
    <m/>
    <m/>
  </r>
  <r>
    <x v="54"/>
    <x v="0"/>
    <x v="0"/>
    <s v="Video"/>
    <n v="115598"/>
    <n v="3756"/>
    <n v="557.51"/>
    <n v="89844"/>
    <n v="142"/>
    <x v="0"/>
    <m/>
    <m/>
    <m/>
  </r>
  <r>
    <x v="54"/>
    <x v="0"/>
    <x v="1"/>
    <s v="Video"/>
    <n v="43969"/>
    <n v="1603"/>
    <n v="264.63"/>
    <n v="32931"/>
    <n v="75"/>
    <x v="0"/>
    <m/>
    <m/>
    <m/>
  </r>
  <r>
    <x v="54"/>
    <x v="1"/>
    <x v="2"/>
    <s v="Video"/>
    <n v="103300"/>
    <n v="3322"/>
    <n v="572.36"/>
    <n v="78570"/>
    <n v="112"/>
    <x v="0"/>
    <m/>
    <m/>
    <m/>
  </r>
  <r>
    <x v="54"/>
    <x v="1"/>
    <x v="3"/>
    <s v="Video"/>
    <n v="47852"/>
    <n v="1468"/>
    <n v="229.93"/>
    <n v="36675"/>
    <n v="45"/>
    <x v="0"/>
    <m/>
    <m/>
    <m/>
  </r>
  <r>
    <x v="55"/>
    <x v="0"/>
    <x v="0"/>
    <s v="Video"/>
    <n v="58830"/>
    <n v="1959"/>
    <n v="330.55"/>
    <n v="46676"/>
    <n v="86"/>
    <x v="0"/>
    <m/>
    <m/>
    <m/>
  </r>
  <r>
    <x v="55"/>
    <x v="0"/>
    <x v="1"/>
    <s v="Video"/>
    <n v="92260"/>
    <n v="2788"/>
    <n v="431.64"/>
    <n v="71608"/>
    <n v="84"/>
    <x v="0"/>
    <m/>
    <m/>
    <m/>
  </r>
  <r>
    <x v="55"/>
    <x v="1"/>
    <x v="2"/>
    <s v="Video"/>
    <n v="101141"/>
    <n v="3042"/>
    <n v="480.59"/>
    <n v="74246"/>
    <n v="70"/>
    <x v="0"/>
    <m/>
    <m/>
    <m/>
  </r>
  <r>
    <x v="55"/>
    <x v="1"/>
    <x v="3"/>
    <s v="Video"/>
    <n v="90351"/>
    <n v="3857"/>
    <n v="604.49"/>
    <n v="73750"/>
    <n v="175"/>
    <x v="0"/>
    <m/>
    <m/>
    <m/>
  </r>
  <r>
    <x v="56"/>
    <x v="0"/>
    <x v="0"/>
    <s v="Video"/>
    <n v="82917"/>
    <n v="3637"/>
    <n v="614.09"/>
    <n v="61274"/>
    <n v="95"/>
    <x v="0"/>
    <m/>
    <m/>
    <m/>
  </r>
  <r>
    <x v="56"/>
    <x v="0"/>
    <x v="1"/>
    <s v="Video"/>
    <n v="107466"/>
    <n v="3861"/>
    <n v="676.3"/>
    <n v="82720"/>
    <n v="93"/>
    <x v="0"/>
    <m/>
    <m/>
    <m/>
  </r>
  <r>
    <x v="56"/>
    <x v="1"/>
    <x v="2"/>
    <s v="Video"/>
    <n v="91543"/>
    <n v="3349"/>
    <n v="598.36"/>
    <n v="67880"/>
    <n v="104"/>
    <x v="0"/>
    <m/>
    <m/>
    <m/>
  </r>
  <r>
    <x v="56"/>
    <x v="1"/>
    <x v="3"/>
    <s v="Video"/>
    <n v="46624"/>
    <n v="1528"/>
    <n v="250.44"/>
    <n v="37498"/>
    <n v="60"/>
    <x v="0"/>
    <m/>
    <m/>
    <m/>
  </r>
  <r>
    <x v="57"/>
    <x v="0"/>
    <x v="0"/>
    <s v="Video"/>
    <n v="77453"/>
    <n v="2875"/>
    <n v="499.92"/>
    <n v="59103"/>
    <n v="129"/>
    <x v="0"/>
    <m/>
    <m/>
    <m/>
  </r>
  <r>
    <x v="57"/>
    <x v="0"/>
    <x v="1"/>
    <s v="Video"/>
    <n v="87943"/>
    <n v="3604"/>
    <n v="557.30999999999995"/>
    <n v="66841"/>
    <n v="132"/>
    <x v="0"/>
    <m/>
    <m/>
    <m/>
  </r>
  <r>
    <x v="57"/>
    <x v="1"/>
    <x v="2"/>
    <s v="Video"/>
    <n v="65513"/>
    <n v="2238"/>
    <n v="339.16"/>
    <n v="49700"/>
    <n v="75"/>
    <x v="0"/>
    <m/>
    <m/>
    <m/>
  </r>
  <r>
    <x v="57"/>
    <x v="1"/>
    <x v="3"/>
    <s v="Video"/>
    <n v="112070"/>
    <n v="3670"/>
    <n v="659"/>
    <n v="88315"/>
    <n v="92"/>
    <x v="0"/>
    <m/>
    <m/>
    <m/>
  </r>
  <r>
    <x v="58"/>
    <x v="0"/>
    <x v="0"/>
    <s v="Video"/>
    <n v="73740"/>
    <n v="2558"/>
    <n v="439.45"/>
    <n v="55593"/>
    <n v="118"/>
    <x v="0"/>
    <m/>
    <m/>
    <m/>
  </r>
  <r>
    <x v="58"/>
    <x v="0"/>
    <x v="1"/>
    <s v="Video"/>
    <n v="82472"/>
    <n v="2588"/>
    <n v="415.02"/>
    <n v="63504"/>
    <n v="59"/>
    <x v="0"/>
    <m/>
    <m/>
    <m/>
  </r>
  <r>
    <x v="58"/>
    <x v="1"/>
    <x v="2"/>
    <s v="Video"/>
    <n v="81145"/>
    <n v="3256"/>
    <n v="560.54999999999995"/>
    <n v="62638"/>
    <n v="84"/>
    <x v="0"/>
    <m/>
    <m/>
    <m/>
  </r>
  <r>
    <x v="58"/>
    <x v="1"/>
    <x v="3"/>
    <s v="Video"/>
    <n v="150595"/>
    <n v="4574"/>
    <n v="810.76"/>
    <n v="113225"/>
    <n v="147"/>
    <x v="0"/>
    <m/>
    <m/>
    <m/>
  </r>
  <r>
    <x v="58"/>
    <x v="3"/>
    <x v="0"/>
    <s v="Video"/>
    <n v="169127"/>
    <n v="6861"/>
    <n v="1042.6600000000001"/>
    <n v="127460"/>
    <n v="298"/>
    <x v="0"/>
    <m/>
    <m/>
    <m/>
  </r>
  <r>
    <x v="58"/>
    <x v="3"/>
    <x v="1"/>
    <s v="Video"/>
    <n v="153683"/>
    <n v="5582"/>
    <n v="907.17"/>
    <n v="117950"/>
    <n v="125"/>
    <x v="0"/>
    <m/>
    <m/>
    <m/>
  </r>
  <r>
    <x v="59"/>
    <x v="0"/>
    <x v="0"/>
    <s v="Video"/>
    <n v="108440"/>
    <n v="4278"/>
    <n v="766.6"/>
    <n v="84406"/>
    <n v="182"/>
    <x v="0"/>
    <m/>
    <m/>
    <m/>
  </r>
  <r>
    <x v="59"/>
    <x v="0"/>
    <x v="1"/>
    <s v="Video"/>
    <n v="159221"/>
    <n v="4530"/>
    <n v="720.2"/>
    <n v="130036"/>
    <n v="191"/>
    <x v="0"/>
    <m/>
    <m/>
    <m/>
  </r>
  <r>
    <x v="59"/>
    <x v="1"/>
    <x v="2"/>
    <s v="Video"/>
    <n v="150567"/>
    <n v="5694"/>
    <n v="961.47"/>
    <n v="117194"/>
    <n v="150"/>
    <x v="0"/>
    <m/>
    <m/>
    <m/>
  </r>
  <r>
    <x v="59"/>
    <x v="1"/>
    <x v="3"/>
    <s v="Video"/>
    <n v="159181"/>
    <n v="6408"/>
    <n v="1095.67"/>
    <n v="120662"/>
    <n v="277"/>
    <x v="0"/>
    <m/>
    <m/>
    <m/>
  </r>
  <r>
    <x v="59"/>
    <x v="3"/>
    <x v="0"/>
    <s v="Video"/>
    <n v="93268"/>
    <n v="2661"/>
    <n v="473.47"/>
    <n v="68177"/>
    <n v="59"/>
    <x v="0"/>
    <m/>
    <m/>
    <m/>
  </r>
  <r>
    <x v="59"/>
    <x v="3"/>
    <x v="1"/>
    <s v="Video"/>
    <n v="105450"/>
    <n v="3703"/>
    <n v="579.59"/>
    <n v="78074"/>
    <n v="129"/>
    <x v="0"/>
    <m/>
    <m/>
    <m/>
  </r>
  <r>
    <x v="60"/>
    <x v="0"/>
    <x v="0"/>
    <s v="Video"/>
    <n v="156191"/>
    <n v="6817"/>
    <n v="1192.3800000000001"/>
    <n v="123950"/>
    <n v="161"/>
    <x v="0"/>
    <m/>
    <m/>
    <m/>
  </r>
  <r>
    <x v="60"/>
    <x v="0"/>
    <x v="1"/>
    <s v="Video"/>
    <n v="75527"/>
    <n v="2780"/>
    <n v="451.57"/>
    <n v="61917"/>
    <n v="95"/>
    <x v="0"/>
    <m/>
    <m/>
    <m/>
  </r>
  <r>
    <x v="60"/>
    <x v="1"/>
    <x v="2"/>
    <s v="Video"/>
    <n v="116208"/>
    <n v="3873"/>
    <n v="569.04999999999995"/>
    <n v="94269"/>
    <n v="119"/>
    <x v="0"/>
    <m/>
    <m/>
    <m/>
  </r>
  <r>
    <x v="60"/>
    <x v="1"/>
    <x v="3"/>
    <s v="Video"/>
    <n v="112368"/>
    <n v="4437"/>
    <n v="775.17"/>
    <n v="88554"/>
    <n v="190"/>
    <x v="0"/>
    <m/>
    <m/>
    <m/>
  </r>
  <r>
    <x v="61"/>
    <x v="0"/>
    <x v="0"/>
    <s v="Video"/>
    <n v="97045"/>
    <n v="3723"/>
    <n v="549.85"/>
    <n v="72264"/>
    <n v="135"/>
    <x v="0"/>
    <m/>
    <m/>
    <m/>
  </r>
  <r>
    <x v="61"/>
    <x v="0"/>
    <x v="1"/>
    <s v="Video"/>
    <n v="90314"/>
    <n v="3974"/>
    <n v="712.5"/>
    <n v="71990"/>
    <n v="160"/>
    <x v="0"/>
    <m/>
    <m/>
    <m/>
  </r>
  <r>
    <x v="61"/>
    <x v="1"/>
    <x v="2"/>
    <s v="Video"/>
    <n v="135322"/>
    <n v="4518"/>
    <n v="695.56"/>
    <n v="110066"/>
    <n v="192"/>
    <x v="0"/>
    <m/>
    <m/>
    <m/>
  </r>
  <r>
    <x v="61"/>
    <x v="1"/>
    <x v="3"/>
    <s v="Video"/>
    <n v="98594"/>
    <n v="3242"/>
    <n v="528.25"/>
    <n v="76343"/>
    <n v="146"/>
    <x v="0"/>
    <m/>
    <m/>
    <m/>
  </r>
  <r>
    <x v="62"/>
    <x v="0"/>
    <x v="0"/>
    <s v="Video"/>
    <n v="119225"/>
    <n v="4997"/>
    <n v="890.39"/>
    <n v="95435"/>
    <n v="147"/>
    <x v="0"/>
    <m/>
    <m/>
    <m/>
  </r>
  <r>
    <x v="62"/>
    <x v="0"/>
    <x v="1"/>
    <s v="Video"/>
    <n v="101010"/>
    <n v="4468"/>
    <n v="639.64"/>
    <n v="82060"/>
    <n v="174"/>
    <x v="0"/>
    <m/>
    <m/>
    <m/>
  </r>
  <r>
    <x v="62"/>
    <x v="1"/>
    <x v="2"/>
    <s v="Video"/>
    <n v="133630"/>
    <n v="4227"/>
    <n v="731.77"/>
    <n v="99836"/>
    <n v="154"/>
    <x v="0"/>
    <m/>
    <m/>
    <m/>
  </r>
  <r>
    <x v="62"/>
    <x v="1"/>
    <x v="3"/>
    <s v="Video"/>
    <n v="98281"/>
    <n v="2981"/>
    <n v="490.75"/>
    <n v="76529"/>
    <n v="84"/>
    <x v="0"/>
    <m/>
    <m/>
    <m/>
  </r>
  <r>
    <x v="63"/>
    <x v="0"/>
    <x v="0"/>
    <s v="Video"/>
    <n v="166134"/>
    <n v="7208"/>
    <n v="1074.19"/>
    <n v="123484"/>
    <n v="177"/>
    <x v="0"/>
    <m/>
    <m/>
    <m/>
  </r>
  <r>
    <x v="63"/>
    <x v="0"/>
    <x v="1"/>
    <s v="Video"/>
    <n v="108279"/>
    <n v="4352"/>
    <n v="626.78"/>
    <n v="86306"/>
    <n v="96"/>
    <x v="0"/>
    <m/>
    <m/>
    <m/>
  </r>
  <r>
    <x v="63"/>
    <x v="1"/>
    <x v="2"/>
    <s v="Video"/>
    <n v="145775"/>
    <n v="6505"/>
    <n v="951.8"/>
    <n v="114475"/>
    <n v="292"/>
    <x v="0"/>
    <m/>
    <m/>
    <m/>
  </r>
  <r>
    <x v="63"/>
    <x v="1"/>
    <x v="3"/>
    <s v="Video"/>
    <n v="133055"/>
    <n v="4805"/>
    <n v="711.04"/>
    <n v="108624"/>
    <n v="145"/>
    <x v="0"/>
    <m/>
    <m/>
    <m/>
  </r>
  <r>
    <x v="64"/>
    <x v="0"/>
    <x v="0"/>
    <s v="Video"/>
    <n v="162056"/>
    <n v="4700"/>
    <n v="802.52"/>
    <n v="127251"/>
    <n v="131"/>
    <x v="0"/>
    <m/>
    <m/>
    <m/>
  </r>
  <r>
    <x v="64"/>
    <x v="0"/>
    <x v="1"/>
    <s v="Video"/>
    <n v="58354"/>
    <n v="2539"/>
    <n v="373.24"/>
    <n v="47163"/>
    <n v="67"/>
    <x v="0"/>
    <m/>
    <m/>
    <m/>
  </r>
  <r>
    <x v="64"/>
    <x v="1"/>
    <x v="2"/>
    <s v="Video"/>
    <n v="58191"/>
    <n v="2615"/>
    <n v="407.63"/>
    <n v="44780"/>
    <n v="121"/>
    <x v="0"/>
    <m/>
    <m/>
    <m/>
  </r>
  <r>
    <x v="64"/>
    <x v="1"/>
    <x v="3"/>
    <s v="Video"/>
    <n v="101323"/>
    <n v="4347"/>
    <n v="610.19000000000005"/>
    <n v="78707"/>
    <n v="107"/>
    <x v="0"/>
    <m/>
    <m/>
    <m/>
  </r>
  <r>
    <x v="65"/>
    <x v="0"/>
    <x v="0"/>
    <s v="Video"/>
    <n v="109088"/>
    <n v="3582"/>
    <n v="643.20000000000005"/>
    <n v="84470"/>
    <n v="124"/>
    <x v="0"/>
    <m/>
    <m/>
    <m/>
  </r>
  <r>
    <x v="65"/>
    <x v="0"/>
    <x v="1"/>
    <s v="Video"/>
    <n v="74865"/>
    <n v="3179"/>
    <n v="504.57"/>
    <n v="55346"/>
    <n v="79"/>
    <x v="0"/>
    <m/>
    <m/>
    <m/>
  </r>
  <r>
    <x v="65"/>
    <x v="1"/>
    <x v="2"/>
    <s v="Video"/>
    <n v="79687"/>
    <n v="3221"/>
    <n v="534.47"/>
    <n v="63100"/>
    <n v="72"/>
    <x v="0"/>
    <m/>
    <m/>
    <m/>
  </r>
  <r>
    <x v="65"/>
    <x v="1"/>
    <x v="3"/>
    <s v="Video"/>
    <n v="109440"/>
    <n v="4535"/>
    <n v="737.9"/>
    <n v="87084"/>
    <n v="120"/>
    <x v="0"/>
    <m/>
    <m/>
    <m/>
  </r>
  <r>
    <x v="65"/>
    <x v="3"/>
    <x v="0"/>
    <s v="Video"/>
    <n v="160834"/>
    <n v="6956"/>
    <n v="1203.94"/>
    <n v="124087"/>
    <n v="168"/>
    <x v="0"/>
    <m/>
    <m/>
    <m/>
  </r>
  <r>
    <x v="65"/>
    <x v="3"/>
    <x v="1"/>
    <s v="Video"/>
    <n v="166036"/>
    <n v="4918"/>
    <n v="881.64"/>
    <n v="127473"/>
    <n v="227"/>
    <x v="0"/>
    <m/>
    <m/>
    <m/>
  </r>
  <r>
    <x v="66"/>
    <x v="0"/>
    <x v="0"/>
    <s v="Video"/>
    <n v="53163"/>
    <n v="1724"/>
    <n v="257.60000000000002"/>
    <n v="42284"/>
    <n v="80"/>
    <x v="0"/>
    <m/>
    <m/>
    <m/>
  </r>
  <r>
    <x v="66"/>
    <x v="0"/>
    <x v="1"/>
    <s v="Video"/>
    <n v="103448"/>
    <n v="3920"/>
    <n v="638.63"/>
    <n v="77188"/>
    <n v="122"/>
    <x v="0"/>
    <m/>
    <m/>
    <m/>
  </r>
  <r>
    <x v="66"/>
    <x v="1"/>
    <x v="2"/>
    <s v="Video"/>
    <n v="92263"/>
    <n v="2680"/>
    <n v="387.87"/>
    <n v="69260"/>
    <n v="87"/>
    <x v="0"/>
    <m/>
    <m/>
    <m/>
  </r>
  <r>
    <x v="66"/>
    <x v="1"/>
    <x v="3"/>
    <s v="Video"/>
    <n v="137625"/>
    <n v="6013"/>
    <n v="1055.3499999999999"/>
    <n v="109684"/>
    <n v="240"/>
    <x v="0"/>
    <m/>
    <m/>
    <m/>
  </r>
  <r>
    <x v="66"/>
    <x v="3"/>
    <x v="0"/>
    <s v="Video"/>
    <n v="160832"/>
    <n v="7008"/>
    <n v="1063.82"/>
    <n v="125684"/>
    <n v="194"/>
    <x v="0"/>
    <m/>
    <m/>
    <m/>
  </r>
  <r>
    <x v="66"/>
    <x v="3"/>
    <x v="1"/>
    <s v="Video"/>
    <n v="74759"/>
    <n v="2700"/>
    <n v="427.14"/>
    <n v="61218"/>
    <n v="85"/>
    <x v="0"/>
    <m/>
    <m/>
    <m/>
  </r>
  <r>
    <x v="67"/>
    <x v="0"/>
    <x v="0"/>
    <s v="Video"/>
    <n v="145585"/>
    <n v="6335"/>
    <n v="1078.81"/>
    <n v="116497"/>
    <n v="275"/>
    <x v="0"/>
    <m/>
    <m/>
    <m/>
  </r>
  <r>
    <x v="67"/>
    <x v="0"/>
    <x v="1"/>
    <s v="Video"/>
    <n v="94165"/>
    <n v="3725"/>
    <n v="610.28"/>
    <n v="75213"/>
    <n v="132"/>
    <x v="0"/>
    <m/>
    <m/>
    <m/>
  </r>
  <r>
    <x v="67"/>
    <x v="1"/>
    <x v="2"/>
    <s v="Video"/>
    <n v="141996"/>
    <n v="5674"/>
    <n v="812.09"/>
    <n v="110248"/>
    <n v="133"/>
    <x v="0"/>
    <m/>
    <m/>
    <m/>
  </r>
  <r>
    <x v="67"/>
    <x v="1"/>
    <x v="3"/>
    <s v="Video"/>
    <n v="145315"/>
    <n v="6299"/>
    <n v="932.8"/>
    <n v="112425"/>
    <n v="165"/>
    <x v="0"/>
    <m/>
    <m/>
    <m/>
  </r>
  <r>
    <x v="68"/>
    <x v="0"/>
    <x v="0"/>
    <s v="Video"/>
    <n v="140662"/>
    <n v="4995"/>
    <n v="835.22"/>
    <n v="111360"/>
    <n v="173"/>
    <x v="0"/>
    <m/>
    <m/>
    <m/>
  </r>
  <r>
    <x v="68"/>
    <x v="0"/>
    <x v="1"/>
    <s v="Video"/>
    <n v="138963"/>
    <n v="4943"/>
    <n v="703.02"/>
    <n v="101886"/>
    <n v="162"/>
    <x v="0"/>
    <m/>
    <m/>
    <m/>
  </r>
  <r>
    <x v="68"/>
    <x v="1"/>
    <x v="2"/>
    <s v="Video"/>
    <n v="148085"/>
    <n v="4291"/>
    <n v="680.1"/>
    <n v="118570"/>
    <n v="175"/>
    <x v="0"/>
    <m/>
    <m/>
    <m/>
  </r>
  <r>
    <x v="68"/>
    <x v="1"/>
    <x v="3"/>
    <s v="Video"/>
    <n v="119466"/>
    <n v="3861"/>
    <n v="541.01"/>
    <n v="88618"/>
    <n v="92"/>
    <x v="0"/>
    <m/>
    <m/>
    <m/>
  </r>
  <r>
    <x v="69"/>
    <x v="0"/>
    <x v="0"/>
    <s v="Video"/>
    <n v="124194"/>
    <n v="4204"/>
    <n v="599.28"/>
    <n v="101766"/>
    <n v="194"/>
    <x v="0"/>
    <m/>
    <m/>
    <m/>
  </r>
  <r>
    <x v="69"/>
    <x v="0"/>
    <x v="1"/>
    <s v="Video"/>
    <n v="63759"/>
    <n v="2854"/>
    <n v="453.45"/>
    <n v="47736"/>
    <n v="76"/>
    <x v="0"/>
    <m/>
    <m/>
    <m/>
  </r>
  <r>
    <x v="69"/>
    <x v="1"/>
    <x v="2"/>
    <s v="Video"/>
    <n v="75075"/>
    <n v="3079"/>
    <n v="551.54999999999995"/>
    <n v="58902"/>
    <n v="101"/>
    <x v="0"/>
    <m/>
    <m/>
    <m/>
  </r>
  <r>
    <x v="69"/>
    <x v="1"/>
    <x v="3"/>
    <s v="Video"/>
    <n v="117171"/>
    <n v="4174"/>
    <n v="737.48"/>
    <n v="88786"/>
    <n v="100"/>
    <x v="0"/>
    <m/>
    <m/>
    <m/>
  </r>
  <r>
    <x v="70"/>
    <x v="0"/>
    <x v="0"/>
    <s v="Video"/>
    <n v="164764"/>
    <n v="7063"/>
    <n v="1026.3900000000001"/>
    <n v="132804"/>
    <n v="177"/>
    <x v="0"/>
    <m/>
    <m/>
    <m/>
  </r>
  <r>
    <x v="70"/>
    <x v="0"/>
    <x v="1"/>
    <s v="Video"/>
    <n v="143544"/>
    <n v="4978"/>
    <n v="722.28"/>
    <n v="117400"/>
    <n v="217"/>
    <x v="0"/>
    <m/>
    <m/>
    <m/>
  </r>
  <r>
    <x v="70"/>
    <x v="1"/>
    <x v="2"/>
    <s v="Video"/>
    <n v="55872"/>
    <n v="2493"/>
    <n v="395.19"/>
    <n v="44245"/>
    <n v="82"/>
    <x v="0"/>
    <m/>
    <m/>
    <m/>
  </r>
  <r>
    <x v="70"/>
    <x v="1"/>
    <x v="3"/>
    <s v="Video"/>
    <n v="116625"/>
    <n v="4897"/>
    <n v="734.06"/>
    <n v="88007"/>
    <n v="142"/>
    <x v="0"/>
    <m/>
    <m/>
    <m/>
  </r>
  <r>
    <x v="71"/>
    <x v="0"/>
    <x v="0"/>
    <s v="Video"/>
    <n v="71227"/>
    <n v="2033"/>
    <n v="338.31"/>
    <n v="55663"/>
    <n v="94"/>
    <x v="0"/>
    <m/>
    <m/>
    <m/>
  </r>
  <r>
    <x v="71"/>
    <x v="0"/>
    <x v="1"/>
    <s v="Video"/>
    <n v="54665"/>
    <n v="1754"/>
    <n v="250.28"/>
    <n v="42605"/>
    <n v="58"/>
    <x v="0"/>
    <m/>
    <m/>
    <m/>
  </r>
  <r>
    <x v="71"/>
    <x v="1"/>
    <x v="2"/>
    <s v="Video"/>
    <n v="166507"/>
    <n v="6652"/>
    <n v="944.23"/>
    <n v="132215"/>
    <n v="215"/>
    <x v="0"/>
    <m/>
    <m/>
    <m/>
  </r>
  <r>
    <x v="71"/>
    <x v="1"/>
    <x v="3"/>
    <s v="Video"/>
    <n v="91929"/>
    <n v="3417"/>
    <n v="581.49"/>
    <n v="73323"/>
    <n v="87"/>
    <x v="0"/>
    <m/>
    <m/>
    <m/>
  </r>
  <r>
    <x v="72"/>
    <x v="0"/>
    <x v="0"/>
    <s v="Video"/>
    <n v="101288"/>
    <n v="3239"/>
    <n v="572.19000000000005"/>
    <n v="78762"/>
    <n v="119"/>
    <x v="0"/>
    <m/>
    <m/>
    <m/>
  </r>
  <r>
    <x v="72"/>
    <x v="0"/>
    <x v="1"/>
    <s v="Video"/>
    <n v="166595"/>
    <n v="6982"/>
    <n v="1043.6400000000001"/>
    <n v="134546"/>
    <n v="332"/>
    <x v="0"/>
    <m/>
    <m/>
    <m/>
  </r>
  <r>
    <x v="72"/>
    <x v="1"/>
    <x v="2"/>
    <s v="Video"/>
    <n v="140817"/>
    <n v="4472"/>
    <n v="679.83"/>
    <n v="102246"/>
    <n v="208"/>
    <x v="0"/>
    <m/>
    <m/>
    <m/>
  </r>
  <r>
    <x v="72"/>
    <x v="1"/>
    <x v="3"/>
    <s v="Video"/>
    <n v="81841"/>
    <n v="3162"/>
    <n v="496.71"/>
    <n v="62981"/>
    <n v="149"/>
    <x v="0"/>
    <m/>
    <m/>
    <m/>
  </r>
  <r>
    <x v="72"/>
    <x v="3"/>
    <x v="0"/>
    <s v="Video"/>
    <n v="161616"/>
    <n v="6369"/>
    <n v="1091.8499999999999"/>
    <n v="121514"/>
    <n v="209"/>
    <x v="0"/>
    <m/>
    <m/>
    <m/>
  </r>
  <r>
    <x v="72"/>
    <x v="3"/>
    <x v="1"/>
    <s v="Video"/>
    <n v="77425"/>
    <n v="2562"/>
    <n v="377.52"/>
    <n v="59910"/>
    <n v="72"/>
    <x v="0"/>
    <m/>
    <m/>
    <m/>
  </r>
  <r>
    <x v="73"/>
    <x v="0"/>
    <x v="0"/>
    <s v="Video"/>
    <n v="90396"/>
    <n v="2993"/>
    <n v="503.73"/>
    <n v="72369"/>
    <n v="137"/>
    <x v="0"/>
    <m/>
    <m/>
    <m/>
  </r>
  <r>
    <x v="73"/>
    <x v="0"/>
    <x v="1"/>
    <s v="Video"/>
    <n v="147826"/>
    <n v="5176"/>
    <n v="810.87"/>
    <n v="114269"/>
    <n v="166"/>
    <x v="0"/>
    <m/>
    <m/>
    <m/>
  </r>
  <r>
    <x v="73"/>
    <x v="1"/>
    <x v="2"/>
    <s v="Video"/>
    <n v="95448"/>
    <n v="3002"/>
    <n v="497.94"/>
    <n v="77525"/>
    <n v="132"/>
    <x v="0"/>
    <m/>
    <m/>
    <m/>
  </r>
  <r>
    <x v="73"/>
    <x v="1"/>
    <x v="3"/>
    <s v="Video"/>
    <n v="67754"/>
    <n v="2514"/>
    <n v="435.37"/>
    <n v="49132"/>
    <n v="79"/>
    <x v="0"/>
    <m/>
    <m/>
    <m/>
  </r>
  <r>
    <x v="73"/>
    <x v="3"/>
    <x v="0"/>
    <s v="Video"/>
    <n v="155082"/>
    <n v="5931"/>
    <n v="1037.5999999999999"/>
    <n v="114577"/>
    <n v="247"/>
    <x v="0"/>
    <m/>
    <m/>
    <m/>
  </r>
  <r>
    <x v="73"/>
    <x v="3"/>
    <x v="1"/>
    <s v="Video"/>
    <n v="166410"/>
    <n v="6240"/>
    <n v="993.26"/>
    <n v="134284"/>
    <n v="191"/>
    <x v="0"/>
    <m/>
    <m/>
    <m/>
  </r>
  <r>
    <x v="73"/>
    <x v="5"/>
    <x v="0"/>
    <s v="Video"/>
    <n v="54611"/>
    <n v="1725"/>
    <n v="254.61"/>
    <n v="43369"/>
    <n v="71"/>
    <x v="0"/>
    <m/>
    <m/>
    <m/>
  </r>
  <r>
    <x v="73"/>
    <x v="5"/>
    <x v="1"/>
    <s v="Video"/>
    <n v="133604"/>
    <n v="5817"/>
    <n v="976.24"/>
    <n v="105597"/>
    <n v="187"/>
    <x v="0"/>
    <m/>
    <m/>
    <m/>
  </r>
  <r>
    <x v="74"/>
    <x v="0"/>
    <x v="0"/>
    <s v="Video"/>
    <n v="92779"/>
    <n v="3468"/>
    <n v="593.1"/>
    <n v="70332"/>
    <n v="124"/>
    <x v="0"/>
    <m/>
    <m/>
    <m/>
  </r>
  <r>
    <x v="74"/>
    <x v="0"/>
    <x v="1"/>
    <s v="Video"/>
    <n v="113214"/>
    <n v="3763"/>
    <n v="580.95000000000005"/>
    <n v="91508"/>
    <n v="128"/>
    <x v="0"/>
    <m/>
    <m/>
    <m/>
  </r>
  <r>
    <x v="74"/>
    <x v="1"/>
    <x v="2"/>
    <s v="Video"/>
    <n v="131998"/>
    <n v="5405"/>
    <n v="825.93"/>
    <n v="97719"/>
    <n v="162"/>
    <x v="0"/>
    <m/>
    <m/>
    <m/>
  </r>
  <r>
    <x v="74"/>
    <x v="1"/>
    <x v="3"/>
    <s v="Video"/>
    <n v="59789"/>
    <n v="2245"/>
    <n v="334.17"/>
    <n v="43920"/>
    <n v="64"/>
    <x v="0"/>
    <m/>
    <m/>
    <m/>
  </r>
  <r>
    <x v="74"/>
    <x v="5"/>
    <x v="0"/>
    <s v="Video"/>
    <n v="151515"/>
    <n v="5734"/>
    <n v="898.54"/>
    <n v="111400"/>
    <n v="175"/>
    <x v="0"/>
    <m/>
    <m/>
    <m/>
  </r>
  <r>
    <x v="74"/>
    <x v="5"/>
    <x v="1"/>
    <s v="Video"/>
    <n v="116721"/>
    <n v="4398"/>
    <n v="658.95"/>
    <n v="90466"/>
    <n v="204"/>
    <x v="0"/>
    <m/>
    <m/>
    <m/>
  </r>
  <r>
    <x v="75"/>
    <x v="0"/>
    <x v="0"/>
    <s v="Video"/>
    <n v="109518"/>
    <n v="3545"/>
    <n v="612.79999999999995"/>
    <n v="89437"/>
    <n v="137"/>
    <x v="0"/>
    <m/>
    <m/>
    <m/>
  </r>
  <r>
    <x v="75"/>
    <x v="0"/>
    <x v="1"/>
    <s v="Video"/>
    <n v="135593"/>
    <n v="4858"/>
    <n v="822.51"/>
    <n v="102402"/>
    <n v="124"/>
    <x v="0"/>
    <m/>
    <m/>
    <m/>
  </r>
  <r>
    <x v="75"/>
    <x v="1"/>
    <x v="2"/>
    <s v="Video"/>
    <n v="145126"/>
    <n v="5268"/>
    <n v="930.73"/>
    <n v="112358"/>
    <n v="203"/>
    <x v="0"/>
    <m/>
    <m/>
    <m/>
  </r>
  <r>
    <x v="75"/>
    <x v="1"/>
    <x v="3"/>
    <s v="Video"/>
    <n v="62007"/>
    <n v="2288"/>
    <n v="397.11"/>
    <n v="45105"/>
    <n v="98"/>
    <x v="0"/>
    <m/>
    <m/>
    <m/>
  </r>
  <r>
    <x v="75"/>
    <x v="5"/>
    <x v="0"/>
    <s v="Video"/>
    <n v="60265"/>
    <n v="2470"/>
    <n v="386.54"/>
    <n v="48468"/>
    <n v="69"/>
    <x v="0"/>
    <m/>
    <m/>
    <m/>
  </r>
  <r>
    <x v="75"/>
    <x v="5"/>
    <x v="1"/>
    <s v="Video"/>
    <n v="77733"/>
    <n v="2188"/>
    <n v="350.58"/>
    <n v="58868"/>
    <n v="83"/>
    <x v="0"/>
    <m/>
    <m/>
    <m/>
  </r>
  <r>
    <x v="76"/>
    <x v="0"/>
    <x v="0"/>
    <s v="Video"/>
    <n v="165609"/>
    <n v="7266"/>
    <n v="1282.52"/>
    <n v="130156"/>
    <n v="162"/>
    <x v="0"/>
    <m/>
    <m/>
    <m/>
  </r>
  <r>
    <x v="76"/>
    <x v="0"/>
    <x v="1"/>
    <s v="Video"/>
    <n v="142685"/>
    <n v="5333"/>
    <n v="749.15"/>
    <n v="110287"/>
    <n v="155"/>
    <x v="0"/>
    <m/>
    <m/>
    <m/>
  </r>
  <r>
    <x v="76"/>
    <x v="1"/>
    <x v="2"/>
    <s v="Video"/>
    <n v="100848"/>
    <n v="2853"/>
    <n v="492.22"/>
    <n v="79408"/>
    <n v="122"/>
    <x v="0"/>
    <m/>
    <m/>
    <m/>
  </r>
  <r>
    <x v="76"/>
    <x v="1"/>
    <x v="3"/>
    <s v="Video"/>
    <n v="82544"/>
    <n v="2461"/>
    <n v="354.02"/>
    <n v="60660"/>
    <n v="66"/>
    <x v="0"/>
    <m/>
    <m/>
    <m/>
  </r>
  <r>
    <x v="76"/>
    <x v="5"/>
    <x v="0"/>
    <s v="Video"/>
    <n v="141703"/>
    <n v="4575"/>
    <n v="705.36"/>
    <n v="113290"/>
    <n v="110"/>
    <x v="0"/>
    <m/>
    <m/>
    <m/>
  </r>
  <r>
    <x v="76"/>
    <x v="5"/>
    <x v="1"/>
    <s v="Video"/>
    <n v="121183"/>
    <n v="4338"/>
    <n v="649.52"/>
    <n v="95701"/>
    <n v="129"/>
    <x v="0"/>
    <m/>
    <m/>
    <m/>
  </r>
  <r>
    <x v="77"/>
    <x v="0"/>
    <x v="0"/>
    <s v="Video"/>
    <n v="65735"/>
    <n v="2571"/>
    <n v="448.2"/>
    <n v="52322"/>
    <n v="62"/>
    <x v="0"/>
    <m/>
    <m/>
    <m/>
  </r>
  <r>
    <x v="77"/>
    <x v="0"/>
    <x v="1"/>
    <s v="Video"/>
    <n v="116623"/>
    <n v="4013"/>
    <n v="638.23"/>
    <n v="91394"/>
    <n v="161"/>
    <x v="0"/>
    <m/>
    <m/>
    <m/>
  </r>
  <r>
    <x v="77"/>
    <x v="1"/>
    <x v="2"/>
    <s v="Video"/>
    <n v="66088"/>
    <n v="2412"/>
    <n v="379.54"/>
    <n v="52767"/>
    <n v="88"/>
    <x v="0"/>
    <m/>
    <m/>
    <m/>
  </r>
  <r>
    <x v="77"/>
    <x v="1"/>
    <x v="3"/>
    <s v="Video"/>
    <n v="68248"/>
    <n v="2949"/>
    <n v="521.28"/>
    <n v="50706"/>
    <n v="133"/>
    <x v="0"/>
    <m/>
    <m/>
    <m/>
  </r>
  <r>
    <x v="77"/>
    <x v="5"/>
    <x v="0"/>
    <s v="Video"/>
    <n v="148575"/>
    <n v="5361"/>
    <n v="760.52"/>
    <n v="108078"/>
    <n v="246"/>
    <x v="0"/>
    <m/>
    <m/>
    <m/>
  </r>
  <r>
    <x v="77"/>
    <x v="5"/>
    <x v="1"/>
    <s v="Video"/>
    <n v="144528"/>
    <n v="5431"/>
    <n v="767.49"/>
    <n v="117483"/>
    <n v="163"/>
    <x v="0"/>
    <m/>
    <m/>
    <m/>
  </r>
  <r>
    <x v="78"/>
    <x v="0"/>
    <x v="0"/>
    <s v="Video"/>
    <n v="87297"/>
    <n v="3315"/>
    <n v="563.85"/>
    <n v="69075"/>
    <n v="107"/>
    <x v="0"/>
    <m/>
    <m/>
    <m/>
  </r>
  <r>
    <x v="78"/>
    <x v="0"/>
    <x v="1"/>
    <s v="Video"/>
    <n v="65109"/>
    <n v="2154"/>
    <n v="350.15"/>
    <n v="50568"/>
    <n v="94"/>
    <x v="0"/>
    <m/>
    <m/>
    <m/>
  </r>
  <r>
    <x v="78"/>
    <x v="1"/>
    <x v="2"/>
    <s v="Video"/>
    <n v="167362"/>
    <n v="7236"/>
    <n v="1109.06"/>
    <n v="133146"/>
    <n v="185"/>
    <x v="0"/>
    <m/>
    <m/>
    <m/>
  </r>
  <r>
    <x v="78"/>
    <x v="1"/>
    <x v="3"/>
    <s v="Video"/>
    <n v="65362"/>
    <n v="2386"/>
    <n v="427.03"/>
    <n v="47411"/>
    <n v="79"/>
    <x v="0"/>
    <m/>
    <m/>
    <m/>
  </r>
  <r>
    <x v="78"/>
    <x v="5"/>
    <x v="0"/>
    <s v="Video"/>
    <n v="64951"/>
    <n v="2194"/>
    <n v="374.65"/>
    <n v="52966"/>
    <n v="70"/>
    <x v="0"/>
    <m/>
    <m/>
    <m/>
  </r>
  <r>
    <x v="78"/>
    <x v="5"/>
    <x v="1"/>
    <s v="Video"/>
    <n v="107611"/>
    <n v="3067"/>
    <n v="462.91"/>
    <n v="88161"/>
    <n v="106"/>
    <x v="0"/>
    <m/>
    <m/>
    <m/>
  </r>
  <r>
    <x v="79"/>
    <x v="0"/>
    <x v="0"/>
    <s v="Video"/>
    <n v="112626"/>
    <n v="4212"/>
    <n v="652.92999999999995"/>
    <n v="83182"/>
    <n v="156"/>
    <x v="0"/>
    <m/>
    <m/>
    <m/>
  </r>
  <r>
    <x v="79"/>
    <x v="0"/>
    <x v="1"/>
    <s v="Video"/>
    <n v="116760"/>
    <n v="3439"/>
    <n v="566.55999999999995"/>
    <n v="93385"/>
    <n v="139"/>
    <x v="0"/>
    <m/>
    <m/>
    <m/>
  </r>
  <r>
    <x v="79"/>
    <x v="1"/>
    <x v="2"/>
    <s v="Video"/>
    <n v="65977"/>
    <n v="2147"/>
    <n v="333.21"/>
    <n v="52675"/>
    <n v="55"/>
    <x v="0"/>
    <m/>
    <m/>
    <m/>
  </r>
  <r>
    <x v="79"/>
    <x v="1"/>
    <x v="3"/>
    <s v="Video"/>
    <n v="118388"/>
    <n v="3952"/>
    <n v="570.12"/>
    <n v="85300"/>
    <n v="118"/>
    <x v="0"/>
    <m/>
    <m/>
    <m/>
  </r>
  <r>
    <x v="79"/>
    <x v="3"/>
    <x v="0"/>
    <s v="Video"/>
    <n v="113327"/>
    <n v="4639"/>
    <n v="668.43"/>
    <n v="82584"/>
    <n v="154"/>
    <x v="0"/>
    <m/>
    <m/>
    <m/>
  </r>
  <r>
    <x v="79"/>
    <x v="3"/>
    <x v="1"/>
    <s v="Video"/>
    <n v="146906"/>
    <n v="5498"/>
    <n v="859.46"/>
    <n v="106158"/>
    <n v="171"/>
    <x v="0"/>
    <m/>
    <m/>
    <m/>
  </r>
  <r>
    <x v="79"/>
    <x v="5"/>
    <x v="0"/>
    <s v="Video"/>
    <n v="67857"/>
    <n v="2588"/>
    <n v="443.53"/>
    <n v="54717"/>
    <n v="57"/>
    <x v="0"/>
    <m/>
    <m/>
    <m/>
  </r>
  <r>
    <x v="79"/>
    <x v="5"/>
    <x v="1"/>
    <s v="Video"/>
    <n v="122509"/>
    <n v="4237"/>
    <n v="607.53"/>
    <n v="99246"/>
    <n v="192"/>
    <x v="0"/>
    <m/>
    <m/>
    <m/>
  </r>
  <r>
    <x v="80"/>
    <x v="0"/>
    <x v="0"/>
    <s v="Video"/>
    <n v="93360"/>
    <n v="3521"/>
    <n v="516.82000000000005"/>
    <n v="70773"/>
    <n v="90"/>
    <x v="0"/>
    <m/>
    <m/>
    <m/>
  </r>
  <r>
    <x v="80"/>
    <x v="0"/>
    <x v="1"/>
    <s v="Video"/>
    <n v="103309"/>
    <n v="3364"/>
    <n v="490.6"/>
    <n v="76109"/>
    <n v="98"/>
    <x v="0"/>
    <m/>
    <m/>
    <m/>
  </r>
  <r>
    <x v="80"/>
    <x v="1"/>
    <x v="2"/>
    <s v="Video"/>
    <n v="103075"/>
    <n v="3734"/>
    <n v="534.25"/>
    <n v="76808"/>
    <n v="106"/>
    <x v="0"/>
    <m/>
    <m/>
    <m/>
  </r>
  <r>
    <x v="80"/>
    <x v="1"/>
    <x v="3"/>
    <s v="Video"/>
    <n v="158501"/>
    <n v="5773"/>
    <n v="950.62"/>
    <n v="121377"/>
    <n v="147"/>
    <x v="0"/>
    <m/>
    <m/>
    <m/>
  </r>
  <r>
    <x v="80"/>
    <x v="3"/>
    <x v="0"/>
    <s v="Video"/>
    <n v="53153"/>
    <n v="2345"/>
    <n v="359.46"/>
    <n v="41566"/>
    <n v="100"/>
    <x v="0"/>
    <m/>
    <m/>
    <m/>
  </r>
  <r>
    <x v="80"/>
    <x v="3"/>
    <x v="1"/>
    <s v="Video"/>
    <n v="108150"/>
    <n v="3837"/>
    <n v="603.27"/>
    <n v="86774"/>
    <n v="149"/>
    <x v="0"/>
    <m/>
    <m/>
    <m/>
  </r>
  <r>
    <x v="80"/>
    <x v="5"/>
    <x v="0"/>
    <s v="Video"/>
    <n v="153280"/>
    <n v="4646"/>
    <n v="710.03"/>
    <n v="124881"/>
    <n v="126"/>
    <x v="0"/>
    <m/>
    <m/>
    <m/>
  </r>
  <r>
    <x v="80"/>
    <x v="5"/>
    <x v="1"/>
    <s v="Video"/>
    <n v="105534"/>
    <n v="3273"/>
    <n v="510.36"/>
    <n v="79352"/>
    <n v="134"/>
    <x v="0"/>
    <m/>
    <m/>
    <m/>
  </r>
  <r>
    <x v="81"/>
    <x v="0"/>
    <x v="0"/>
    <s v="Video"/>
    <n v="159841"/>
    <n v="5809"/>
    <n v="947.07"/>
    <n v="118960"/>
    <n v="184"/>
    <x v="0"/>
    <m/>
    <m/>
    <m/>
  </r>
  <r>
    <x v="81"/>
    <x v="0"/>
    <x v="1"/>
    <s v="Video"/>
    <n v="118952"/>
    <n v="4068"/>
    <n v="721.19"/>
    <n v="88022"/>
    <n v="194"/>
    <x v="0"/>
    <m/>
    <m/>
    <m/>
  </r>
  <r>
    <x v="81"/>
    <x v="1"/>
    <x v="2"/>
    <s v="Video"/>
    <n v="82657"/>
    <n v="3272"/>
    <n v="530.08000000000004"/>
    <n v="67390"/>
    <n v="111"/>
    <x v="0"/>
    <m/>
    <m/>
    <m/>
  </r>
  <r>
    <x v="81"/>
    <x v="1"/>
    <x v="3"/>
    <s v="Video"/>
    <n v="87722"/>
    <n v="3110"/>
    <n v="471.64"/>
    <n v="69237"/>
    <n v="134"/>
    <x v="0"/>
    <m/>
    <m/>
    <m/>
  </r>
  <r>
    <x v="81"/>
    <x v="5"/>
    <x v="0"/>
    <s v="Video"/>
    <n v="121715"/>
    <n v="4800"/>
    <n v="698.72"/>
    <n v="91320"/>
    <n v="137"/>
    <x v="0"/>
    <m/>
    <m/>
    <m/>
  </r>
  <r>
    <x v="81"/>
    <x v="5"/>
    <x v="1"/>
    <s v="Video"/>
    <n v="78263"/>
    <n v="3142"/>
    <n v="539.04999999999995"/>
    <n v="56928"/>
    <n v="150"/>
    <x v="0"/>
    <m/>
    <m/>
    <m/>
  </r>
  <r>
    <x v="82"/>
    <x v="0"/>
    <x v="0"/>
    <s v="Video"/>
    <n v="133658"/>
    <n v="5065"/>
    <n v="817.36"/>
    <n v="108577"/>
    <n v="225"/>
    <x v="0"/>
    <m/>
    <m/>
    <m/>
  </r>
  <r>
    <x v="82"/>
    <x v="0"/>
    <x v="1"/>
    <s v="Video"/>
    <n v="123275"/>
    <n v="4591"/>
    <n v="787.95"/>
    <n v="93190"/>
    <n v="207"/>
    <x v="0"/>
    <m/>
    <m/>
    <m/>
  </r>
  <r>
    <x v="82"/>
    <x v="1"/>
    <x v="2"/>
    <s v="Video"/>
    <n v="143484"/>
    <n v="5466"/>
    <n v="965.16"/>
    <n v="104877"/>
    <n v="155"/>
    <x v="0"/>
    <m/>
    <m/>
    <m/>
  </r>
  <r>
    <x v="82"/>
    <x v="1"/>
    <x v="3"/>
    <s v="Video"/>
    <n v="165258"/>
    <n v="5624"/>
    <n v="932.91"/>
    <n v="119717"/>
    <n v="267"/>
    <x v="0"/>
    <m/>
    <m/>
    <m/>
  </r>
  <r>
    <x v="82"/>
    <x v="5"/>
    <x v="0"/>
    <s v="Video"/>
    <n v="167436"/>
    <n v="6529"/>
    <n v="1166.55"/>
    <n v="126106"/>
    <n v="278"/>
    <x v="0"/>
    <m/>
    <m/>
    <m/>
  </r>
  <r>
    <x v="82"/>
    <x v="5"/>
    <x v="1"/>
    <s v="Video"/>
    <n v="70051"/>
    <n v="1973"/>
    <n v="296.64"/>
    <n v="54014"/>
    <n v="70"/>
    <x v="0"/>
    <m/>
    <m/>
    <m/>
  </r>
  <r>
    <x v="83"/>
    <x v="0"/>
    <x v="0"/>
    <s v="Video"/>
    <n v="150915"/>
    <n v="5989"/>
    <n v="891.41"/>
    <n v="114304"/>
    <n v="203"/>
    <x v="0"/>
    <m/>
    <m/>
    <m/>
  </r>
  <r>
    <x v="83"/>
    <x v="0"/>
    <x v="1"/>
    <s v="Video"/>
    <n v="167791"/>
    <n v="6377"/>
    <n v="1020.44"/>
    <n v="126597"/>
    <n v="144"/>
    <x v="0"/>
    <m/>
    <m/>
    <m/>
  </r>
  <r>
    <x v="83"/>
    <x v="1"/>
    <x v="2"/>
    <s v="Video"/>
    <n v="69813"/>
    <n v="2305"/>
    <n v="407.57"/>
    <n v="50864"/>
    <n v="100"/>
    <x v="0"/>
    <m/>
    <m/>
    <m/>
  </r>
  <r>
    <x v="83"/>
    <x v="1"/>
    <x v="3"/>
    <s v="Video"/>
    <n v="76139"/>
    <n v="2582"/>
    <n v="396.91"/>
    <n v="60791"/>
    <n v="91"/>
    <x v="0"/>
    <m/>
    <m/>
    <m/>
  </r>
  <r>
    <x v="83"/>
    <x v="5"/>
    <x v="0"/>
    <s v="Video"/>
    <n v="111347"/>
    <n v="4019"/>
    <n v="633.1"/>
    <n v="87928"/>
    <n v="121"/>
    <x v="0"/>
    <m/>
    <m/>
    <m/>
  </r>
  <r>
    <x v="83"/>
    <x v="5"/>
    <x v="1"/>
    <s v="Video"/>
    <n v="103162"/>
    <n v="2966"/>
    <n v="499.57"/>
    <n v="74509"/>
    <n v="91"/>
    <x v="0"/>
    <m/>
    <m/>
    <m/>
  </r>
  <r>
    <x v="84"/>
    <x v="0"/>
    <x v="0"/>
    <s v="Video"/>
    <n v="70634"/>
    <n v="2790"/>
    <n v="408.94"/>
    <n v="57806"/>
    <n v="79"/>
    <x v="0"/>
    <m/>
    <m/>
    <m/>
  </r>
  <r>
    <x v="84"/>
    <x v="0"/>
    <x v="1"/>
    <s v="Video"/>
    <n v="81724"/>
    <n v="3055"/>
    <n v="468.15"/>
    <n v="62325"/>
    <n v="103"/>
    <x v="0"/>
    <m/>
    <m/>
    <m/>
  </r>
  <r>
    <x v="84"/>
    <x v="1"/>
    <x v="2"/>
    <s v="Video"/>
    <n v="121017"/>
    <n v="4684"/>
    <n v="690.68"/>
    <n v="95086"/>
    <n v="151"/>
    <x v="0"/>
    <m/>
    <m/>
    <m/>
  </r>
  <r>
    <x v="84"/>
    <x v="1"/>
    <x v="3"/>
    <s v="Video"/>
    <n v="156639"/>
    <n v="6737"/>
    <n v="1064.33"/>
    <n v="119508"/>
    <n v="148"/>
    <x v="0"/>
    <m/>
    <m/>
    <m/>
  </r>
  <r>
    <x v="84"/>
    <x v="5"/>
    <x v="0"/>
    <s v="Video"/>
    <n v="88598"/>
    <n v="2790"/>
    <n v="474.56"/>
    <n v="70955"/>
    <n v="65"/>
    <x v="0"/>
    <m/>
    <m/>
    <m/>
  </r>
  <r>
    <x v="84"/>
    <x v="5"/>
    <x v="1"/>
    <s v="Video"/>
    <n v="69336"/>
    <n v="2883"/>
    <n v="465.53"/>
    <n v="52458"/>
    <n v="78"/>
    <x v="0"/>
    <m/>
    <m/>
    <m/>
  </r>
  <r>
    <x v="85"/>
    <x v="0"/>
    <x v="0"/>
    <s v="Video"/>
    <n v="71416"/>
    <n v="2318"/>
    <n v="404.5"/>
    <n v="55188"/>
    <n v="89"/>
    <x v="0"/>
    <m/>
    <m/>
    <m/>
  </r>
  <r>
    <x v="85"/>
    <x v="0"/>
    <x v="1"/>
    <s v="Video"/>
    <n v="153719"/>
    <n v="5319"/>
    <n v="828.18"/>
    <n v="112433"/>
    <n v="165"/>
    <x v="0"/>
    <m/>
    <m/>
    <m/>
  </r>
  <r>
    <x v="85"/>
    <x v="1"/>
    <x v="2"/>
    <s v="Video"/>
    <n v="130015"/>
    <n v="5004"/>
    <n v="863.44"/>
    <n v="102789"/>
    <n v="148"/>
    <x v="0"/>
    <m/>
    <m/>
    <m/>
  </r>
  <r>
    <x v="85"/>
    <x v="1"/>
    <x v="3"/>
    <s v="Video"/>
    <n v="156703"/>
    <n v="5959"/>
    <n v="994.46"/>
    <n v="117733"/>
    <n v="168"/>
    <x v="0"/>
    <m/>
    <m/>
    <m/>
  </r>
  <r>
    <x v="85"/>
    <x v="5"/>
    <x v="0"/>
    <s v="Video"/>
    <n v="71926"/>
    <n v="2237"/>
    <n v="375.23"/>
    <n v="55460"/>
    <n v="73"/>
    <x v="0"/>
    <m/>
    <m/>
    <m/>
  </r>
  <r>
    <x v="85"/>
    <x v="5"/>
    <x v="1"/>
    <s v="Video"/>
    <n v="75491"/>
    <n v="2851"/>
    <n v="447.38"/>
    <n v="58027"/>
    <n v="102"/>
    <x v="0"/>
    <m/>
    <m/>
    <m/>
  </r>
  <r>
    <x v="86"/>
    <x v="0"/>
    <x v="0"/>
    <s v="Video"/>
    <n v="161947"/>
    <n v="7096"/>
    <n v="1042.6099999999999"/>
    <n v="119304"/>
    <n v="209"/>
    <x v="0"/>
    <m/>
    <m/>
    <m/>
  </r>
  <r>
    <x v="86"/>
    <x v="0"/>
    <x v="1"/>
    <s v="Video"/>
    <n v="83879"/>
    <n v="2797"/>
    <n v="442.04"/>
    <n v="60842"/>
    <n v="87"/>
    <x v="0"/>
    <m/>
    <m/>
    <m/>
  </r>
  <r>
    <x v="86"/>
    <x v="1"/>
    <x v="2"/>
    <s v="Video"/>
    <n v="53632"/>
    <n v="1943"/>
    <n v="287.19"/>
    <n v="40674"/>
    <n v="71"/>
    <x v="0"/>
    <m/>
    <m/>
    <m/>
  </r>
  <r>
    <x v="86"/>
    <x v="1"/>
    <x v="3"/>
    <s v="Video"/>
    <n v="163278"/>
    <n v="5945"/>
    <n v="995.12"/>
    <n v="124346"/>
    <n v="260"/>
    <x v="0"/>
    <m/>
    <m/>
    <m/>
  </r>
  <r>
    <x v="86"/>
    <x v="3"/>
    <x v="0"/>
    <s v="Video"/>
    <n v="135270"/>
    <n v="4172"/>
    <n v="678.43"/>
    <n v="108160"/>
    <n v="115"/>
    <x v="0"/>
    <m/>
    <m/>
    <m/>
  </r>
  <r>
    <x v="86"/>
    <x v="3"/>
    <x v="1"/>
    <s v="Video"/>
    <n v="57570"/>
    <n v="1880"/>
    <n v="303.63"/>
    <n v="42418"/>
    <n v="63"/>
    <x v="0"/>
    <m/>
    <m/>
    <m/>
  </r>
  <r>
    <x v="86"/>
    <x v="5"/>
    <x v="0"/>
    <s v="Video"/>
    <n v="136397"/>
    <n v="5093"/>
    <n v="736.08"/>
    <n v="99763"/>
    <n v="214"/>
    <x v="0"/>
    <m/>
    <m/>
    <m/>
  </r>
  <r>
    <x v="86"/>
    <x v="5"/>
    <x v="1"/>
    <s v="Video"/>
    <n v="114510"/>
    <n v="4261"/>
    <n v="725.53"/>
    <n v="91150"/>
    <n v="142"/>
    <x v="0"/>
    <m/>
    <m/>
    <m/>
  </r>
  <r>
    <x v="87"/>
    <x v="0"/>
    <x v="0"/>
    <s v="Video"/>
    <n v="89237"/>
    <n v="4000"/>
    <n v="576.39"/>
    <n v="71657"/>
    <n v="166"/>
    <x v="0"/>
    <m/>
    <m/>
    <m/>
  </r>
  <r>
    <x v="87"/>
    <x v="0"/>
    <x v="1"/>
    <s v="Video"/>
    <n v="102727"/>
    <n v="4404"/>
    <n v="622.24"/>
    <n v="76663"/>
    <n v="195"/>
    <x v="0"/>
    <m/>
    <m/>
    <m/>
  </r>
  <r>
    <x v="87"/>
    <x v="1"/>
    <x v="2"/>
    <s v="Video"/>
    <n v="66821"/>
    <n v="2369"/>
    <n v="425.85"/>
    <n v="53293"/>
    <n v="66"/>
    <x v="0"/>
    <m/>
    <m/>
    <m/>
  </r>
  <r>
    <x v="87"/>
    <x v="1"/>
    <x v="3"/>
    <s v="Video"/>
    <n v="152178"/>
    <n v="6043"/>
    <n v="1054.1500000000001"/>
    <n v="118855"/>
    <n v="200"/>
    <x v="0"/>
    <m/>
    <m/>
    <m/>
  </r>
  <r>
    <x v="87"/>
    <x v="3"/>
    <x v="0"/>
    <s v="Video"/>
    <n v="156988"/>
    <n v="4767"/>
    <n v="706.78"/>
    <n v="116280"/>
    <n v="112"/>
    <x v="0"/>
    <m/>
    <m/>
    <m/>
  </r>
  <r>
    <x v="87"/>
    <x v="3"/>
    <x v="1"/>
    <s v="Video"/>
    <n v="111776"/>
    <n v="4141"/>
    <n v="678.6"/>
    <n v="82360"/>
    <n v="196"/>
    <x v="0"/>
    <m/>
    <m/>
    <m/>
  </r>
  <r>
    <x v="87"/>
    <x v="5"/>
    <x v="0"/>
    <s v="Video"/>
    <n v="101862"/>
    <n v="3353"/>
    <n v="505.28"/>
    <n v="82080"/>
    <n v="159"/>
    <x v="0"/>
    <m/>
    <m/>
    <m/>
  </r>
  <r>
    <x v="87"/>
    <x v="5"/>
    <x v="1"/>
    <s v="Video"/>
    <n v="167748"/>
    <n v="7021"/>
    <n v="1021.02"/>
    <n v="133361"/>
    <n v="229"/>
    <x v="0"/>
    <m/>
    <m/>
    <m/>
  </r>
  <r>
    <x v="88"/>
    <x v="0"/>
    <x v="0"/>
    <s v="Video"/>
    <n v="62101"/>
    <n v="2786"/>
    <n v="486.66"/>
    <n v="45500"/>
    <n v="124"/>
    <x v="0"/>
    <m/>
    <m/>
    <m/>
  </r>
  <r>
    <x v="88"/>
    <x v="0"/>
    <x v="1"/>
    <s v="Video"/>
    <n v="94542"/>
    <n v="2882"/>
    <n v="440.61"/>
    <n v="70410"/>
    <n v="126"/>
    <x v="0"/>
    <m/>
    <m/>
    <m/>
  </r>
  <r>
    <x v="88"/>
    <x v="1"/>
    <x v="2"/>
    <s v="Video"/>
    <n v="118913"/>
    <n v="4319"/>
    <n v="704.42"/>
    <n v="88812"/>
    <n v="141"/>
    <x v="0"/>
    <m/>
    <m/>
    <m/>
  </r>
  <r>
    <x v="88"/>
    <x v="1"/>
    <x v="3"/>
    <s v="Video"/>
    <n v="129015"/>
    <n v="3778"/>
    <n v="649"/>
    <n v="102810"/>
    <n v="122"/>
    <x v="0"/>
    <m/>
    <m/>
    <m/>
  </r>
  <r>
    <x v="88"/>
    <x v="5"/>
    <x v="0"/>
    <s v="Video"/>
    <n v="99407"/>
    <n v="3957"/>
    <n v="692.84"/>
    <n v="76093"/>
    <n v="137"/>
    <x v="0"/>
    <m/>
    <m/>
    <m/>
  </r>
  <r>
    <x v="88"/>
    <x v="5"/>
    <x v="1"/>
    <s v="Video"/>
    <n v="151161"/>
    <n v="4238"/>
    <n v="724.55"/>
    <n v="119911"/>
    <n v="173"/>
    <x v="0"/>
    <m/>
    <m/>
    <m/>
  </r>
  <r>
    <x v="89"/>
    <x v="0"/>
    <x v="0"/>
    <s v="Video"/>
    <n v="130115"/>
    <n v="5047"/>
    <n v="847.35"/>
    <n v="104743"/>
    <n v="215"/>
    <x v="0"/>
    <m/>
    <m/>
    <m/>
  </r>
  <r>
    <x v="89"/>
    <x v="0"/>
    <x v="1"/>
    <s v="Video"/>
    <n v="119767"/>
    <n v="3796"/>
    <n v="596.67999999999995"/>
    <n v="88769"/>
    <n v="110"/>
    <x v="0"/>
    <m/>
    <m/>
    <m/>
  </r>
  <r>
    <x v="89"/>
    <x v="1"/>
    <x v="2"/>
    <s v="Video"/>
    <n v="100322"/>
    <n v="3385"/>
    <n v="552.15"/>
    <n v="77911"/>
    <n v="117"/>
    <x v="0"/>
    <m/>
    <m/>
    <m/>
  </r>
  <r>
    <x v="89"/>
    <x v="1"/>
    <x v="3"/>
    <s v="Video"/>
    <n v="110570"/>
    <n v="4776"/>
    <n v="814.26"/>
    <n v="80118"/>
    <n v="182"/>
    <x v="0"/>
    <m/>
    <m/>
    <m/>
  </r>
  <r>
    <x v="89"/>
    <x v="5"/>
    <x v="0"/>
    <s v="Video"/>
    <n v="130309"/>
    <n v="3684"/>
    <n v="652.72"/>
    <n v="95881"/>
    <n v="124"/>
    <x v="0"/>
    <m/>
    <m/>
    <m/>
  </r>
  <r>
    <x v="89"/>
    <x v="5"/>
    <x v="1"/>
    <s v="Video"/>
    <n v="124893"/>
    <n v="3926"/>
    <n v="657.78"/>
    <n v="91570"/>
    <n v="152"/>
    <x v="0"/>
    <m/>
    <m/>
    <m/>
  </r>
  <r>
    <x v="0"/>
    <x v="0"/>
    <x v="4"/>
    <s v="Reels"/>
    <n v="84474"/>
    <n v="3693"/>
    <n v="671.27"/>
    <n v="65126"/>
    <n v="124"/>
    <x v="1"/>
    <m/>
    <m/>
    <m/>
  </r>
  <r>
    <x v="0"/>
    <x v="0"/>
    <x v="5"/>
    <s v="Reels"/>
    <n v="121867"/>
    <n v="5033"/>
    <n v="848.61"/>
    <n v="96429"/>
    <n v="184"/>
    <x v="1"/>
    <m/>
    <m/>
    <m/>
  </r>
  <r>
    <x v="0"/>
    <x v="1"/>
    <x v="6"/>
    <s v="Reels"/>
    <n v="82873"/>
    <n v="2839"/>
    <n v="439.2"/>
    <n v="59792"/>
    <n v="161"/>
    <x v="1"/>
    <m/>
    <m/>
    <m/>
  </r>
  <r>
    <x v="0"/>
    <x v="1"/>
    <x v="7"/>
    <s v="Stories"/>
    <n v="54623"/>
    <n v="2416"/>
    <n v="406.34"/>
    <n v="40246"/>
    <n v="115"/>
    <x v="1"/>
    <m/>
    <m/>
    <m/>
  </r>
  <r>
    <x v="0"/>
    <x v="2"/>
    <x v="4"/>
    <s v="Reels"/>
    <n v="96628"/>
    <n v="3728"/>
    <n v="597.38"/>
    <n v="78632"/>
    <n v="197"/>
    <x v="1"/>
    <m/>
    <m/>
    <m/>
  </r>
  <r>
    <x v="0"/>
    <x v="2"/>
    <x v="5"/>
    <s v="Stories"/>
    <n v="49583"/>
    <n v="1710"/>
    <n v="329.81"/>
    <n v="35890"/>
    <n v="93"/>
    <x v="1"/>
    <m/>
    <m/>
    <m/>
  </r>
  <r>
    <x v="1"/>
    <x v="0"/>
    <x v="4"/>
    <s v="Reels"/>
    <n v="36424"/>
    <n v="1396"/>
    <n v="230.92"/>
    <n v="30369"/>
    <n v="63"/>
    <x v="1"/>
    <m/>
    <m/>
    <m/>
  </r>
  <r>
    <x v="1"/>
    <x v="0"/>
    <x v="5"/>
    <s v="Feed"/>
    <n v="109981"/>
    <n v="4402"/>
    <n v="803.63"/>
    <n v="84777"/>
    <n v="161"/>
    <x v="1"/>
    <m/>
    <m/>
    <m/>
  </r>
  <r>
    <x v="1"/>
    <x v="1"/>
    <x v="6"/>
    <s v="Reels"/>
    <n v="103354"/>
    <n v="3931"/>
    <n v="774.66"/>
    <n v="83631"/>
    <n v="173"/>
    <x v="1"/>
    <m/>
    <m/>
    <m/>
  </r>
  <r>
    <x v="1"/>
    <x v="1"/>
    <x v="7"/>
    <s v="Feed"/>
    <n v="63692"/>
    <n v="2437"/>
    <n v="461.45"/>
    <n v="53317"/>
    <n v="122"/>
    <x v="1"/>
    <m/>
    <m/>
    <m/>
  </r>
  <r>
    <x v="1"/>
    <x v="2"/>
    <x v="4"/>
    <s v="Reels"/>
    <n v="125757"/>
    <n v="4966"/>
    <n v="788.56"/>
    <n v="100231"/>
    <n v="282"/>
    <x v="1"/>
    <m/>
    <m/>
    <m/>
  </r>
  <r>
    <x v="1"/>
    <x v="2"/>
    <x v="5"/>
    <s v="Stories"/>
    <n v="42165"/>
    <n v="1891"/>
    <n v="338.11"/>
    <n v="31344"/>
    <n v="66"/>
    <x v="1"/>
    <m/>
    <m/>
    <m/>
  </r>
  <r>
    <x v="2"/>
    <x v="0"/>
    <x v="4"/>
    <s v="Reels"/>
    <n v="115555"/>
    <n v="4812"/>
    <n v="918.11"/>
    <n v="83588"/>
    <n v="194"/>
    <x v="1"/>
    <m/>
    <m/>
    <m/>
  </r>
  <r>
    <x v="2"/>
    <x v="0"/>
    <x v="5"/>
    <s v="Reels"/>
    <n v="60985"/>
    <n v="2158"/>
    <n v="303.54000000000002"/>
    <n v="50566"/>
    <n v="81"/>
    <x v="1"/>
    <m/>
    <m/>
    <m/>
  </r>
  <r>
    <x v="2"/>
    <x v="1"/>
    <x v="6"/>
    <s v="Reels"/>
    <n v="166143"/>
    <n v="7786"/>
    <n v="1202.31"/>
    <n v="121318"/>
    <n v="382"/>
    <x v="1"/>
    <m/>
    <m/>
    <m/>
  </r>
  <r>
    <x v="2"/>
    <x v="1"/>
    <x v="7"/>
    <s v="Feed"/>
    <n v="152446"/>
    <n v="7284"/>
    <n v="1231.2"/>
    <n v="110640"/>
    <n v="253"/>
    <x v="1"/>
    <m/>
    <m/>
    <m/>
  </r>
  <r>
    <x v="2"/>
    <x v="3"/>
    <x v="4"/>
    <s v="Reels"/>
    <n v="50555"/>
    <n v="2410"/>
    <n v="446.09"/>
    <n v="42215"/>
    <n v="113"/>
    <x v="1"/>
    <m/>
    <m/>
    <m/>
  </r>
  <r>
    <x v="2"/>
    <x v="3"/>
    <x v="5"/>
    <s v="Reels"/>
    <n v="186963"/>
    <n v="7151"/>
    <n v="1153.82"/>
    <n v="137519"/>
    <n v="373"/>
    <x v="1"/>
    <m/>
    <m/>
    <m/>
  </r>
  <r>
    <x v="2"/>
    <x v="2"/>
    <x v="4"/>
    <s v="Reels"/>
    <n v="123736"/>
    <n v="5734"/>
    <n v="976.01"/>
    <n v="96546"/>
    <n v="316"/>
    <x v="1"/>
    <m/>
    <m/>
    <m/>
  </r>
  <r>
    <x v="2"/>
    <x v="2"/>
    <x v="5"/>
    <s v="Stories"/>
    <n v="156746"/>
    <n v="7012"/>
    <n v="1182.3399999999999"/>
    <n v="129199"/>
    <n v="232"/>
    <x v="1"/>
    <m/>
    <m/>
    <m/>
  </r>
  <r>
    <x v="3"/>
    <x v="0"/>
    <x v="4"/>
    <s v="Reels"/>
    <n v="76806"/>
    <n v="3296"/>
    <n v="477.01"/>
    <n v="61069"/>
    <n v="199"/>
    <x v="1"/>
    <m/>
    <m/>
    <m/>
  </r>
  <r>
    <x v="3"/>
    <x v="0"/>
    <x v="5"/>
    <s v="Reels"/>
    <n v="88571"/>
    <n v="3978"/>
    <n v="713.07"/>
    <n v="71942"/>
    <n v="146"/>
    <x v="1"/>
    <m/>
    <m/>
    <m/>
  </r>
  <r>
    <x v="3"/>
    <x v="1"/>
    <x v="6"/>
    <s v="Stories"/>
    <n v="131112"/>
    <n v="5843"/>
    <n v="936.87"/>
    <n v="100069"/>
    <n v="337"/>
    <x v="1"/>
    <m/>
    <m/>
    <m/>
  </r>
  <r>
    <x v="3"/>
    <x v="1"/>
    <x v="7"/>
    <s v="Stories"/>
    <n v="56341"/>
    <n v="2605"/>
    <n v="485.7"/>
    <n v="43186"/>
    <n v="99"/>
    <x v="1"/>
    <m/>
    <m/>
    <m/>
  </r>
  <r>
    <x v="3"/>
    <x v="3"/>
    <x v="4"/>
    <s v="Reels"/>
    <n v="76965"/>
    <n v="3160"/>
    <n v="630.94000000000005"/>
    <n v="56314"/>
    <n v="102"/>
    <x v="1"/>
    <m/>
    <m/>
    <m/>
  </r>
  <r>
    <x v="3"/>
    <x v="3"/>
    <x v="5"/>
    <s v="Reels"/>
    <n v="149399"/>
    <n v="6854"/>
    <n v="1287.48"/>
    <n v="123615"/>
    <n v="321"/>
    <x v="1"/>
    <m/>
    <m/>
    <m/>
  </r>
  <r>
    <x v="3"/>
    <x v="2"/>
    <x v="4"/>
    <s v="Reels"/>
    <n v="106566"/>
    <n v="3699"/>
    <n v="583.47"/>
    <n v="77599"/>
    <n v="182"/>
    <x v="1"/>
    <m/>
    <m/>
    <m/>
  </r>
  <r>
    <x v="3"/>
    <x v="2"/>
    <x v="5"/>
    <s v="Stories"/>
    <n v="65372"/>
    <n v="2166"/>
    <n v="395.6"/>
    <n v="50682"/>
    <n v="133"/>
    <x v="1"/>
    <m/>
    <m/>
    <m/>
  </r>
  <r>
    <x v="4"/>
    <x v="0"/>
    <x v="4"/>
    <s v="Stories"/>
    <n v="92939"/>
    <n v="3941"/>
    <n v="584.95000000000005"/>
    <n v="68298"/>
    <n v="193"/>
    <x v="1"/>
    <m/>
    <m/>
    <m/>
  </r>
  <r>
    <x v="4"/>
    <x v="0"/>
    <x v="5"/>
    <s v="Reels"/>
    <n v="82641"/>
    <n v="3780"/>
    <n v="620.13"/>
    <n v="68000"/>
    <n v="224"/>
    <x v="1"/>
    <m/>
    <m/>
    <m/>
  </r>
  <r>
    <x v="4"/>
    <x v="1"/>
    <x v="6"/>
    <s v="Reels"/>
    <n v="92780"/>
    <n v="3513"/>
    <n v="669.89"/>
    <n v="77401"/>
    <n v="151"/>
    <x v="1"/>
    <m/>
    <m/>
    <m/>
  </r>
  <r>
    <x v="4"/>
    <x v="1"/>
    <x v="7"/>
    <s v="Stories"/>
    <n v="101314"/>
    <n v="3971"/>
    <n v="764.99"/>
    <n v="84997"/>
    <n v="132"/>
    <x v="1"/>
    <m/>
    <m/>
    <m/>
  </r>
  <r>
    <x v="4"/>
    <x v="2"/>
    <x v="4"/>
    <s v="Reels"/>
    <n v="132129"/>
    <n v="5899"/>
    <n v="1073.53"/>
    <n v="104024"/>
    <n v="216"/>
    <x v="1"/>
    <m/>
    <m/>
    <m/>
  </r>
  <r>
    <x v="4"/>
    <x v="2"/>
    <x v="5"/>
    <s v="Stories"/>
    <n v="73097"/>
    <n v="2778"/>
    <n v="483.95"/>
    <n v="60119"/>
    <n v="107"/>
    <x v="1"/>
    <m/>
    <m/>
    <m/>
  </r>
  <r>
    <x v="5"/>
    <x v="0"/>
    <x v="4"/>
    <s v="Stories"/>
    <n v="122706"/>
    <n v="4110"/>
    <n v="690.29"/>
    <n v="97808"/>
    <n v="242"/>
    <x v="1"/>
    <m/>
    <m/>
    <m/>
  </r>
  <r>
    <x v="5"/>
    <x v="0"/>
    <x v="5"/>
    <s v="Feed"/>
    <n v="49302"/>
    <n v="1645"/>
    <n v="302.52999999999997"/>
    <n v="40925"/>
    <n v="98"/>
    <x v="1"/>
    <m/>
    <m/>
    <m/>
  </r>
  <r>
    <x v="5"/>
    <x v="1"/>
    <x v="6"/>
    <s v="Stories"/>
    <n v="61145"/>
    <n v="2349"/>
    <n v="337.95"/>
    <n v="46536"/>
    <n v="117"/>
    <x v="1"/>
    <m/>
    <m/>
    <m/>
  </r>
  <r>
    <x v="5"/>
    <x v="1"/>
    <x v="7"/>
    <s v="Feed"/>
    <n v="127050"/>
    <n v="5572"/>
    <n v="818.3"/>
    <n v="98406"/>
    <n v="269"/>
    <x v="1"/>
    <m/>
    <m/>
    <m/>
  </r>
  <r>
    <x v="5"/>
    <x v="2"/>
    <x v="4"/>
    <s v="Reels"/>
    <n v="54072"/>
    <n v="2284"/>
    <n v="363.64"/>
    <n v="39135"/>
    <n v="114"/>
    <x v="1"/>
    <m/>
    <m/>
    <m/>
  </r>
  <r>
    <x v="5"/>
    <x v="2"/>
    <x v="5"/>
    <s v="Stories"/>
    <n v="43178"/>
    <n v="2028"/>
    <n v="327.91"/>
    <n v="33316"/>
    <n v="93"/>
    <x v="1"/>
    <m/>
    <m/>
    <m/>
  </r>
  <r>
    <x v="6"/>
    <x v="0"/>
    <x v="4"/>
    <s v="Reels"/>
    <n v="62720"/>
    <n v="2878"/>
    <n v="567.41999999999996"/>
    <n v="50303"/>
    <n v="115"/>
    <x v="1"/>
    <m/>
    <m/>
    <m/>
  </r>
  <r>
    <x v="6"/>
    <x v="0"/>
    <x v="5"/>
    <s v="Reels"/>
    <n v="45956"/>
    <n v="1574"/>
    <n v="246.23"/>
    <n v="33538"/>
    <n v="91"/>
    <x v="1"/>
    <m/>
    <m/>
    <m/>
  </r>
  <r>
    <x v="6"/>
    <x v="1"/>
    <x v="6"/>
    <s v="Stories"/>
    <n v="90013"/>
    <n v="3636"/>
    <n v="655.13"/>
    <n v="67611"/>
    <n v="206"/>
    <x v="1"/>
    <m/>
    <m/>
    <m/>
  </r>
  <r>
    <x v="6"/>
    <x v="1"/>
    <x v="7"/>
    <s v="Feed"/>
    <n v="91168"/>
    <n v="3416"/>
    <n v="632.61"/>
    <n v="67440"/>
    <n v="145"/>
    <x v="1"/>
    <m/>
    <m/>
    <m/>
  </r>
  <r>
    <x v="6"/>
    <x v="2"/>
    <x v="4"/>
    <s v="Reels"/>
    <n v="98127"/>
    <n v="3886"/>
    <n v="704.65"/>
    <n v="72543"/>
    <n v="205"/>
    <x v="1"/>
    <m/>
    <m/>
    <m/>
  </r>
  <r>
    <x v="6"/>
    <x v="2"/>
    <x v="5"/>
    <s v="Stories"/>
    <n v="125819"/>
    <n v="5174"/>
    <n v="979.86"/>
    <n v="99058"/>
    <n v="304"/>
    <x v="1"/>
    <m/>
    <m/>
    <m/>
  </r>
  <r>
    <x v="7"/>
    <x v="0"/>
    <x v="4"/>
    <s v="Reels"/>
    <n v="45198"/>
    <n v="1968"/>
    <n v="343.83"/>
    <n v="33326"/>
    <n v="102"/>
    <x v="1"/>
    <m/>
    <m/>
    <m/>
  </r>
  <r>
    <x v="7"/>
    <x v="0"/>
    <x v="5"/>
    <s v="Feed"/>
    <n v="36859"/>
    <n v="1268"/>
    <n v="212.41"/>
    <n v="27190"/>
    <n v="73"/>
    <x v="1"/>
    <m/>
    <m/>
    <m/>
  </r>
  <r>
    <x v="7"/>
    <x v="1"/>
    <x v="6"/>
    <s v="Reels"/>
    <n v="123335"/>
    <n v="4748"/>
    <n v="813.05"/>
    <n v="88855"/>
    <n v="216"/>
    <x v="1"/>
    <m/>
    <m/>
    <m/>
  </r>
  <r>
    <x v="7"/>
    <x v="1"/>
    <x v="7"/>
    <s v="Feed"/>
    <n v="118138"/>
    <n v="4629"/>
    <n v="917.32"/>
    <n v="86440"/>
    <n v="178"/>
    <x v="1"/>
    <m/>
    <m/>
    <m/>
  </r>
  <r>
    <x v="7"/>
    <x v="2"/>
    <x v="4"/>
    <s v="Reels"/>
    <n v="90073"/>
    <n v="3886"/>
    <n v="724.6"/>
    <n v="71348"/>
    <n v="149"/>
    <x v="1"/>
    <m/>
    <m/>
    <m/>
  </r>
  <r>
    <x v="7"/>
    <x v="2"/>
    <x v="5"/>
    <s v="Stories"/>
    <n v="60055"/>
    <n v="2855"/>
    <n v="498.51"/>
    <n v="43343"/>
    <n v="161"/>
    <x v="1"/>
    <m/>
    <m/>
    <m/>
  </r>
  <r>
    <x v="8"/>
    <x v="0"/>
    <x v="4"/>
    <s v="Reels"/>
    <n v="74576"/>
    <n v="3456"/>
    <n v="587.95000000000005"/>
    <n v="61460"/>
    <n v="183"/>
    <x v="1"/>
    <m/>
    <m/>
    <m/>
  </r>
  <r>
    <x v="8"/>
    <x v="0"/>
    <x v="5"/>
    <s v="Feed"/>
    <n v="89270"/>
    <n v="3442"/>
    <n v="554.62"/>
    <n v="70085"/>
    <n v="164"/>
    <x v="1"/>
    <m/>
    <m/>
    <m/>
  </r>
  <r>
    <x v="8"/>
    <x v="1"/>
    <x v="6"/>
    <s v="Stories"/>
    <n v="49860"/>
    <n v="2334"/>
    <n v="391.01"/>
    <n v="38131"/>
    <n v="113"/>
    <x v="1"/>
    <m/>
    <m/>
    <m/>
  </r>
  <r>
    <x v="8"/>
    <x v="1"/>
    <x v="7"/>
    <s v="Feed"/>
    <n v="106141"/>
    <n v="4136"/>
    <n v="649.77"/>
    <n v="84822"/>
    <n v="216"/>
    <x v="1"/>
    <m/>
    <m/>
    <m/>
  </r>
  <r>
    <x v="8"/>
    <x v="2"/>
    <x v="4"/>
    <s v="Reels"/>
    <n v="127024"/>
    <n v="5325"/>
    <n v="1041.08"/>
    <n v="104520"/>
    <n v="329"/>
    <x v="1"/>
    <m/>
    <m/>
    <m/>
  </r>
  <r>
    <x v="8"/>
    <x v="2"/>
    <x v="5"/>
    <s v="Stories"/>
    <n v="46749"/>
    <n v="1981"/>
    <n v="350.59"/>
    <n v="35966"/>
    <n v="92"/>
    <x v="1"/>
    <m/>
    <m/>
    <m/>
  </r>
  <r>
    <x v="9"/>
    <x v="0"/>
    <x v="4"/>
    <s v="Reels"/>
    <n v="165251"/>
    <n v="6462"/>
    <n v="1130.04"/>
    <n v="119627"/>
    <n v="262"/>
    <x v="1"/>
    <m/>
    <m/>
    <m/>
  </r>
  <r>
    <x v="9"/>
    <x v="0"/>
    <x v="5"/>
    <s v="Feed"/>
    <n v="87878"/>
    <n v="3125"/>
    <n v="522.74"/>
    <n v="67290"/>
    <n v="118"/>
    <x v="1"/>
    <m/>
    <m/>
    <m/>
  </r>
  <r>
    <x v="9"/>
    <x v="1"/>
    <x v="6"/>
    <s v="Stories"/>
    <n v="71834"/>
    <n v="2701"/>
    <n v="506.78"/>
    <n v="55719"/>
    <n v="160"/>
    <x v="1"/>
    <m/>
    <m/>
    <m/>
  </r>
  <r>
    <x v="9"/>
    <x v="1"/>
    <x v="7"/>
    <s v="Stories"/>
    <n v="50394"/>
    <n v="2370"/>
    <n v="443.03"/>
    <n v="39353"/>
    <n v="94"/>
    <x v="1"/>
    <m/>
    <m/>
    <m/>
  </r>
  <r>
    <x v="9"/>
    <x v="3"/>
    <x v="4"/>
    <s v="Reels"/>
    <n v="105407"/>
    <n v="4787"/>
    <n v="898.56"/>
    <n v="81138"/>
    <n v="187"/>
    <x v="1"/>
    <m/>
    <m/>
    <m/>
  </r>
  <r>
    <x v="9"/>
    <x v="3"/>
    <x v="5"/>
    <s v="Reels"/>
    <n v="54994"/>
    <n v="1773"/>
    <n v="264.54000000000002"/>
    <n v="42066"/>
    <n v="100"/>
    <x v="1"/>
    <m/>
    <m/>
    <m/>
  </r>
  <r>
    <x v="9"/>
    <x v="2"/>
    <x v="4"/>
    <s v="Reels"/>
    <n v="110488"/>
    <n v="3836"/>
    <n v="668.73"/>
    <n v="85252"/>
    <n v="186"/>
    <x v="1"/>
    <m/>
    <m/>
    <m/>
  </r>
  <r>
    <x v="9"/>
    <x v="2"/>
    <x v="5"/>
    <s v="Stories"/>
    <n v="84352"/>
    <n v="3530"/>
    <n v="577.5"/>
    <n v="61255"/>
    <n v="211"/>
    <x v="1"/>
    <m/>
    <m/>
    <m/>
  </r>
  <r>
    <x v="10"/>
    <x v="0"/>
    <x v="4"/>
    <s v="Stories"/>
    <n v="72647"/>
    <n v="3416"/>
    <n v="558.26"/>
    <n v="58653"/>
    <n v="150"/>
    <x v="1"/>
    <m/>
    <m/>
    <m/>
  </r>
  <r>
    <x v="10"/>
    <x v="0"/>
    <x v="5"/>
    <s v="Feed"/>
    <n v="143920"/>
    <n v="4970"/>
    <n v="764.68"/>
    <n v="115884"/>
    <n v="177"/>
    <x v="1"/>
    <m/>
    <m/>
    <m/>
  </r>
  <r>
    <x v="10"/>
    <x v="1"/>
    <x v="6"/>
    <s v="Reels"/>
    <n v="164869"/>
    <n v="6797"/>
    <n v="1111.45"/>
    <n v="133784"/>
    <n v="404"/>
    <x v="1"/>
    <m/>
    <m/>
    <m/>
  </r>
  <r>
    <x v="10"/>
    <x v="1"/>
    <x v="7"/>
    <s v="Feed"/>
    <n v="108161"/>
    <n v="3813"/>
    <n v="555.16"/>
    <n v="83553"/>
    <n v="193"/>
    <x v="1"/>
    <m/>
    <m/>
    <m/>
  </r>
  <r>
    <x v="10"/>
    <x v="3"/>
    <x v="4"/>
    <s v="Reels"/>
    <n v="54104"/>
    <n v="2266"/>
    <n v="391.16"/>
    <n v="45268"/>
    <n v="111"/>
    <x v="1"/>
    <m/>
    <m/>
    <m/>
  </r>
  <r>
    <x v="10"/>
    <x v="3"/>
    <x v="5"/>
    <s v="Stories"/>
    <n v="185218"/>
    <n v="8102"/>
    <n v="1612.34"/>
    <n v="147458"/>
    <n v="448"/>
    <x v="1"/>
    <m/>
    <m/>
    <m/>
  </r>
  <r>
    <x v="10"/>
    <x v="2"/>
    <x v="4"/>
    <s v="Reels"/>
    <n v="92988"/>
    <n v="3946"/>
    <n v="604.94000000000005"/>
    <n v="69114"/>
    <n v="225"/>
    <x v="1"/>
    <m/>
    <m/>
    <m/>
  </r>
  <r>
    <x v="10"/>
    <x v="2"/>
    <x v="5"/>
    <s v="Stories"/>
    <n v="96797"/>
    <n v="4118"/>
    <n v="644.46"/>
    <n v="80554"/>
    <n v="209"/>
    <x v="1"/>
    <m/>
    <m/>
    <m/>
  </r>
  <r>
    <x v="11"/>
    <x v="0"/>
    <x v="4"/>
    <s v="Reels"/>
    <n v="49540"/>
    <n v="1949"/>
    <n v="342.54"/>
    <n v="36305"/>
    <n v="78"/>
    <x v="1"/>
    <m/>
    <m/>
    <m/>
  </r>
  <r>
    <x v="11"/>
    <x v="0"/>
    <x v="5"/>
    <s v="Reels"/>
    <n v="47160"/>
    <n v="1567"/>
    <n v="298.79000000000002"/>
    <n v="39120"/>
    <n v="59"/>
    <x v="1"/>
    <m/>
    <m/>
    <m/>
  </r>
  <r>
    <x v="11"/>
    <x v="1"/>
    <x v="6"/>
    <s v="Reels"/>
    <n v="99361"/>
    <n v="4444"/>
    <n v="732.48"/>
    <n v="77340"/>
    <n v="225"/>
    <x v="1"/>
    <m/>
    <m/>
    <m/>
  </r>
  <r>
    <x v="11"/>
    <x v="1"/>
    <x v="7"/>
    <s v="Feed"/>
    <n v="125090"/>
    <n v="4843"/>
    <n v="936.55"/>
    <n v="99574"/>
    <n v="220"/>
    <x v="1"/>
    <m/>
    <m/>
    <m/>
  </r>
  <r>
    <x v="11"/>
    <x v="2"/>
    <x v="4"/>
    <s v="Reels"/>
    <n v="58567"/>
    <n v="2154"/>
    <n v="418.35"/>
    <n v="46804"/>
    <n v="109"/>
    <x v="1"/>
    <m/>
    <m/>
    <m/>
  </r>
  <r>
    <x v="11"/>
    <x v="2"/>
    <x v="5"/>
    <s v="Stories"/>
    <n v="50362"/>
    <n v="2397"/>
    <n v="478.5"/>
    <n v="39185"/>
    <n v="120"/>
    <x v="1"/>
    <m/>
    <m/>
    <m/>
  </r>
  <r>
    <x v="12"/>
    <x v="0"/>
    <x v="4"/>
    <s v="Reels"/>
    <n v="55760"/>
    <n v="2249"/>
    <n v="349.2"/>
    <n v="40960"/>
    <n v="112"/>
    <x v="1"/>
    <m/>
    <m/>
    <m/>
  </r>
  <r>
    <x v="12"/>
    <x v="0"/>
    <x v="5"/>
    <s v="Reels"/>
    <n v="102894"/>
    <n v="4135"/>
    <n v="616.70000000000005"/>
    <n v="84787"/>
    <n v="146"/>
    <x v="1"/>
    <m/>
    <m/>
    <m/>
  </r>
  <r>
    <x v="12"/>
    <x v="1"/>
    <x v="6"/>
    <s v="Reels"/>
    <n v="38866"/>
    <n v="1447"/>
    <n v="221.66"/>
    <n v="31377"/>
    <n v="87"/>
    <x v="1"/>
    <m/>
    <m/>
    <m/>
  </r>
  <r>
    <x v="12"/>
    <x v="1"/>
    <x v="7"/>
    <s v="Stories"/>
    <n v="70870"/>
    <n v="2813"/>
    <n v="554.71"/>
    <n v="53990"/>
    <n v="136"/>
    <x v="1"/>
    <m/>
    <m/>
    <m/>
  </r>
  <r>
    <x v="12"/>
    <x v="2"/>
    <x v="4"/>
    <s v="Reels"/>
    <n v="96216"/>
    <n v="4226"/>
    <n v="717.36"/>
    <n v="75194"/>
    <n v="185"/>
    <x v="1"/>
    <m/>
    <m/>
    <m/>
  </r>
  <r>
    <x v="12"/>
    <x v="2"/>
    <x v="5"/>
    <s v="Stories"/>
    <n v="67780"/>
    <n v="2356"/>
    <n v="426.96"/>
    <n v="56018"/>
    <n v="95"/>
    <x v="1"/>
    <m/>
    <m/>
    <m/>
  </r>
  <r>
    <x v="13"/>
    <x v="0"/>
    <x v="4"/>
    <s v="Stories"/>
    <n v="48486"/>
    <n v="2004"/>
    <n v="372.72"/>
    <n v="36722"/>
    <n v="111"/>
    <x v="1"/>
    <m/>
    <m/>
    <m/>
  </r>
  <r>
    <x v="13"/>
    <x v="0"/>
    <x v="5"/>
    <s v="Feed"/>
    <n v="91815"/>
    <n v="4235"/>
    <n v="700.57"/>
    <n v="74337"/>
    <n v="239"/>
    <x v="1"/>
    <m/>
    <m/>
    <m/>
  </r>
  <r>
    <x v="13"/>
    <x v="1"/>
    <x v="6"/>
    <s v="Reels"/>
    <n v="114599"/>
    <n v="4369"/>
    <n v="664.01"/>
    <n v="87364"/>
    <n v="257"/>
    <x v="1"/>
    <m/>
    <m/>
    <m/>
  </r>
  <r>
    <x v="13"/>
    <x v="1"/>
    <x v="7"/>
    <s v="Feed"/>
    <n v="93904"/>
    <n v="3256"/>
    <n v="462.44"/>
    <n v="73373"/>
    <n v="161"/>
    <x v="1"/>
    <m/>
    <m/>
    <m/>
  </r>
  <r>
    <x v="13"/>
    <x v="2"/>
    <x v="4"/>
    <s v="Reels"/>
    <n v="114152"/>
    <n v="5162"/>
    <n v="922.48"/>
    <n v="95410"/>
    <n v="219"/>
    <x v="1"/>
    <m/>
    <m/>
    <m/>
  </r>
  <r>
    <x v="13"/>
    <x v="2"/>
    <x v="5"/>
    <s v="Stories"/>
    <n v="50027"/>
    <n v="1744"/>
    <n v="277.93"/>
    <n v="40767"/>
    <n v="74"/>
    <x v="1"/>
    <m/>
    <m/>
    <m/>
  </r>
  <r>
    <x v="14"/>
    <x v="0"/>
    <x v="4"/>
    <s v="Reels"/>
    <n v="63204"/>
    <n v="2686"/>
    <n v="435.99"/>
    <n v="51419"/>
    <n v="95"/>
    <x v="1"/>
    <m/>
    <m/>
    <m/>
  </r>
  <r>
    <x v="14"/>
    <x v="0"/>
    <x v="5"/>
    <s v="Feed"/>
    <n v="125215"/>
    <n v="4028"/>
    <n v="643.4"/>
    <n v="97147"/>
    <n v="224"/>
    <x v="1"/>
    <m/>
    <m/>
    <m/>
  </r>
  <r>
    <x v="14"/>
    <x v="1"/>
    <x v="6"/>
    <s v="Reels"/>
    <n v="108615"/>
    <n v="3590"/>
    <n v="563.69000000000005"/>
    <n v="80968"/>
    <n v="138"/>
    <x v="1"/>
    <m/>
    <m/>
    <m/>
  </r>
  <r>
    <x v="14"/>
    <x v="1"/>
    <x v="7"/>
    <s v="Stories"/>
    <n v="128882"/>
    <n v="5377"/>
    <n v="1037.77"/>
    <n v="106094"/>
    <n v="184"/>
    <x v="1"/>
    <m/>
    <m/>
    <m/>
  </r>
  <r>
    <x v="14"/>
    <x v="2"/>
    <x v="4"/>
    <s v="Reels"/>
    <n v="124408"/>
    <n v="5486"/>
    <n v="872.64"/>
    <n v="94352"/>
    <n v="207"/>
    <x v="1"/>
    <m/>
    <m/>
    <m/>
  </r>
  <r>
    <x v="14"/>
    <x v="2"/>
    <x v="5"/>
    <s v="Stories"/>
    <n v="100359"/>
    <n v="3286"/>
    <n v="514.14"/>
    <n v="73694"/>
    <n v="149"/>
    <x v="1"/>
    <m/>
    <m/>
    <m/>
  </r>
  <r>
    <x v="15"/>
    <x v="0"/>
    <x v="4"/>
    <s v="Stories"/>
    <n v="112485"/>
    <n v="4288"/>
    <n v="748.62"/>
    <n v="84836"/>
    <n v="220"/>
    <x v="1"/>
    <m/>
    <m/>
    <m/>
  </r>
  <r>
    <x v="15"/>
    <x v="0"/>
    <x v="5"/>
    <s v="Reels"/>
    <n v="95525"/>
    <n v="3491"/>
    <n v="665.03"/>
    <n v="73395"/>
    <n v="205"/>
    <x v="1"/>
    <m/>
    <m/>
    <m/>
  </r>
  <r>
    <x v="15"/>
    <x v="1"/>
    <x v="6"/>
    <s v="Reels"/>
    <n v="79222"/>
    <n v="3352"/>
    <n v="483.25"/>
    <n v="57944"/>
    <n v="187"/>
    <x v="1"/>
    <m/>
    <m/>
    <m/>
  </r>
  <r>
    <x v="15"/>
    <x v="1"/>
    <x v="7"/>
    <s v="Stories"/>
    <n v="71002"/>
    <n v="2632"/>
    <n v="423.09"/>
    <n v="51801"/>
    <n v="145"/>
    <x v="1"/>
    <m/>
    <m/>
    <m/>
  </r>
  <r>
    <x v="15"/>
    <x v="2"/>
    <x v="4"/>
    <s v="Reels"/>
    <n v="115258"/>
    <n v="3775"/>
    <n v="596.1"/>
    <n v="96594"/>
    <n v="176"/>
    <x v="1"/>
    <m/>
    <m/>
    <m/>
  </r>
  <r>
    <x v="15"/>
    <x v="2"/>
    <x v="5"/>
    <s v="Stories"/>
    <n v="84008"/>
    <n v="3948"/>
    <n v="577.05999999999995"/>
    <n v="62744"/>
    <n v="224"/>
    <x v="1"/>
    <m/>
    <m/>
    <m/>
  </r>
  <r>
    <x v="16"/>
    <x v="0"/>
    <x v="4"/>
    <s v="Reels"/>
    <n v="68292"/>
    <n v="3270"/>
    <n v="626.79999999999995"/>
    <n v="55105"/>
    <n v="126"/>
    <x v="1"/>
    <m/>
    <m/>
    <m/>
  </r>
  <r>
    <x v="16"/>
    <x v="0"/>
    <x v="5"/>
    <s v="Reels"/>
    <n v="84077"/>
    <n v="3664"/>
    <n v="691.53"/>
    <n v="68769"/>
    <n v="176"/>
    <x v="1"/>
    <m/>
    <m/>
    <m/>
  </r>
  <r>
    <x v="16"/>
    <x v="1"/>
    <x v="6"/>
    <s v="Reels"/>
    <n v="175292"/>
    <n v="8043"/>
    <n v="1251.3399999999999"/>
    <n v="142721"/>
    <n v="284"/>
    <x v="1"/>
    <m/>
    <m/>
    <m/>
  </r>
  <r>
    <x v="16"/>
    <x v="1"/>
    <x v="7"/>
    <s v="Stories"/>
    <n v="62768"/>
    <n v="2273"/>
    <n v="412.04"/>
    <n v="51155"/>
    <n v="98"/>
    <x v="1"/>
    <m/>
    <m/>
    <m/>
  </r>
  <r>
    <x v="16"/>
    <x v="3"/>
    <x v="4"/>
    <s v="Reels"/>
    <n v="74278"/>
    <n v="3070"/>
    <n v="451.89"/>
    <n v="56326"/>
    <n v="111"/>
    <x v="1"/>
    <m/>
    <m/>
    <m/>
  </r>
  <r>
    <x v="16"/>
    <x v="3"/>
    <x v="5"/>
    <s v="Reels"/>
    <n v="165872"/>
    <n v="6493"/>
    <n v="956.69"/>
    <n v="129929"/>
    <n v="320"/>
    <x v="1"/>
    <m/>
    <m/>
    <m/>
  </r>
  <r>
    <x v="16"/>
    <x v="2"/>
    <x v="4"/>
    <s v="Reels"/>
    <n v="100479"/>
    <n v="3732"/>
    <n v="686.14"/>
    <n v="75067"/>
    <n v="148"/>
    <x v="1"/>
    <m/>
    <m/>
    <m/>
  </r>
  <r>
    <x v="16"/>
    <x v="2"/>
    <x v="5"/>
    <s v="Stories"/>
    <n v="179538"/>
    <n v="5983"/>
    <n v="1038.1199999999999"/>
    <n v="148073"/>
    <n v="309"/>
    <x v="1"/>
    <m/>
    <m/>
    <m/>
  </r>
  <r>
    <x v="17"/>
    <x v="0"/>
    <x v="4"/>
    <s v="Reels"/>
    <n v="176526"/>
    <n v="5869"/>
    <n v="1163.8599999999999"/>
    <n v="128375"/>
    <n v="190"/>
    <x v="1"/>
    <m/>
    <m/>
    <m/>
  </r>
  <r>
    <x v="17"/>
    <x v="0"/>
    <x v="5"/>
    <s v="Reels"/>
    <n v="134905"/>
    <n v="6083"/>
    <n v="920.21"/>
    <n v="98823"/>
    <n v="232"/>
    <x v="1"/>
    <m/>
    <m/>
    <m/>
  </r>
  <r>
    <x v="17"/>
    <x v="1"/>
    <x v="6"/>
    <s v="Stories"/>
    <n v="188549"/>
    <n v="8882"/>
    <n v="1621.06"/>
    <n v="150581"/>
    <n v="510"/>
    <x v="1"/>
    <m/>
    <m/>
    <m/>
  </r>
  <r>
    <x v="17"/>
    <x v="1"/>
    <x v="7"/>
    <s v="Feed"/>
    <n v="72865"/>
    <n v="2586"/>
    <n v="418.46"/>
    <n v="60988"/>
    <n v="150"/>
    <x v="1"/>
    <m/>
    <m/>
    <m/>
  </r>
  <r>
    <x v="17"/>
    <x v="3"/>
    <x v="4"/>
    <s v="Reels"/>
    <n v="122436"/>
    <n v="4286"/>
    <n v="671.49"/>
    <n v="90566"/>
    <n v="176"/>
    <x v="1"/>
    <m/>
    <m/>
    <m/>
  </r>
  <r>
    <x v="17"/>
    <x v="3"/>
    <x v="5"/>
    <s v="Stories"/>
    <n v="76027"/>
    <n v="2993"/>
    <n v="438.27"/>
    <n v="55744"/>
    <n v="97"/>
    <x v="1"/>
    <m/>
    <m/>
    <m/>
  </r>
  <r>
    <x v="17"/>
    <x v="2"/>
    <x v="4"/>
    <s v="Reels"/>
    <n v="83319"/>
    <n v="3021"/>
    <n v="509.26"/>
    <n v="65297"/>
    <n v="128"/>
    <x v="1"/>
    <m/>
    <m/>
    <m/>
  </r>
  <r>
    <x v="17"/>
    <x v="2"/>
    <x v="5"/>
    <s v="Stories"/>
    <n v="149980"/>
    <n v="5001"/>
    <n v="829.61"/>
    <n v="110696"/>
    <n v="235"/>
    <x v="1"/>
    <m/>
    <m/>
    <m/>
  </r>
  <r>
    <x v="18"/>
    <x v="0"/>
    <x v="4"/>
    <s v="Stories"/>
    <n v="41967"/>
    <n v="1639"/>
    <n v="265.82"/>
    <n v="30463"/>
    <n v="71"/>
    <x v="1"/>
    <m/>
    <m/>
    <m/>
  </r>
  <r>
    <x v="18"/>
    <x v="0"/>
    <x v="5"/>
    <s v="Feed"/>
    <n v="60419"/>
    <n v="2217"/>
    <n v="363.95"/>
    <n v="47808"/>
    <n v="106"/>
    <x v="1"/>
    <m/>
    <m/>
    <m/>
  </r>
  <r>
    <x v="18"/>
    <x v="1"/>
    <x v="6"/>
    <s v="Stories"/>
    <n v="102976"/>
    <n v="4009"/>
    <n v="725.11"/>
    <n v="82129"/>
    <n v="243"/>
    <x v="1"/>
    <m/>
    <m/>
    <m/>
  </r>
  <r>
    <x v="18"/>
    <x v="1"/>
    <x v="7"/>
    <s v="Feed"/>
    <n v="50097"/>
    <n v="1645"/>
    <n v="233.82"/>
    <n v="37670"/>
    <n v="55"/>
    <x v="1"/>
    <m/>
    <m/>
    <m/>
  </r>
  <r>
    <x v="18"/>
    <x v="2"/>
    <x v="4"/>
    <s v="Reels"/>
    <n v="71105"/>
    <n v="2533"/>
    <n v="448.88"/>
    <n v="57303"/>
    <n v="110"/>
    <x v="1"/>
    <m/>
    <m/>
    <m/>
  </r>
  <r>
    <x v="18"/>
    <x v="2"/>
    <x v="5"/>
    <s v="Stories"/>
    <n v="63821"/>
    <n v="2791"/>
    <n v="538.03"/>
    <n v="48005"/>
    <n v="106"/>
    <x v="1"/>
    <m/>
    <m/>
    <m/>
  </r>
  <r>
    <x v="19"/>
    <x v="0"/>
    <x v="4"/>
    <s v="Reels"/>
    <n v="80564"/>
    <n v="3399"/>
    <n v="619.80999999999995"/>
    <n v="60790"/>
    <n v="109"/>
    <x v="1"/>
    <m/>
    <m/>
    <m/>
  </r>
  <r>
    <x v="19"/>
    <x v="0"/>
    <x v="5"/>
    <s v="Reels"/>
    <n v="100960"/>
    <n v="4697"/>
    <n v="832.91"/>
    <n v="81645"/>
    <n v="270"/>
    <x v="1"/>
    <m/>
    <m/>
    <m/>
  </r>
  <r>
    <x v="19"/>
    <x v="1"/>
    <x v="6"/>
    <s v="Reels"/>
    <n v="57312"/>
    <n v="2122"/>
    <n v="305.92"/>
    <n v="42553"/>
    <n v="125"/>
    <x v="1"/>
    <m/>
    <m/>
    <m/>
  </r>
  <r>
    <x v="19"/>
    <x v="1"/>
    <x v="7"/>
    <s v="Feed"/>
    <n v="36669"/>
    <n v="1564"/>
    <n v="259.12"/>
    <n v="26493"/>
    <n v="95"/>
    <x v="1"/>
    <m/>
    <m/>
    <m/>
  </r>
  <r>
    <x v="19"/>
    <x v="2"/>
    <x v="4"/>
    <s v="Reels"/>
    <n v="57377"/>
    <n v="2459"/>
    <n v="470.12"/>
    <n v="45401"/>
    <n v="150"/>
    <x v="1"/>
    <m/>
    <m/>
    <m/>
  </r>
  <r>
    <x v="19"/>
    <x v="2"/>
    <x v="5"/>
    <s v="Stories"/>
    <n v="99003"/>
    <n v="4551"/>
    <n v="766.18"/>
    <n v="71818"/>
    <n v="148"/>
    <x v="1"/>
    <m/>
    <m/>
    <m/>
  </r>
  <r>
    <x v="20"/>
    <x v="0"/>
    <x v="4"/>
    <s v="Stories"/>
    <n v="64922"/>
    <n v="2623"/>
    <n v="393.55"/>
    <n v="47885"/>
    <n v="91"/>
    <x v="1"/>
    <m/>
    <m/>
    <m/>
  </r>
  <r>
    <x v="20"/>
    <x v="0"/>
    <x v="5"/>
    <s v="Feed"/>
    <n v="131493"/>
    <n v="4914"/>
    <n v="832.63"/>
    <n v="100209"/>
    <n v="237"/>
    <x v="1"/>
    <m/>
    <m/>
    <m/>
  </r>
  <r>
    <x v="20"/>
    <x v="1"/>
    <x v="6"/>
    <s v="Stories"/>
    <n v="68231"/>
    <n v="2581"/>
    <n v="363.44"/>
    <n v="52013"/>
    <n v="137"/>
    <x v="1"/>
    <m/>
    <m/>
    <m/>
  </r>
  <r>
    <x v="20"/>
    <x v="1"/>
    <x v="7"/>
    <s v="Stories"/>
    <n v="49779"/>
    <n v="1807"/>
    <n v="309.27999999999997"/>
    <n v="39662"/>
    <n v="65"/>
    <x v="1"/>
    <m/>
    <m/>
    <m/>
  </r>
  <r>
    <x v="20"/>
    <x v="2"/>
    <x v="4"/>
    <s v="Reels"/>
    <n v="63869"/>
    <n v="2717"/>
    <n v="403.47"/>
    <n v="49801"/>
    <n v="106"/>
    <x v="1"/>
    <m/>
    <m/>
    <m/>
  </r>
  <r>
    <x v="20"/>
    <x v="2"/>
    <x v="5"/>
    <s v="Stories"/>
    <n v="82109"/>
    <n v="2898"/>
    <n v="421.24"/>
    <n v="68189"/>
    <n v="125"/>
    <x v="1"/>
    <m/>
    <m/>
    <m/>
  </r>
  <r>
    <x v="21"/>
    <x v="0"/>
    <x v="4"/>
    <s v="Reels"/>
    <n v="70903"/>
    <n v="3263"/>
    <n v="589.72"/>
    <n v="58701"/>
    <n v="148"/>
    <x v="1"/>
    <m/>
    <m/>
    <m/>
  </r>
  <r>
    <x v="21"/>
    <x v="0"/>
    <x v="5"/>
    <s v="Reels"/>
    <n v="69774"/>
    <n v="3249"/>
    <n v="522.86"/>
    <n v="53010"/>
    <n v="161"/>
    <x v="1"/>
    <m/>
    <m/>
    <m/>
  </r>
  <r>
    <x v="21"/>
    <x v="1"/>
    <x v="6"/>
    <s v="Stories"/>
    <n v="75543"/>
    <n v="2647"/>
    <n v="462.62"/>
    <n v="60753"/>
    <n v="150"/>
    <x v="1"/>
    <m/>
    <m/>
    <m/>
  </r>
  <r>
    <x v="21"/>
    <x v="1"/>
    <x v="7"/>
    <s v="Feed"/>
    <n v="91814"/>
    <n v="4106"/>
    <n v="714.44"/>
    <n v="74837"/>
    <n v="174"/>
    <x v="1"/>
    <m/>
    <m/>
    <m/>
  </r>
  <r>
    <x v="21"/>
    <x v="2"/>
    <x v="4"/>
    <s v="Reels"/>
    <n v="36092"/>
    <n v="1443"/>
    <n v="261.37"/>
    <n v="28005"/>
    <n v="52"/>
    <x v="1"/>
    <m/>
    <m/>
    <m/>
  </r>
  <r>
    <x v="21"/>
    <x v="2"/>
    <x v="5"/>
    <s v="Stories"/>
    <n v="116762"/>
    <n v="4779"/>
    <n v="715.69"/>
    <n v="90889"/>
    <n v="162"/>
    <x v="1"/>
    <m/>
    <m/>
    <m/>
  </r>
  <r>
    <x v="22"/>
    <x v="0"/>
    <x v="4"/>
    <s v="Stories"/>
    <n v="37043"/>
    <n v="1454"/>
    <n v="222.52"/>
    <n v="30340"/>
    <n v="51"/>
    <x v="1"/>
    <m/>
    <m/>
    <m/>
  </r>
  <r>
    <x v="22"/>
    <x v="0"/>
    <x v="5"/>
    <s v="Feed"/>
    <n v="75084"/>
    <n v="2408"/>
    <n v="388.01"/>
    <n v="61575"/>
    <n v="80"/>
    <x v="1"/>
    <m/>
    <m/>
    <m/>
  </r>
  <r>
    <x v="22"/>
    <x v="1"/>
    <x v="6"/>
    <s v="Reels"/>
    <n v="80903"/>
    <n v="3726"/>
    <n v="697.19"/>
    <n v="63123"/>
    <n v="226"/>
    <x v="1"/>
    <m/>
    <m/>
    <m/>
  </r>
  <r>
    <x v="22"/>
    <x v="1"/>
    <x v="7"/>
    <s v="Feed"/>
    <n v="46272"/>
    <n v="2008"/>
    <n v="298.31"/>
    <n v="37386"/>
    <n v="90"/>
    <x v="1"/>
    <m/>
    <m/>
    <m/>
  </r>
  <r>
    <x v="22"/>
    <x v="2"/>
    <x v="4"/>
    <s v="Reels"/>
    <n v="73116"/>
    <n v="2595"/>
    <n v="436.97"/>
    <n v="55755"/>
    <n v="146"/>
    <x v="1"/>
    <m/>
    <m/>
    <m/>
  </r>
  <r>
    <x v="22"/>
    <x v="2"/>
    <x v="5"/>
    <s v="Stories"/>
    <n v="90386"/>
    <n v="3469"/>
    <n v="673.85"/>
    <n v="74764"/>
    <n v="206"/>
    <x v="1"/>
    <m/>
    <m/>
    <m/>
  </r>
  <r>
    <x v="23"/>
    <x v="0"/>
    <x v="4"/>
    <s v="Stories"/>
    <n v="80801"/>
    <n v="3314"/>
    <n v="598.96"/>
    <n v="61303"/>
    <n v="163"/>
    <x v="1"/>
    <m/>
    <m/>
    <m/>
  </r>
  <r>
    <x v="23"/>
    <x v="0"/>
    <x v="5"/>
    <s v="Reels"/>
    <n v="94878"/>
    <n v="3242"/>
    <n v="561.70000000000005"/>
    <n v="71739"/>
    <n v="112"/>
    <x v="1"/>
    <m/>
    <m/>
    <m/>
  </r>
  <r>
    <x v="23"/>
    <x v="1"/>
    <x v="6"/>
    <s v="Stories"/>
    <n v="149160"/>
    <n v="5210"/>
    <n v="973.98"/>
    <n v="122320"/>
    <n v="181"/>
    <x v="1"/>
    <m/>
    <m/>
    <m/>
  </r>
  <r>
    <x v="23"/>
    <x v="1"/>
    <x v="7"/>
    <s v="Stories"/>
    <n v="176373"/>
    <n v="6527"/>
    <n v="1279.9000000000001"/>
    <n v="142070"/>
    <n v="300"/>
    <x v="1"/>
    <m/>
    <m/>
    <m/>
  </r>
  <r>
    <x v="23"/>
    <x v="3"/>
    <x v="4"/>
    <s v="Reels"/>
    <n v="134611"/>
    <n v="5213"/>
    <n v="858.14"/>
    <n v="97366"/>
    <n v="254"/>
    <x v="1"/>
    <m/>
    <m/>
    <m/>
  </r>
  <r>
    <x v="23"/>
    <x v="3"/>
    <x v="5"/>
    <s v="Reels"/>
    <n v="65225"/>
    <n v="2876"/>
    <n v="508.8"/>
    <n v="49328"/>
    <n v="112"/>
    <x v="1"/>
    <m/>
    <m/>
    <m/>
  </r>
  <r>
    <x v="23"/>
    <x v="2"/>
    <x v="4"/>
    <s v="Reels"/>
    <n v="72354"/>
    <n v="3034"/>
    <n v="588.58000000000004"/>
    <n v="59716"/>
    <n v="101"/>
    <x v="1"/>
    <m/>
    <m/>
    <m/>
  </r>
  <r>
    <x v="23"/>
    <x v="2"/>
    <x v="5"/>
    <s v="Stories"/>
    <n v="72108"/>
    <n v="2772"/>
    <n v="389.07"/>
    <n v="58904"/>
    <n v="161"/>
    <x v="1"/>
    <m/>
    <m/>
    <m/>
  </r>
  <r>
    <x v="24"/>
    <x v="0"/>
    <x v="4"/>
    <s v="Stories"/>
    <n v="58972"/>
    <n v="1966"/>
    <n v="307.11"/>
    <n v="49438"/>
    <n v="69"/>
    <x v="1"/>
    <m/>
    <m/>
    <m/>
  </r>
  <r>
    <x v="24"/>
    <x v="0"/>
    <x v="5"/>
    <s v="Reels"/>
    <n v="102320"/>
    <n v="4199"/>
    <n v="761.85"/>
    <n v="84282"/>
    <n v="149"/>
    <x v="1"/>
    <m/>
    <m/>
    <m/>
  </r>
  <r>
    <x v="24"/>
    <x v="1"/>
    <x v="6"/>
    <s v="Reels"/>
    <n v="177738"/>
    <n v="6270"/>
    <n v="932.03"/>
    <n v="143763"/>
    <n v="293"/>
    <x v="1"/>
    <m/>
    <m/>
    <m/>
  </r>
  <r>
    <x v="24"/>
    <x v="1"/>
    <x v="7"/>
    <s v="Feed"/>
    <n v="172986"/>
    <n v="7306"/>
    <n v="1090.69"/>
    <n v="137591"/>
    <n v="391"/>
    <x v="1"/>
    <m/>
    <m/>
    <m/>
  </r>
  <r>
    <x v="24"/>
    <x v="3"/>
    <x v="4"/>
    <s v="Reels"/>
    <n v="137989"/>
    <n v="5792"/>
    <n v="880.63"/>
    <n v="100463"/>
    <n v="211"/>
    <x v="1"/>
    <m/>
    <m/>
    <m/>
  </r>
  <r>
    <x v="24"/>
    <x v="3"/>
    <x v="5"/>
    <s v="Stories"/>
    <n v="144387"/>
    <n v="4844"/>
    <n v="737.54"/>
    <n v="112166"/>
    <n v="276"/>
    <x v="1"/>
    <m/>
    <m/>
    <m/>
  </r>
  <r>
    <x v="24"/>
    <x v="2"/>
    <x v="4"/>
    <s v="Reels"/>
    <n v="120695"/>
    <n v="3969"/>
    <n v="584.66999999999996"/>
    <n v="92759"/>
    <n v="244"/>
    <x v="1"/>
    <m/>
    <m/>
    <m/>
  </r>
  <r>
    <x v="24"/>
    <x v="2"/>
    <x v="5"/>
    <s v="Stories"/>
    <n v="149322"/>
    <n v="5400"/>
    <n v="954.53"/>
    <n v="115380"/>
    <n v="279"/>
    <x v="1"/>
    <m/>
    <m/>
    <m/>
  </r>
  <r>
    <x v="25"/>
    <x v="0"/>
    <x v="4"/>
    <s v="Reels"/>
    <n v="91669"/>
    <n v="3147"/>
    <n v="444.67"/>
    <n v="67560"/>
    <n v="171"/>
    <x v="1"/>
    <m/>
    <m/>
    <m/>
  </r>
  <r>
    <x v="25"/>
    <x v="0"/>
    <x v="5"/>
    <s v="Reels"/>
    <n v="57383"/>
    <n v="2305"/>
    <n v="419.46"/>
    <n v="42695"/>
    <n v="106"/>
    <x v="1"/>
    <m/>
    <m/>
    <m/>
  </r>
  <r>
    <x v="25"/>
    <x v="1"/>
    <x v="6"/>
    <s v="Stories"/>
    <n v="122495"/>
    <n v="4115"/>
    <n v="721.47"/>
    <n v="93596"/>
    <n v="165"/>
    <x v="1"/>
    <m/>
    <m/>
    <m/>
  </r>
  <r>
    <x v="25"/>
    <x v="1"/>
    <x v="7"/>
    <s v="Stories"/>
    <n v="126442"/>
    <n v="5664"/>
    <n v="950.63"/>
    <n v="103381"/>
    <n v="206"/>
    <x v="1"/>
    <m/>
    <m/>
    <m/>
  </r>
  <r>
    <x v="25"/>
    <x v="2"/>
    <x v="4"/>
    <s v="Reels"/>
    <n v="94910"/>
    <n v="3219"/>
    <n v="525.87"/>
    <n v="74947"/>
    <n v="106"/>
    <x v="1"/>
    <m/>
    <m/>
    <m/>
  </r>
  <r>
    <x v="25"/>
    <x v="2"/>
    <x v="5"/>
    <s v="Stories"/>
    <n v="40587"/>
    <n v="1888"/>
    <n v="304.5"/>
    <n v="29901"/>
    <n v="110"/>
    <x v="1"/>
    <m/>
    <m/>
    <m/>
  </r>
  <r>
    <x v="26"/>
    <x v="0"/>
    <x v="4"/>
    <s v="Stories"/>
    <n v="71294"/>
    <n v="2291"/>
    <n v="342.5"/>
    <n v="55614"/>
    <n v="132"/>
    <x v="1"/>
    <m/>
    <m/>
    <m/>
  </r>
  <r>
    <x v="26"/>
    <x v="0"/>
    <x v="5"/>
    <s v="Reels"/>
    <n v="80722"/>
    <n v="3748"/>
    <n v="642.79"/>
    <n v="63089"/>
    <n v="139"/>
    <x v="1"/>
    <m/>
    <m/>
    <m/>
  </r>
  <r>
    <x v="26"/>
    <x v="1"/>
    <x v="6"/>
    <s v="Reels"/>
    <n v="81119"/>
    <n v="3447"/>
    <n v="599.04999999999995"/>
    <n v="62878"/>
    <n v="199"/>
    <x v="1"/>
    <m/>
    <m/>
    <m/>
  </r>
  <r>
    <x v="26"/>
    <x v="1"/>
    <x v="7"/>
    <s v="Feed"/>
    <n v="71482"/>
    <n v="3185"/>
    <n v="571.73"/>
    <n v="59388"/>
    <n v="108"/>
    <x v="1"/>
    <m/>
    <m/>
    <m/>
  </r>
  <r>
    <x v="26"/>
    <x v="2"/>
    <x v="4"/>
    <s v="Reels"/>
    <n v="84351"/>
    <n v="3998"/>
    <n v="705.05"/>
    <n v="62558"/>
    <n v="212"/>
    <x v="1"/>
    <m/>
    <m/>
    <m/>
  </r>
  <r>
    <x v="26"/>
    <x v="2"/>
    <x v="5"/>
    <s v="Stories"/>
    <n v="51963"/>
    <n v="2242"/>
    <n v="393.09"/>
    <n v="41034"/>
    <n v="111"/>
    <x v="1"/>
    <m/>
    <m/>
    <m/>
  </r>
  <r>
    <x v="27"/>
    <x v="0"/>
    <x v="4"/>
    <s v="Stories"/>
    <n v="43856"/>
    <n v="1434"/>
    <n v="274.07"/>
    <n v="32414"/>
    <n v="50"/>
    <x v="1"/>
    <m/>
    <m/>
    <m/>
  </r>
  <r>
    <x v="27"/>
    <x v="0"/>
    <x v="5"/>
    <s v="Reels"/>
    <n v="100461"/>
    <n v="4716"/>
    <n v="795.05"/>
    <n v="81492"/>
    <n v="289"/>
    <x v="1"/>
    <m/>
    <m/>
    <m/>
  </r>
  <r>
    <x v="27"/>
    <x v="1"/>
    <x v="6"/>
    <s v="Reels"/>
    <n v="48819"/>
    <n v="2265"/>
    <n v="340.75"/>
    <n v="40378"/>
    <n v="123"/>
    <x v="1"/>
    <m/>
    <m/>
    <m/>
  </r>
  <r>
    <x v="27"/>
    <x v="1"/>
    <x v="7"/>
    <s v="Stories"/>
    <n v="43437"/>
    <n v="1433"/>
    <n v="222.16"/>
    <n v="31469"/>
    <n v="78"/>
    <x v="1"/>
    <m/>
    <m/>
    <m/>
  </r>
  <r>
    <x v="27"/>
    <x v="2"/>
    <x v="4"/>
    <s v="Reels"/>
    <n v="84063"/>
    <n v="3505"/>
    <n v="667.49"/>
    <n v="69841"/>
    <n v="145"/>
    <x v="1"/>
    <m/>
    <m/>
    <m/>
  </r>
  <r>
    <x v="27"/>
    <x v="2"/>
    <x v="5"/>
    <s v="Stories"/>
    <n v="84496"/>
    <n v="2883"/>
    <n v="513.88"/>
    <n v="66479"/>
    <n v="109"/>
    <x v="1"/>
    <m/>
    <m/>
    <m/>
  </r>
  <r>
    <x v="28"/>
    <x v="0"/>
    <x v="4"/>
    <s v="Stories"/>
    <n v="92345"/>
    <n v="3958"/>
    <n v="607.66999999999996"/>
    <n v="74712"/>
    <n v="178"/>
    <x v="1"/>
    <m/>
    <m/>
    <m/>
  </r>
  <r>
    <x v="28"/>
    <x v="0"/>
    <x v="5"/>
    <s v="Reels"/>
    <n v="46274"/>
    <n v="1911"/>
    <n v="339.67"/>
    <n v="37030"/>
    <n v="72"/>
    <x v="1"/>
    <m/>
    <m/>
    <m/>
  </r>
  <r>
    <x v="28"/>
    <x v="1"/>
    <x v="6"/>
    <s v="Reels"/>
    <n v="35686"/>
    <n v="1347"/>
    <n v="221.56"/>
    <n v="28034"/>
    <n v="46"/>
    <x v="1"/>
    <m/>
    <m/>
    <m/>
  </r>
  <r>
    <x v="28"/>
    <x v="1"/>
    <x v="7"/>
    <s v="Feed"/>
    <n v="124438"/>
    <n v="5435"/>
    <n v="1057.97"/>
    <n v="99185"/>
    <n v="254"/>
    <x v="1"/>
    <m/>
    <m/>
    <m/>
  </r>
  <r>
    <x v="28"/>
    <x v="2"/>
    <x v="4"/>
    <s v="Reels"/>
    <n v="109759"/>
    <n v="4965"/>
    <n v="844.3"/>
    <n v="83721"/>
    <n v="292"/>
    <x v="1"/>
    <m/>
    <m/>
    <m/>
  </r>
  <r>
    <x v="28"/>
    <x v="2"/>
    <x v="5"/>
    <s v="Stories"/>
    <n v="43802"/>
    <n v="1709"/>
    <n v="303.39999999999998"/>
    <n v="36131"/>
    <n v="83"/>
    <x v="1"/>
    <m/>
    <m/>
    <m/>
  </r>
  <r>
    <x v="29"/>
    <x v="0"/>
    <x v="4"/>
    <s v="Reels"/>
    <n v="102796"/>
    <n v="3779"/>
    <n v="555.79999999999995"/>
    <n v="76857"/>
    <n v="189"/>
    <x v="1"/>
    <m/>
    <m/>
    <m/>
  </r>
  <r>
    <x v="29"/>
    <x v="0"/>
    <x v="5"/>
    <s v="Feed"/>
    <n v="37954"/>
    <n v="1350"/>
    <n v="265.19"/>
    <n v="31527"/>
    <n v="53"/>
    <x v="1"/>
    <m/>
    <m/>
    <m/>
  </r>
  <r>
    <x v="29"/>
    <x v="1"/>
    <x v="6"/>
    <s v="Stories"/>
    <n v="43906"/>
    <n v="2017"/>
    <n v="301.48"/>
    <n v="33130"/>
    <n v="96"/>
    <x v="1"/>
    <m/>
    <m/>
    <m/>
  </r>
  <r>
    <x v="29"/>
    <x v="1"/>
    <x v="7"/>
    <s v="Feed"/>
    <n v="102863"/>
    <n v="4825"/>
    <n v="820.26"/>
    <n v="78989"/>
    <n v="162"/>
    <x v="1"/>
    <m/>
    <m/>
    <m/>
  </r>
  <r>
    <x v="29"/>
    <x v="2"/>
    <x v="4"/>
    <s v="Reels"/>
    <n v="111385"/>
    <n v="4403"/>
    <n v="858.78"/>
    <n v="83713"/>
    <n v="144"/>
    <x v="1"/>
    <m/>
    <m/>
    <m/>
  </r>
  <r>
    <x v="29"/>
    <x v="2"/>
    <x v="5"/>
    <s v="Stories"/>
    <n v="90234"/>
    <n v="3264"/>
    <n v="522.48"/>
    <n v="73249"/>
    <n v="118"/>
    <x v="1"/>
    <m/>
    <m/>
    <m/>
  </r>
  <r>
    <x v="30"/>
    <x v="0"/>
    <x v="4"/>
    <s v="Stories"/>
    <n v="187972"/>
    <n v="8010"/>
    <n v="1543.5"/>
    <n v="140654"/>
    <n v="273"/>
    <x v="1"/>
    <m/>
    <m/>
    <m/>
  </r>
  <r>
    <x v="30"/>
    <x v="0"/>
    <x v="5"/>
    <s v="Reels"/>
    <n v="112462"/>
    <n v="5364"/>
    <n v="1056.68"/>
    <n v="89044"/>
    <n v="270"/>
    <x v="1"/>
    <m/>
    <m/>
    <m/>
  </r>
  <r>
    <x v="30"/>
    <x v="1"/>
    <x v="6"/>
    <s v="Reels"/>
    <n v="150186"/>
    <n v="5956"/>
    <n v="880.11"/>
    <n v="121170"/>
    <n v="209"/>
    <x v="1"/>
    <m/>
    <m/>
    <m/>
  </r>
  <r>
    <x v="30"/>
    <x v="1"/>
    <x v="7"/>
    <s v="Stories"/>
    <n v="142144"/>
    <n v="5060"/>
    <n v="814.74"/>
    <n v="110490"/>
    <n v="280"/>
    <x v="1"/>
    <m/>
    <m/>
    <m/>
  </r>
  <r>
    <x v="30"/>
    <x v="3"/>
    <x v="4"/>
    <s v="Reels"/>
    <n v="52934"/>
    <n v="2482"/>
    <n v="351.4"/>
    <n v="43078"/>
    <n v="94"/>
    <x v="1"/>
    <m/>
    <m/>
    <m/>
  </r>
  <r>
    <x v="30"/>
    <x v="3"/>
    <x v="5"/>
    <s v="Reels"/>
    <n v="174136"/>
    <n v="7476"/>
    <n v="1054.76"/>
    <n v="135453"/>
    <n v="326"/>
    <x v="1"/>
    <m/>
    <m/>
    <m/>
  </r>
  <r>
    <x v="30"/>
    <x v="2"/>
    <x v="4"/>
    <s v="Reels"/>
    <n v="176612"/>
    <n v="6005"/>
    <n v="1093.3900000000001"/>
    <n v="138807"/>
    <n v="212"/>
    <x v="1"/>
    <m/>
    <m/>
    <m/>
  </r>
  <r>
    <x v="30"/>
    <x v="2"/>
    <x v="5"/>
    <s v="Stories"/>
    <n v="161971"/>
    <n v="7729"/>
    <n v="1252.58"/>
    <n v="120382"/>
    <n v="348"/>
    <x v="1"/>
    <m/>
    <m/>
    <m/>
  </r>
  <r>
    <x v="31"/>
    <x v="0"/>
    <x v="4"/>
    <s v="Reels"/>
    <n v="92703"/>
    <n v="3310"/>
    <n v="580.29999999999995"/>
    <n v="69272"/>
    <n v="180"/>
    <x v="1"/>
    <m/>
    <m/>
    <m/>
  </r>
  <r>
    <x v="31"/>
    <x v="0"/>
    <x v="5"/>
    <s v="Reels"/>
    <n v="51732"/>
    <n v="2378"/>
    <n v="368.58"/>
    <n v="37600"/>
    <n v="80"/>
    <x v="1"/>
    <m/>
    <m/>
    <m/>
  </r>
  <r>
    <x v="31"/>
    <x v="1"/>
    <x v="6"/>
    <s v="Stories"/>
    <n v="82138"/>
    <n v="2999"/>
    <n v="476.38"/>
    <n v="65077"/>
    <n v="176"/>
    <x v="1"/>
    <m/>
    <m/>
    <m/>
  </r>
  <r>
    <x v="31"/>
    <x v="1"/>
    <x v="7"/>
    <s v="Stories"/>
    <n v="72802"/>
    <n v="3035"/>
    <n v="512.07000000000005"/>
    <n v="53486"/>
    <n v="104"/>
    <x v="1"/>
    <m/>
    <m/>
    <m/>
  </r>
  <r>
    <x v="31"/>
    <x v="3"/>
    <x v="4"/>
    <s v="Reels"/>
    <n v="148758"/>
    <n v="5250"/>
    <n v="957.16"/>
    <n v="121626"/>
    <n v="309"/>
    <x v="1"/>
    <m/>
    <m/>
    <m/>
  </r>
  <r>
    <x v="31"/>
    <x v="3"/>
    <x v="5"/>
    <s v="Stories"/>
    <n v="130388"/>
    <n v="5660"/>
    <n v="1112.1099999999999"/>
    <n v="106086"/>
    <n v="230"/>
    <x v="1"/>
    <m/>
    <m/>
    <m/>
  </r>
  <r>
    <x v="31"/>
    <x v="4"/>
    <x v="8"/>
    <s v="Reels"/>
    <n v="145675"/>
    <n v="6742"/>
    <n v="1072.8599999999999"/>
    <n v="114350"/>
    <n v="236"/>
    <x v="1"/>
    <m/>
    <m/>
    <m/>
  </r>
  <r>
    <x v="31"/>
    <x v="4"/>
    <x v="4"/>
    <s v="Reels"/>
    <n v="124387"/>
    <n v="5384"/>
    <n v="954.65"/>
    <n v="93734"/>
    <n v="205"/>
    <x v="1"/>
    <m/>
    <m/>
    <m/>
  </r>
  <r>
    <x v="32"/>
    <x v="0"/>
    <x v="4"/>
    <s v="Reels"/>
    <n v="103287"/>
    <n v="3686"/>
    <n v="680.12"/>
    <n v="76979"/>
    <n v="159"/>
    <x v="1"/>
    <m/>
    <m/>
    <m/>
  </r>
  <r>
    <x v="32"/>
    <x v="0"/>
    <x v="5"/>
    <s v="Reels"/>
    <n v="39701"/>
    <n v="1891"/>
    <n v="343.97"/>
    <n v="31680"/>
    <n v="86"/>
    <x v="1"/>
    <m/>
    <m/>
    <m/>
  </r>
  <r>
    <x v="32"/>
    <x v="1"/>
    <x v="6"/>
    <s v="Reels"/>
    <n v="37790"/>
    <n v="1510"/>
    <n v="214.46"/>
    <n v="28469"/>
    <n v="65"/>
    <x v="1"/>
    <m/>
    <m/>
    <m/>
  </r>
  <r>
    <x v="32"/>
    <x v="1"/>
    <x v="7"/>
    <s v="Feed"/>
    <n v="42827"/>
    <n v="1561"/>
    <n v="275.64999999999998"/>
    <n v="33381"/>
    <n v="90"/>
    <x v="1"/>
    <m/>
    <m/>
    <m/>
  </r>
  <r>
    <x v="32"/>
    <x v="4"/>
    <x v="8"/>
    <s v="Stories"/>
    <n v="93198"/>
    <n v="3048"/>
    <n v="464.34"/>
    <n v="69165"/>
    <n v="136"/>
    <x v="1"/>
    <m/>
    <m/>
    <m/>
  </r>
  <r>
    <x v="32"/>
    <x v="4"/>
    <x v="4"/>
    <s v="Reels"/>
    <n v="121560"/>
    <n v="4483"/>
    <n v="773.29"/>
    <n v="92596"/>
    <n v="146"/>
    <x v="1"/>
    <m/>
    <m/>
    <m/>
  </r>
  <r>
    <x v="33"/>
    <x v="0"/>
    <x v="4"/>
    <s v="Stories"/>
    <n v="69410"/>
    <n v="3120"/>
    <n v="547.42999999999995"/>
    <n v="56282"/>
    <n v="131"/>
    <x v="1"/>
    <m/>
    <m/>
    <m/>
  </r>
  <r>
    <x v="33"/>
    <x v="0"/>
    <x v="5"/>
    <s v="Feed"/>
    <n v="91039"/>
    <n v="4053"/>
    <n v="793.23"/>
    <n v="73767"/>
    <n v="227"/>
    <x v="1"/>
    <m/>
    <m/>
    <m/>
  </r>
  <r>
    <x v="33"/>
    <x v="1"/>
    <x v="6"/>
    <s v="Stories"/>
    <n v="129541"/>
    <n v="6078"/>
    <n v="955.74"/>
    <n v="108672"/>
    <n v="292"/>
    <x v="1"/>
    <m/>
    <m/>
    <m/>
  </r>
  <r>
    <x v="33"/>
    <x v="1"/>
    <x v="7"/>
    <s v="Stories"/>
    <n v="110052"/>
    <n v="4788"/>
    <n v="891.24"/>
    <n v="82672"/>
    <n v="291"/>
    <x v="1"/>
    <m/>
    <m/>
    <m/>
  </r>
  <r>
    <x v="33"/>
    <x v="4"/>
    <x v="8"/>
    <s v="Stories"/>
    <n v="132731"/>
    <n v="6355"/>
    <n v="980.54"/>
    <n v="110024"/>
    <n v="256"/>
    <x v="1"/>
    <m/>
    <m/>
    <m/>
  </r>
  <r>
    <x v="33"/>
    <x v="4"/>
    <x v="4"/>
    <s v="Reels"/>
    <n v="46211"/>
    <n v="2217"/>
    <n v="412.98"/>
    <n v="34912"/>
    <n v="108"/>
    <x v="1"/>
    <m/>
    <m/>
    <m/>
  </r>
  <r>
    <x v="34"/>
    <x v="0"/>
    <x v="4"/>
    <s v="Reels"/>
    <n v="115681"/>
    <n v="4209"/>
    <n v="657.13"/>
    <n v="86767"/>
    <n v="217"/>
    <x v="1"/>
    <m/>
    <m/>
    <m/>
  </r>
  <r>
    <x v="34"/>
    <x v="0"/>
    <x v="5"/>
    <s v="Reels"/>
    <n v="51293"/>
    <n v="1893"/>
    <n v="340.07"/>
    <n v="42076"/>
    <n v="108"/>
    <x v="1"/>
    <m/>
    <m/>
    <m/>
  </r>
  <r>
    <x v="34"/>
    <x v="1"/>
    <x v="6"/>
    <s v="Stories"/>
    <n v="95650"/>
    <n v="3087"/>
    <n v="433.82"/>
    <n v="69292"/>
    <n v="132"/>
    <x v="1"/>
    <m/>
    <m/>
    <m/>
  </r>
  <r>
    <x v="34"/>
    <x v="1"/>
    <x v="7"/>
    <s v="Feed"/>
    <n v="88557"/>
    <n v="2916"/>
    <n v="572.5"/>
    <n v="66698"/>
    <n v="146"/>
    <x v="1"/>
    <m/>
    <m/>
    <m/>
  </r>
  <r>
    <x v="34"/>
    <x v="4"/>
    <x v="8"/>
    <s v="Stories"/>
    <n v="43394"/>
    <n v="1694"/>
    <n v="263.38"/>
    <n v="35340"/>
    <n v="67"/>
    <x v="1"/>
    <m/>
    <m/>
    <m/>
  </r>
  <r>
    <x v="34"/>
    <x v="4"/>
    <x v="4"/>
    <s v="Reels"/>
    <n v="51675"/>
    <n v="1841"/>
    <n v="277.01"/>
    <n v="42608"/>
    <n v="95"/>
    <x v="1"/>
    <m/>
    <m/>
    <m/>
  </r>
  <r>
    <x v="35"/>
    <x v="0"/>
    <x v="4"/>
    <s v="Reels"/>
    <n v="50000"/>
    <n v="2123"/>
    <n v="320.69"/>
    <n v="39040"/>
    <n v="95"/>
    <x v="1"/>
    <m/>
    <m/>
    <m/>
  </r>
  <r>
    <x v="35"/>
    <x v="0"/>
    <x v="5"/>
    <s v="Feed"/>
    <n v="40499"/>
    <n v="1654"/>
    <n v="254.18"/>
    <n v="33784"/>
    <n v="102"/>
    <x v="1"/>
    <m/>
    <m/>
    <m/>
  </r>
  <r>
    <x v="35"/>
    <x v="1"/>
    <x v="6"/>
    <s v="Stories"/>
    <n v="37112"/>
    <n v="1590"/>
    <n v="304.39999999999998"/>
    <n v="28294"/>
    <n v="85"/>
    <x v="1"/>
    <m/>
    <m/>
    <m/>
  </r>
  <r>
    <x v="35"/>
    <x v="1"/>
    <x v="7"/>
    <s v="Feed"/>
    <n v="80839"/>
    <n v="2728"/>
    <n v="464.9"/>
    <n v="59302"/>
    <n v="93"/>
    <x v="1"/>
    <m/>
    <m/>
    <m/>
  </r>
  <r>
    <x v="35"/>
    <x v="4"/>
    <x v="8"/>
    <s v="Reels"/>
    <n v="77701"/>
    <n v="3195"/>
    <n v="606.25"/>
    <n v="62294"/>
    <n v="109"/>
    <x v="1"/>
    <m/>
    <m/>
    <m/>
  </r>
  <r>
    <x v="35"/>
    <x v="4"/>
    <x v="4"/>
    <s v="Reels"/>
    <n v="72104"/>
    <n v="2472"/>
    <n v="394.51"/>
    <n v="58734"/>
    <n v="103"/>
    <x v="1"/>
    <m/>
    <m/>
    <m/>
  </r>
  <r>
    <x v="36"/>
    <x v="0"/>
    <x v="4"/>
    <s v="Stories"/>
    <n v="120456"/>
    <n v="4576"/>
    <n v="899.41"/>
    <n v="90978"/>
    <n v="150"/>
    <x v="1"/>
    <m/>
    <m/>
    <m/>
  </r>
  <r>
    <x v="36"/>
    <x v="0"/>
    <x v="5"/>
    <s v="Feed"/>
    <n v="40847"/>
    <n v="1497"/>
    <n v="223.06"/>
    <n v="32307"/>
    <n v="52"/>
    <x v="1"/>
    <m/>
    <m/>
    <m/>
  </r>
  <r>
    <x v="36"/>
    <x v="1"/>
    <x v="6"/>
    <s v="Reels"/>
    <n v="76039"/>
    <n v="3054"/>
    <n v="570.65"/>
    <n v="59385"/>
    <n v="151"/>
    <x v="1"/>
    <m/>
    <m/>
    <m/>
  </r>
  <r>
    <x v="36"/>
    <x v="1"/>
    <x v="7"/>
    <s v="Stories"/>
    <n v="63163"/>
    <n v="2404"/>
    <n v="420.61"/>
    <n v="50457"/>
    <n v="87"/>
    <x v="1"/>
    <m/>
    <m/>
    <m/>
  </r>
  <r>
    <x v="36"/>
    <x v="4"/>
    <x v="8"/>
    <s v="Reels"/>
    <n v="45133"/>
    <n v="2136"/>
    <n v="426.22"/>
    <n v="35557"/>
    <n v="132"/>
    <x v="1"/>
    <m/>
    <m/>
    <m/>
  </r>
  <r>
    <x v="36"/>
    <x v="4"/>
    <x v="4"/>
    <s v="Reels"/>
    <n v="105643"/>
    <n v="4619"/>
    <n v="881.56"/>
    <n v="82753"/>
    <n v="154"/>
    <x v="1"/>
    <m/>
    <m/>
    <m/>
  </r>
  <r>
    <x v="37"/>
    <x v="0"/>
    <x v="4"/>
    <s v="Stories"/>
    <n v="169962"/>
    <n v="6864"/>
    <n v="1142.5899999999999"/>
    <n v="127862"/>
    <n v="391"/>
    <x v="1"/>
    <m/>
    <m/>
    <m/>
  </r>
  <r>
    <x v="37"/>
    <x v="0"/>
    <x v="5"/>
    <s v="Feed"/>
    <n v="93779"/>
    <n v="3494"/>
    <n v="656.66"/>
    <n v="78520"/>
    <n v="136"/>
    <x v="1"/>
    <m/>
    <m/>
    <m/>
  </r>
  <r>
    <x v="37"/>
    <x v="1"/>
    <x v="6"/>
    <s v="Stories"/>
    <n v="186292"/>
    <n v="8859"/>
    <n v="1608.66"/>
    <n v="144078"/>
    <n v="537"/>
    <x v="1"/>
    <m/>
    <m/>
    <m/>
  </r>
  <r>
    <x v="37"/>
    <x v="1"/>
    <x v="7"/>
    <s v="Stories"/>
    <n v="115404"/>
    <n v="3840"/>
    <n v="666.73"/>
    <n v="84149"/>
    <n v="164"/>
    <x v="1"/>
    <m/>
    <m/>
    <m/>
  </r>
  <r>
    <x v="37"/>
    <x v="3"/>
    <x v="4"/>
    <s v="Reels"/>
    <n v="160057"/>
    <n v="5711"/>
    <n v="1068.97"/>
    <n v="119654"/>
    <n v="324"/>
    <x v="1"/>
    <m/>
    <m/>
    <m/>
  </r>
  <r>
    <x v="37"/>
    <x v="3"/>
    <x v="5"/>
    <s v="Stories"/>
    <n v="147652"/>
    <n v="5303"/>
    <n v="1031.73"/>
    <n v="118253"/>
    <n v="275"/>
    <x v="1"/>
    <m/>
    <m/>
    <m/>
  </r>
  <r>
    <x v="37"/>
    <x v="4"/>
    <x v="8"/>
    <s v="Stories"/>
    <n v="101642"/>
    <n v="3808"/>
    <n v="560.07000000000005"/>
    <n v="78164"/>
    <n v="179"/>
    <x v="1"/>
    <m/>
    <m/>
    <m/>
  </r>
  <r>
    <x v="37"/>
    <x v="4"/>
    <x v="4"/>
    <s v="Reels"/>
    <n v="154698"/>
    <n v="6173"/>
    <n v="1190.69"/>
    <n v="115060"/>
    <n v="230"/>
    <x v="1"/>
    <m/>
    <m/>
    <m/>
  </r>
  <r>
    <x v="38"/>
    <x v="0"/>
    <x v="4"/>
    <s v="Stories"/>
    <n v="51846"/>
    <n v="1797"/>
    <n v="296.72000000000003"/>
    <n v="42091"/>
    <n v="95"/>
    <x v="1"/>
    <m/>
    <m/>
    <m/>
  </r>
  <r>
    <x v="38"/>
    <x v="0"/>
    <x v="5"/>
    <s v="Feed"/>
    <n v="185313"/>
    <n v="6229"/>
    <n v="1197.01"/>
    <n v="151968"/>
    <n v="203"/>
    <x v="1"/>
    <m/>
    <m/>
    <m/>
  </r>
  <r>
    <x v="38"/>
    <x v="1"/>
    <x v="6"/>
    <s v="Reels"/>
    <n v="62397"/>
    <n v="2128"/>
    <n v="408.6"/>
    <n v="51804"/>
    <n v="125"/>
    <x v="1"/>
    <m/>
    <m/>
    <m/>
  </r>
  <r>
    <x v="38"/>
    <x v="1"/>
    <x v="7"/>
    <s v="Stories"/>
    <n v="72387"/>
    <n v="2782"/>
    <n v="482.44"/>
    <n v="58303"/>
    <n v="98"/>
    <x v="1"/>
    <m/>
    <m/>
    <m/>
  </r>
  <r>
    <x v="38"/>
    <x v="3"/>
    <x v="4"/>
    <s v="Reels"/>
    <n v="157536"/>
    <n v="6575"/>
    <n v="963.02"/>
    <n v="127078"/>
    <n v="224"/>
    <x v="1"/>
    <m/>
    <m/>
    <m/>
  </r>
  <r>
    <x v="38"/>
    <x v="3"/>
    <x v="5"/>
    <s v="Reels"/>
    <n v="131371"/>
    <n v="6118"/>
    <n v="1088.0899999999999"/>
    <n v="106263"/>
    <n v="275"/>
    <x v="1"/>
    <m/>
    <m/>
    <m/>
  </r>
  <r>
    <x v="38"/>
    <x v="4"/>
    <x v="8"/>
    <s v="Stories"/>
    <n v="177471"/>
    <n v="6061"/>
    <n v="915.25"/>
    <n v="144091"/>
    <n v="360"/>
    <x v="1"/>
    <m/>
    <m/>
    <m/>
  </r>
  <r>
    <x v="38"/>
    <x v="4"/>
    <x v="4"/>
    <s v="Reels"/>
    <n v="76938"/>
    <n v="3564"/>
    <n v="625.89"/>
    <n v="58810"/>
    <n v="183"/>
    <x v="1"/>
    <m/>
    <m/>
    <m/>
  </r>
  <r>
    <x v="39"/>
    <x v="0"/>
    <x v="4"/>
    <s v="Stories"/>
    <n v="123200"/>
    <n v="4806"/>
    <n v="819.52"/>
    <n v="97398"/>
    <n v="290"/>
    <x v="1"/>
    <m/>
    <m/>
    <m/>
  </r>
  <r>
    <x v="39"/>
    <x v="0"/>
    <x v="5"/>
    <s v="Reels"/>
    <n v="104708"/>
    <n v="3848"/>
    <n v="617.48"/>
    <n v="82478"/>
    <n v="226"/>
    <x v="1"/>
    <m/>
    <m/>
    <m/>
  </r>
  <r>
    <x v="39"/>
    <x v="1"/>
    <x v="6"/>
    <s v="Stories"/>
    <n v="115822"/>
    <n v="4304"/>
    <n v="684.83"/>
    <n v="85871"/>
    <n v="156"/>
    <x v="1"/>
    <m/>
    <m/>
    <m/>
  </r>
  <r>
    <x v="39"/>
    <x v="1"/>
    <x v="7"/>
    <s v="Feed"/>
    <n v="146289"/>
    <n v="5896"/>
    <n v="1028.9000000000001"/>
    <n v="116132"/>
    <n v="206"/>
    <x v="1"/>
    <m/>
    <m/>
    <m/>
  </r>
  <r>
    <x v="39"/>
    <x v="4"/>
    <x v="8"/>
    <s v="Stories"/>
    <n v="90726"/>
    <n v="3075"/>
    <n v="481.03"/>
    <n v="70101"/>
    <n v="180"/>
    <x v="1"/>
    <m/>
    <m/>
    <m/>
  </r>
  <r>
    <x v="39"/>
    <x v="4"/>
    <x v="4"/>
    <s v="Reels"/>
    <n v="110404"/>
    <n v="5279"/>
    <n v="977.71"/>
    <n v="91739"/>
    <n v="274"/>
    <x v="1"/>
    <m/>
    <m/>
    <m/>
  </r>
  <r>
    <x v="40"/>
    <x v="0"/>
    <x v="4"/>
    <s v="Reels"/>
    <n v="76126"/>
    <n v="2687"/>
    <n v="511.41"/>
    <n v="61706"/>
    <n v="88"/>
    <x v="1"/>
    <m/>
    <m/>
    <m/>
  </r>
  <r>
    <x v="40"/>
    <x v="0"/>
    <x v="5"/>
    <s v="Reels"/>
    <n v="169209"/>
    <n v="6871"/>
    <n v="1042.3900000000001"/>
    <n v="131746"/>
    <n v="389"/>
    <x v="1"/>
    <m/>
    <m/>
    <m/>
  </r>
  <r>
    <x v="40"/>
    <x v="1"/>
    <x v="6"/>
    <s v="Stories"/>
    <n v="98601"/>
    <n v="3599"/>
    <n v="708.55"/>
    <n v="76039"/>
    <n v="163"/>
    <x v="1"/>
    <m/>
    <m/>
    <m/>
  </r>
  <r>
    <x v="40"/>
    <x v="1"/>
    <x v="7"/>
    <s v="Feed"/>
    <n v="151177"/>
    <n v="5551"/>
    <n v="813.65"/>
    <n v="121661"/>
    <n v="318"/>
    <x v="1"/>
    <m/>
    <m/>
    <m/>
  </r>
  <r>
    <x v="40"/>
    <x v="4"/>
    <x v="8"/>
    <s v="Stories"/>
    <n v="146651"/>
    <n v="5850"/>
    <n v="849.49"/>
    <n v="107996"/>
    <n v="236"/>
    <x v="1"/>
    <m/>
    <m/>
    <m/>
  </r>
  <r>
    <x v="40"/>
    <x v="4"/>
    <x v="4"/>
    <s v="Reels"/>
    <n v="130179"/>
    <n v="5839"/>
    <n v="1078.21"/>
    <n v="97203"/>
    <n v="199"/>
    <x v="1"/>
    <m/>
    <m/>
    <m/>
  </r>
  <r>
    <x v="41"/>
    <x v="0"/>
    <x v="4"/>
    <s v="Reels"/>
    <n v="162337"/>
    <n v="6065"/>
    <n v="1014.12"/>
    <n v="131210"/>
    <n v="316"/>
    <x v="1"/>
    <m/>
    <m/>
    <m/>
  </r>
  <r>
    <x v="41"/>
    <x v="0"/>
    <x v="5"/>
    <s v="Reels"/>
    <n v="204227"/>
    <n v="8783"/>
    <n v="1699.83"/>
    <n v="147983"/>
    <n v="307"/>
    <x v="1"/>
    <m/>
    <m/>
    <m/>
  </r>
  <r>
    <x v="41"/>
    <x v="1"/>
    <x v="6"/>
    <s v="Stories"/>
    <n v="95928"/>
    <n v="4361"/>
    <n v="783.53"/>
    <n v="79170"/>
    <n v="144"/>
    <x v="1"/>
    <m/>
    <m/>
    <m/>
  </r>
  <r>
    <x v="41"/>
    <x v="1"/>
    <x v="7"/>
    <s v="Feed"/>
    <n v="107571"/>
    <n v="3677"/>
    <n v="597.78"/>
    <n v="89625"/>
    <n v="191"/>
    <x v="1"/>
    <m/>
    <m/>
    <m/>
  </r>
  <r>
    <x v="41"/>
    <x v="4"/>
    <x v="8"/>
    <s v="Stories"/>
    <n v="154588"/>
    <n v="5321"/>
    <n v="1004.78"/>
    <n v="124911"/>
    <n v="215"/>
    <x v="1"/>
    <m/>
    <m/>
    <m/>
  </r>
  <r>
    <x v="41"/>
    <x v="4"/>
    <x v="4"/>
    <s v="Reels"/>
    <n v="189120"/>
    <n v="8702"/>
    <n v="1714.73"/>
    <n v="155619"/>
    <n v="474"/>
    <x v="1"/>
    <m/>
    <m/>
    <m/>
  </r>
  <r>
    <x v="42"/>
    <x v="0"/>
    <x v="4"/>
    <s v="Reels"/>
    <n v="147083"/>
    <n v="4864"/>
    <n v="843.73"/>
    <n v="109580"/>
    <n v="181"/>
    <x v="1"/>
    <m/>
    <m/>
    <m/>
  </r>
  <r>
    <x v="42"/>
    <x v="0"/>
    <x v="5"/>
    <s v="Feed"/>
    <n v="200280"/>
    <n v="7251"/>
    <n v="1180.5899999999999"/>
    <n v="158234"/>
    <n v="370"/>
    <x v="1"/>
    <m/>
    <m/>
    <m/>
  </r>
  <r>
    <x v="42"/>
    <x v="1"/>
    <x v="6"/>
    <s v="Stories"/>
    <n v="167244"/>
    <n v="7109"/>
    <n v="1072.06"/>
    <n v="126438"/>
    <n v="276"/>
    <x v="1"/>
    <m/>
    <m/>
    <m/>
  </r>
  <r>
    <x v="42"/>
    <x v="1"/>
    <x v="7"/>
    <s v="Stories"/>
    <n v="196083"/>
    <n v="7796"/>
    <n v="1464.13"/>
    <n v="150408"/>
    <n v="332"/>
    <x v="1"/>
    <m/>
    <m/>
    <m/>
  </r>
  <r>
    <x v="42"/>
    <x v="4"/>
    <x v="8"/>
    <s v="Stories"/>
    <n v="117952"/>
    <n v="3956"/>
    <n v="580.51"/>
    <n v="97393"/>
    <n v="216"/>
    <x v="1"/>
    <m/>
    <m/>
    <m/>
  </r>
  <r>
    <x v="42"/>
    <x v="4"/>
    <x v="4"/>
    <s v="Reels"/>
    <n v="143995"/>
    <n v="6841"/>
    <n v="1091.3"/>
    <n v="115122"/>
    <n v="242"/>
    <x v="1"/>
    <m/>
    <m/>
    <m/>
  </r>
  <r>
    <x v="43"/>
    <x v="0"/>
    <x v="4"/>
    <s v="Stories"/>
    <n v="122878"/>
    <n v="5230"/>
    <n v="841.27"/>
    <n v="94342"/>
    <n v="187"/>
    <x v="1"/>
    <m/>
    <m/>
    <m/>
  </r>
  <r>
    <x v="43"/>
    <x v="0"/>
    <x v="5"/>
    <s v="Feed"/>
    <n v="158587"/>
    <n v="6599"/>
    <n v="1195.96"/>
    <n v="114733"/>
    <n v="264"/>
    <x v="1"/>
    <m/>
    <m/>
    <m/>
  </r>
  <r>
    <x v="43"/>
    <x v="1"/>
    <x v="6"/>
    <s v="Reels"/>
    <n v="141774"/>
    <n v="4674"/>
    <n v="870.8"/>
    <n v="106527"/>
    <n v="194"/>
    <x v="1"/>
    <m/>
    <m/>
    <m/>
  </r>
  <r>
    <x v="43"/>
    <x v="1"/>
    <x v="7"/>
    <s v="Stories"/>
    <n v="148683"/>
    <n v="5769"/>
    <n v="897.9"/>
    <n v="108026"/>
    <n v="268"/>
    <x v="1"/>
    <m/>
    <m/>
    <m/>
  </r>
  <r>
    <x v="43"/>
    <x v="4"/>
    <x v="8"/>
    <s v="Reels"/>
    <n v="127268"/>
    <n v="5368"/>
    <n v="766.22"/>
    <n v="98469"/>
    <n v="207"/>
    <x v="1"/>
    <m/>
    <m/>
    <m/>
  </r>
  <r>
    <x v="43"/>
    <x v="4"/>
    <x v="4"/>
    <s v="Reels"/>
    <n v="168409"/>
    <n v="5944"/>
    <n v="1055.1600000000001"/>
    <n v="140410"/>
    <n v="299"/>
    <x v="1"/>
    <m/>
    <m/>
    <m/>
  </r>
  <r>
    <x v="44"/>
    <x v="0"/>
    <x v="4"/>
    <s v="Stories"/>
    <n v="83097"/>
    <n v="3463"/>
    <n v="488.96"/>
    <n v="67031"/>
    <n v="194"/>
    <x v="1"/>
    <m/>
    <m/>
    <m/>
  </r>
  <r>
    <x v="44"/>
    <x v="0"/>
    <x v="5"/>
    <s v="Reels"/>
    <n v="203792"/>
    <n v="7608"/>
    <n v="1226.1199999999999"/>
    <n v="165463"/>
    <n v="257"/>
    <x v="1"/>
    <m/>
    <m/>
    <m/>
  </r>
  <r>
    <x v="44"/>
    <x v="1"/>
    <x v="6"/>
    <s v="Reels"/>
    <n v="164768"/>
    <n v="5827"/>
    <n v="1002.99"/>
    <n v="138112"/>
    <n v="332"/>
    <x v="1"/>
    <m/>
    <m/>
    <m/>
  </r>
  <r>
    <x v="44"/>
    <x v="1"/>
    <x v="7"/>
    <s v="Stories"/>
    <n v="206537"/>
    <n v="7367"/>
    <n v="1385.56"/>
    <n v="171276"/>
    <n v="309"/>
    <x v="1"/>
    <m/>
    <m/>
    <m/>
  </r>
  <r>
    <x v="44"/>
    <x v="3"/>
    <x v="4"/>
    <s v="Reels"/>
    <n v="171961"/>
    <n v="7520"/>
    <n v="1476.93"/>
    <n v="124556"/>
    <n v="245"/>
    <x v="1"/>
    <m/>
    <m/>
    <m/>
  </r>
  <r>
    <x v="44"/>
    <x v="3"/>
    <x v="5"/>
    <s v="Stories"/>
    <n v="161171"/>
    <n v="6183"/>
    <n v="1045.51"/>
    <n v="119078"/>
    <n v="253"/>
    <x v="1"/>
    <m/>
    <m/>
    <m/>
  </r>
  <r>
    <x v="44"/>
    <x v="4"/>
    <x v="8"/>
    <s v="Reels"/>
    <n v="188446"/>
    <n v="8359"/>
    <n v="1294.3"/>
    <n v="141842"/>
    <n v="298"/>
    <x v="1"/>
    <m/>
    <m/>
    <m/>
  </r>
  <r>
    <x v="44"/>
    <x v="4"/>
    <x v="4"/>
    <s v="Reels"/>
    <n v="193420"/>
    <n v="7429"/>
    <n v="1404.81"/>
    <n v="159609"/>
    <n v="429"/>
    <x v="1"/>
    <m/>
    <m/>
    <m/>
  </r>
  <r>
    <x v="45"/>
    <x v="0"/>
    <x v="4"/>
    <s v="Reels"/>
    <n v="71494"/>
    <n v="2864"/>
    <n v="521.85"/>
    <n v="57761"/>
    <n v="93"/>
    <x v="1"/>
    <m/>
    <m/>
    <m/>
  </r>
  <r>
    <x v="45"/>
    <x v="0"/>
    <x v="5"/>
    <s v="Reels"/>
    <n v="76038"/>
    <n v="3328"/>
    <n v="624.19000000000005"/>
    <n v="56520"/>
    <n v="166"/>
    <x v="1"/>
    <m/>
    <m/>
    <m/>
  </r>
  <r>
    <x v="45"/>
    <x v="1"/>
    <x v="6"/>
    <s v="Stories"/>
    <n v="123889"/>
    <n v="4807"/>
    <n v="887.42"/>
    <n v="93692"/>
    <n v="220"/>
    <x v="1"/>
    <m/>
    <m/>
    <m/>
  </r>
  <r>
    <x v="45"/>
    <x v="1"/>
    <x v="7"/>
    <s v="Feed"/>
    <n v="111420"/>
    <n v="5293"/>
    <n v="924.01"/>
    <n v="85257"/>
    <n v="237"/>
    <x v="1"/>
    <m/>
    <m/>
    <m/>
  </r>
  <r>
    <x v="45"/>
    <x v="3"/>
    <x v="4"/>
    <s v="Reels"/>
    <n v="141212"/>
    <n v="5786"/>
    <n v="977.84"/>
    <n v="117053"/>
    <n v="277"/>
    <x v="1"/>
    <m/>
    <m/>
    <m/>
  </r>
  <r>
    <x v="45"/>
    <x v="3"/>
    <x v="5"/>
    <s v="Stories"/>
    <n v="136196"/>
    <n v="4395"/>
    <n v="746.37"/>
    <n v="104494"/>
    <n v="189"/>
    <x v="1"/>
    <m/>
    <m/>
    <m/>
  </r>
  <r>
    <x v="45"/>
    <x v="4"/>
    <x v="8"/>
    <s v="Reels"/>
    <n v="150846"/>
    <n v="5367"/>
    <n v="1065.4100000000001"/>
    <n v="115801"/>
    <n v="209"/>
    <x v="1"/>
    <m/>
    <m/>
    <m/>
  </r>
  <r>
    <x v="45"/>
    <x v="4"/>
    <x v="4"/>
    <s v="Reels"/>
    <n v="155992"/>
    <n v="6397"/>
    <n v="1142.31"/>
    <n v="118537"/>
    <n v="360"/>
    <x v="1"/>
    <m/>
    <m/>
    <m/>
  </r>
  <r>
    <x v="46"/>
    <x v="0"/>
    <x v="4"/>
    <s v="Reels"/>
    <n v="76003"/>
    <n v="3114"/>
    <n v="474.76"/>
    <n v="63314"/>
    <n v="155"/>
    <x v="1"/>
    <m/>
    <m/>
    <m/>
  </r>
  <r>
    <x v="46"/>
    <x v="0"/>
    <x v="5"/>
    <s v="Reels"/>
    <n v="85638"/>
    <n v="3292"/>
    <n v="626.41999999999996"/>
    <n v="67038"/>
    <n v="188"/>
    <x v="1"/>
    <m/>
    <m/>
    <m/>
  </r>
  <r>
    <x v="46"/>
    <x v="1"/>
    <x v="6"/>
    <s v="Reels"/>
    <n v="68358"/>
    <n v="3026"/>
    <n v="469.4"/>
    <n v="51772"/>
    <n v="127"/>
    <x v="1"/>
    <m/>
    <m/>
    <m/>
  </r>
  <r>
    <x v="46"/>
    <x v="1"/>
    <x v="7"/>
    <s v="Feed"/>
    <n v="63656"/>
    <n v="2364"/>
    <n v="411.14"/>
    <n v="48937"/>
    <n v="76"/>
    <x v="1"/>
    <m/>
    <m/>
    <m/>
  </r>
  <r>
    <x v="46"/>
    <x v="4"/>
    <x v="8"/>
    <s v="Reels"/>
    <n v="214342"/>
    <n v="8787"/>
    <n v="1487.85"/>
    <n v="167182"/>
    <n v="534"/>
    <x v="1"/>
    <m/>
    <m/>
    <m/>
  </r>
  <r>
    <x v="46"/>
    <x v="4"/>
    <x v="4"/>
    <s v="Reels"/>
    <n v="123492"/>
    <n v="4863"/>
    <n v="821.75"/>
    <n v="97135"/>
    <n v="263"/>
    <x v="1"/>
    <m/>
    <m/>
    <m/>
  </r>
  <r>
    <x v="47"/>
    <x v="0"/>
    <x v="4"/>
    <s v="Reels"/>
    <n v="48768"/>
    <n v="1892"/>
    <n v="273.68"/>
    <n v="35857"/>
    <n v="61"/>
    <x v="1"/>
    <m/>
    <m/>
    <m/>
  </r>
  <r>
    <x v="47"/>
    <x v="0"/>
    <x v="5"/>
    <s v="Reels"/>
    <n v="56783"/>
    <n v="1996"/>
    <n v="383.6"/>
    <n v="41658"/>
    <n v="116"/>
    <x v="1"/>
    <m/>
    <m/>
    <m/>
  </r>
  <r>
    <x v="47"/>
    <x v="1"/>
    <x v="6"/>
    <s v="Stories"/>
    <n v="57376"/>
    <n v="2410"/>
    <n v="413.26"/>
    <n v="42273"/>
    <n v="140"/>
    <x v="1"/>
    <m/>
    <m/>
    <m/>
  </r>
  <r>
    <x v="47"/>
    <x v="1"/>
    <x v="7"/>
    <s v="Stories"/>
    <n v="87350"/>
    <n v="2808"/>
    <n v="412.93"/>
    <n v="73329"/>
    <n v="150"/>
    <x v="1"/>
    <m/>
    <m/>
    <m/>
  </r>
  <r>
    <x v="48"/>
    <x v="0"/>
    <x v="4"/>
    <s v="Stories"/>
    <n v="103482"/>
    <n v="3845"/>
    <n v="743.52"/>
    <n v="81508"/>
    <n v="142"/>
    <x v="1"/>
    <m/>
    <m/>
    <m/>
  </r>
  <r>
    <x v="48"/>
    <x v="0"/>
    <x v="5"/>
    <s v="Feed"/>
    <n v="103583"/>
    <n v="4449"/>
    <n v="837.16"/>
    <n v="86413"/>
    <n v="191"/>
    <x v="1"/>
    <m/>
    <m/>
    <m/>
  </r>
  <r>
    <x v="48"/>
    <x v="1"/>
    <x v="6"/>
    <s v="Stories"/>
    <n v="96880"/>
    <n v="3817"/>
    <n v="748.79"/>
    <n v="80531"/>
    <n v="204"/>
    <x v="1"/>
    <m/>
    <m/>
    <m/>
  </r>
  <r>
    <x v="48"/>
    <x v="1"/>
    <x v="7"/>
    <s v="Feed"/>
    <n v="56527"/>
    <n v="2283"/>
    <n v="433.23"/>
    <n v="40766"/>
    <n v="101"/>
    <x v="1"/>
    <m/>
    <m/>
    <m/>
  </r>
  <r>
    <x v="49"/>
    <x v="0"/>
    <x v="4"/>
    <s v="Reels"/>
    <n v="96668"/>
    <n v="3197"/>
    <n v="634.98"/>
    <n v="73218"/>
    <n v="120"/>
    <x v="1"/>
    <m/>
    <m/>
    <m/>
  </r>
  <r>
    <x v="49"/>
    <x v="0"/>
    <x v="5"/>
    <s v="Reels"/>
    <n v="105481"/>
    <n v="4149"/>
    <n v="604.44000000000005"/>
    <n v="83857"/>
    <n v="206"/>
    <x v="1"/>
    <m/>
    <m/>
    <m/>
  </r>
  <r>
    <x v="49"/>
    <x v="1"/>
    <x v="6"/>
    <s v="Reels"/>
    <n v="80934"/>
    <n v="3413"/>
    <n v="658.71"/>
    <n v="61622"/>
    <n v="110"/>
    <x v="1"/>
    <m/>
    <m/>
    <m/>
  </r>
  <r>
    <x v="49"/>
    <x v="1"/>
    <x v="7"/>
    <s v="Feed"/>
    <n v="70989"/>
    <n v="2594"/>
    <n v="505.03"/>
    <n v="54742"/>
    <n v="139"/>
    <x v="1"/>
    <m/>
    <m/>
    <m/>
  </r>
  <r>
    <x v="50"/>
    <x v="0"/>
    <x v="4"/>
    <s v="Stories"/>
    <n v="116854"/>
    <n v="5173"/>
    <n v="1014.21"/>
    <n v="92003"/>
    <n v="265"/>
    <x v="1"/>
    <m/>
    <m/>
    <m/>
  </r>
  <r>
    <x v="50"/>
    <x v="0"/>
    <x v="5"/>
    <s v="Reels"/>
    <n v="45154"/>
    <n v="1873"/>
    <n v="273.79000000000002"/>
    <n v="33683"/>
    <n v="69"/>
    <x v="1"/>
    <m/>
    <m/>
    <m/>
  </r>
  <r>
    <x v="50"/>
    <x v="1"/>
    <x v="6"/>
    <s v="Reels"/>
    <n v="51607"/>
    <n v="2309"/>
    <n v="404.63"/>
    <n v="41901"/>
    <n v="96"/>
    <x v="1"/>
    <m/>
    <m/>
    <m/>
  </r>
  <r>
    <x v="50"/>
    <x v="1"/>
    <x v="7"/>
    <s v="Stories"/>
    <n v="131634"/>
    <n v="6047"/>
    <n v="1089.1199999999999"/>
    <n v="102254"/>
    <n v="223"/>
    <x v="1"/>
    <m/>
    <m/>
    <m/>
  </r>
  <r>
    <x v="51"/>
    <x v="0"/>
    <x v="4"/>
    <s v="Reels"/>
    <n v="88716"/>
    <n v="2968"/>
    <n v="558.58000000000004"/>
    <n v="65435"/>
    <n v="109"/>
    <x v="1"/>
    <m/>
    <m/>
    <m/>
  </r>
  <r>
    <x v="51"/>
    <x v="0"/>
    <x v="5"/>
    <s v="Reels"/>
    <n v="108332"/>
    <n v="3601"/>
    <n v="713.68"/>
    <n v="79779"/>
    <n v="202"/>
    <x v="1"/>
    <m/>
    <m/>
    <m/>
  </r>
  <r>
    <x v="51"/>
    <x v="1"/>
    <x v="6"/>
    <s v="Stories"/>
    <n v="170998"/>
    <n v="6762"/>
    <n v="1069.43"/>
    <n v="138713"/>
    <n v="265"/>
    <x v="1"/>
    <m/>
    <m/>
    <m/>
  </r>
  <r>
    <x v="51"/>
    <x v="1"/>
    <x v="7"/>
    <s v="Stories"/>
    <n v="118235"/>
    <n v="5247"/>
    <n v="956.92"/>
    <n v="90165"/>
    <n v="299"/>
    <x v="1"/>
    <m/>
    <m/>
    <m/>
  </r>
  <r>
    <x v="51"/>
    <x v="3"/>
    <x v="4"/>
    <s v="Reels"/>
    <n v="146381"/>
    <n v="4867"/>
    <n v="858.16"/>
    <n v="109151"/>
    <n v="179"/>
    <x v="1"/>
    <m/>
    <m/>
    <m/>
  </r>
  <r>
    <x v="51"/>
    <x v="3"/>
    <x v="5"/>
    <s v="Reels"/>
    <n v="179531"/>
    <n v="6155"/>
    <n v="1023.17"/>
    <n v="138777"/>
    <n v="325"/>
    <x v="1"/>
    <m/>
    <m/>
    <m/>
  </r>
  <r>
    <x v="52"/>
    <x v="0"/>
    <x v="4"/>
    <s v="Stories"/>
    <n v="174764"/>
    <n v="5928"/>
    <n v="1149.95"/>
    <n v="139505"/>
    <n v="221"/>
    <x v="1"/>
    <m/>
    <m/>
    <m/>
  </r>
  <r>
    <x v="52"/>
    <x v="0"/>
    <x v="5"/>
    <s v="Feed"/>
    <n v="134524"/>
    <n v="5963"/>
    <n v="958.61"/>
    <n v="103703"/>
    <n v="301"/>
    <x v="1"/>
    <m/>
    <m/>
    <m/>
  </r>
  <r>
    <x v="52"/>
    <x v="1"/>
    <x v="6"/>
    <s v="Reels"/>
    <n v="119180"/>
    <n v="4527"/>
    <n v="887.25"/>
    <n v="100045"/>
    <n v="171"/>
    <x v="1"/>
    <m/>
    <m/>
    <m/>
  </r>
  <r>
    <x v="52"/>
    <x v="1"/>
    <x v="7"/>
    <s v="Stories"/>
    <n v="145521"/>
    <n v="5110"/>
    <n v="895.13"/>
    <n v="110510"/>
    <n v="303"/>
    <x v="1"/>
    <m/>
    <m/>
    <m/>
  </r>
  <r>
    <x v="52"/>
    <x v="3"/>
    <x v="4"/>
    <s v="Reels"/>
    <n v="141262"/>
    <n v="6603"/>
    <n v="1164.81"/>
    <n v="102276"/>
    <n v="265"/>
    <x v="1"/>
    <m/>
    <m/>
    <m/>
  </r>
  <r>
    <x v="52"/>
    <x v="3"/>
    <x v="5"/>
    <s v="Reels"/>
    <n v="122086"/>
    <n v="3992"/>
    <n v="725.47"/>
    <n v="91609"/>
    <n v="202"/>
    <x v="1"/>
    <m/>
    <m/>
    <m/>
  </r>
  <r>
    <x v="53"/>
    <x v="0"/>
    <x v="4"/>
    <s v="Reels"/>
    <n v="129113"/>
    <n v="6047"/>
    <n v="1208.4000000000001"/>
    <n v="102757"/>
    <n v="282"/>
    <x v="1"/>
    <m/>
    <m/>
    <m/>
  </r>
  <r>
    <x v="53"/>
    <x v="0"/>
    <x v="5"/>
    <s v="Feed"/>
    <n v="133295"/>
    <n v="6131"/>
    <n v="1134.45"/>
    <n v="108887"/>
    <n v="203"/>
    <x v="1"/>
    <m/>
    <m/>
    <m/>
  </r>
  <r>
    <x v="53"/>
    <x v="1"/>
    <x v="6"/>
    <s v="Reels"/>
    <n v="115336"/>
    <n v="5341"/>
    <n v="796.83"/>
    <n v="93231"/>
    <n v="310"/>
    <x v="1"/>
    <m/>
    <m/>
    <m/>
  </r>
  <r>
    <x v="53"/>
    <x v="1"/>
    <x v="7"/>
    <s v="Feed"/>
    <n v="45855"/>
    <n v="1775"/>
    <n v="338.58"/>
    <n v="33324"/>
    <n v="90"/>
    <x v="1"/>
    <m/>
    <m/>
    <m/>
  </r>
  <r>
    <x v="54"/>
    <x v="0"/>
    <x v="4"/>
    <s v="Reels"/>
    <n v="76187"/>
    <n v="2556"/>
    <n v="441.28"/>
    <n v="63845"/>
    <n v="96"/>
    <x v="1"/>
    <m/>
    <m/>
    <m/>
  </r>
  <r>
    <x v="54"/>
    <x v="0"/>
    <x v="5"/>
    <s v="Reels"/>
    <n v="78603"/>
    <n v="3568"/>
    <n v="681.11"/>
    <n v="59579"/>
    <n v="190"/>
    <x v="1"/>
    <m/>
    <m/>
    <m/>
  </r>
  <r>
    <x v="54"/>
    <x v="1"/>
    <x v="6"/>
    <s v="Stories"/>
    <n v="102677"/>
    <n v="3308"/>
    <n v="595.01"/>
    <n v="79057"/>
    <n v="172"/>
    <x v="1"/>
    <m/>
    <m/>
    <m/>
  </r>
  <r>
    <x v="54"/>
    <x v="1"/>
    <x v="7"/>
    <s v="Feed"/>
    <n v="43513"/>
    <n v="1526"/>
    <n v="283.33999999999997"/>
    <n v="32099"/>
    <n v="61"/>
    <x v="1"/>
    <m/>
    <m/>
    <m/>
  </r>
  <r>
    <x v="55"/>
    <x v="0"/>
    <x v="4"/>
    <s v="Reels"/>
    <n v="93117"/>
    <n v="3046"/>
    <n v="537.65"/>
    <n v="74739"/>
    <n v="134"/>
    <x v="1"/>
    <m/>
    <m/>
    <m/>
  </r>
  <r>
    <x v="55"/>
    <x v="0"/>
    <x v="5"/>
    <s v="Reels"/>
    <n v="75784"/>
    <n v="2757"/>
    <n v="443.99"/>
    <n v="57669"/>
    <n v="135"/>
    <x v="1"/>
    <m/>
    <m/>
    <m/>
  </r>
  <r>
    <x v="55"/>
    <x v="1"/>
    <x v="6"/>
    <s v="Reels"/>
    <n v="109211"/>
    <n v="5120"/>
    <n v="743.88"/>
    <n v="90662"/>
    <n v="191"/>
    <x v="1"/>
    <m/>
    <m/>
    <m/>
  </r>
  <r>
    <x v="55"/>
    <x v="1"/>
    <x v="7"/>
    <s v="Feed"/>
    <n v="59334"/>
    <n v="2200"/>
    <n v="390.71"/>
    <n v="42863"/>
    <n v="81"/>
    <x v="1"/>
    <m/>
    <m/>
    <m/>
  </r>
  <r>
    <x v="56"/>
    <x v="0"/>
    <x v="4"/>
    <s v="Reels"/>
    <n v="63511"/>
    <n v="2680"/>
    <n v="449.22"/>
    <n v="52413"/>
    <n v="161"/>
    <x v="1"/>
    <m/>
    <m/>
    <m/>
  </r>
  <r>
    <x v="56"/>
    <x v="0"/>
    <x v="5"/>
    <s v="Feed"/>
    <n v="124245"/>
    <n v="5252"/>
    <n v="1019.35"/>
    <n v="92305"/>
    <n v="287"/>
    <x v="1"/>
    <m/>
    <m/>
    <m/>
  </r>
  <r>
    <x v="56"/>
    <x v="1"/>
    <x v="6"/>
    <s v="Reels"/>
    <n v="75696"/>
    <n v="2486"/>
    <n v="453.33"/>
    <n v="56118"/>
    <n v="90"/>
    <x v="1"/>
    <m/>
    <m/>
    <m/>
  </r>
  <r>
    <x v="56"/>
    <x v="1"/>
    <x v="7"/>
    <s v="Stories"/>
    <n v="89261"/>
    <n v="3179"/>
    <n v="480.97"/>
    <n v="73732"/>
    <n v="118"/>
    <x v="1"/>
    <m/>
    <m/>
    <m/>
  </r>
  <r>
    <x v="57"/>
    <x v="0"/>
    <x v="4"/>
    <s v="Stories"/>
    <n v="68994"/>
    <n v="2977"/>
    <n v="464.03"/>
    <n v="53731"/>
    <n v="146"/>
    <x v="1"/>
    <m/>
    <m/>
    <m/>
  </r>
  <r>
    <x v="57"/>
    <x v="0"/>
    <x v="5"/>
    <s v="Feed"/>
    <n v="119125"/>
    <n v="4808"/>
    <n v="912.41"/>
    <n v="95591"/>
    <n v="178"/>
    <x v="1"/>
    <m/>
    <m/>
    <m/>
  </r>
  <r>
    <x v="57"/>
    <x v="1"/>
    <x v="6"/>
    <s v="Stories"/>
    <n v="55408"/>
    <n v="2249"/>
    <n v="343.29"/>
    <n v="44562"/>
    <n v="95"/>
    <x v="1"/>
    <m/>
    <m/>
    <m/>
  </r>
  <r>
    <x v="57"/>
    <x v="1"/>
    <x v="7"/>
    <s v="Stories"/>
    <n v="62190"/>
    <n v="2330"/>
    <n v="461.59"/>
    <n v="48893"/>
    <n v="126"/>
    <x v="1"/>
    <m/>
    <m/>
    <m/>
  </r>
  <r>
    <x v="58"/>
    <x v="0"/>
    <x v="4"/>
    <s v="Stories"/>
    <n v="65653"/>
    <n v="2640"/>
    <n v="402.98"/>
    <n v="48989"/>
    <n v="105"/>
    <x v="1"/>
    <m/>
    <m/>
    <m/>
  </r>
  <r>
    <x v="58"/>
    <x v="0"/>
    <x v="5"/>
    <s v="Reels"/>
    <n v="143875"/>
    <n v="6119"/>
    <n v="925.1"/>
    <n v="106003"/>
    <n v="303"/>
    <x v="1"/>
    <m/>
    <m/>
    <m/>
  </r>
  <r>
    <x v="58"/>
    <x v="1"/>
    <x v="6"/>
    <s v="Stories"/>
    <n v="152451"/>
    <n v="5800"/>
    <n v="1016.76"/>
    <n v="110383"/>
    <n v="307"/>
    <x v="1"/>
    <m/>
    <m/>
    <m/>
  </r>
  <r>
    <x v="58"/>
    <x v="1"/>
    <x v="7"/>
    <s v="Stories"/>
    <n v="50449"/>
    <n v="1742"/>
    <n v="293.58"/>
    <n v="38361"/>
    <n v="102"/>
    <x v="1"/>
    <m/>
    <m/>
    <m/>
  </r>
  <r>
    <x v="58"/>
    <x v="3"/>
    <x v="4"/>
    <s v="Reels"/>
    <n v="114693"/>
    <n v="4232"/>
    <n v="711.02"/>
    <n v="85141"/>
    <n v="138"/>
    <x v="1"/>
    <m/>
    <m/>
    <m/>
  </r>
  <r>
    <x v="58"/>
    <x v="3"/>
    <x v="5"/>
    <s v="Reels"/>
    <n v="157921"/>
    <n v="6508"/>
    <n v="1080.97"/>
    <n v="121270"/>
    <n v="371"/>
    <x v="1"/>
    <m/>
    <m/>
    <m/>
  </r>
  <r>
    <x v="59"/>
    <x v="0"/>
    <x v="4"/>
    <s v="Stories"/>
    <n v="168756"/>
    <n v="6407"/>
    <n v="1026.8699999999999"/>
    <n v="135245"/>
    <n v="262"/>
    <x v="1"/>
    <m/>
    <m/>
    <m/>
  </r>
  <r>
    <x v="59"/>
    <x v="0"/>
    <x v="5"/>
    <s v="Reels"/>
    <n v="131882"/>
    <n v="4447"/>
    <n v="736.22"/>
    <n v="99217"/>
    <n v="219"/>
    <x v="1"/>
    <m/>
    <m/>
    <m/>
  </r>
  <r>
    <x v="59"/>
    <x v="1"/>
    <x v="6"/>
    <s v="Reels"/>
    <n v="73448"/>
    <n v="2952"/>
    <n v="576.65"/>
    <n v="60696"/>
    <n v="179"/>
    <x v="1"/>
    <m/>
    <m/>
    <m/>
  </r>
  <r>
    <x v="59"/>
    <x v="1"/>
    <x v="7"/>
    <s v="Feed"/>
    <n v="142281"/>
    <n v="6264"/>
    <n v="925.78"/>
    <n v="108130"/>
    <n v="380"/>
    <x v="1"/>
    <m/>
    <m/>
    <m/>
  </r>
  <r>
    <x v="59"/>
    <x v="3"/>
    <x v="4"/>
    <s v="Reels"/>
    <n v="98198"/>
    <n v="4388"/>
    <n v="651.55999999999995"/>
    <n v="74780"/>
    <n v="192"/>
    <x v="1"/>
    <m/>
    <m/>
    <m/>
  </r>
  <r>
    <x v="59"/>
    <x v="3"/>
    <x v="5"/>
    <s v="Reels"/>
    <n v="45643"/>
    <n v="1941"/>
    <n v="295.08"/>
    <n v="33805"/>
    <n v="80"/>
    <x v="1"/>
    <m/>
    <m/>
    <m/>
  </r>
  <r>
    <x v="60"/>
    <x v="0"/>
    <x v="4"/>
    <s v="Reels"/>
    <n v="85744"/>
    <n v="3920"/>
    <n v="651.48"/>
    <n v="69186"/>
    <n v="143"/>
    <x v="1"/>
    <m/>
    <m/>
    <m/>
  </r>
  <r>
    <x v="60"/>
    <x v="0"/>
    <x v="5"/>
    <s v="Feed"/>
    <n v="46342"/>
    <n v="1836"/>
    <n v="295.01"/>
    <n v="35984"/>
    <n v="96"/>
    <x v="1"/>
    <m/>
    <m/>
    <m/>
  </r>
  <r>
    <x v="60"/>
    <x v="1"/>
    <x v="6"/>
    <s v="Reels"/>
    <n v="125977"/>
    <n v="5378"/>
    <n v="1021.18"/>
    <n v="101379"/>
    <n v="295"/>
    <x v="1"/>
    <m/>
    <m/>
    <m/>
  </r>
  <r>
    <x v="60"/>
    <x v="1"/>
    <x v="7"/>
    <s v="Feed"/>
    <n v="111540"/>
    <n v="3798"/>
    <n v="705.6"/>
    <n v="82096"/>
    <n v="209"/>
    <x v="1"/>
    <m/>
    <m/>
    <m/>
  </r>
  <r>
    <x v="61"/>
    <x v="0"/>
    <x v="4"/>
    <s v="Stories"/>
    <n v="160472"/>
    <n v="7010"/>
    <n v="1159.98"/>
    <n v="123124"/>
    <n v="239"/>
    <x v="1"/>
    <m/>
    <m/>
    <m/>
  </r>
  <r>
    <x v="61"/>
    <x v="0"/>
    <x v="5"/>
    <s v="Feed"/>
    <n v="159642"/>
    <n v="6999"/>
    <n v="1226.1199999999999"/>
    <n v="119189"/>
    <n v="351"/>
    <x v="1"/>
    <m/>
    <m/>
    <m/>
  </r>
  <r>
    <x v="61"/>
    <x v="1"/>
    <x v="6"/>
    <s v="Reels"/>
    <n v="108396"/>
    <n v="4096"/>
    <n v="696.68"/>
    <n v="78065"/>
    <n v="204"/>
    <x v="1"/>
    <m/>
    <m/>
    <m/>
  </r>
  <r>
    <x v="61"/>
    <x v="1"/>
    <x v="7"/>
    <s v="Stories"/>
    <n v="58665"/>
    <n v="2483"/>
    <n v="368.19"/>
    <n v="43562"/>
    <n v="95"/>
    <x v="1"/>
    <m/>
    <m/>
    <m/>
  </r>
  <r>
    <x v="62"/>
    <x v="0"/>
    <x v="4"/>
    <s v="Stories"/>
    <n v="61321"/>
    <n v="2295"/>
    <n v="411.36"/>
    <n v="47283"/>
    <n v="93"/>
    <x v="1"/>
    <m/>
    <m/>
    <m/>
  </r>
  <r>
    <x v="62"/>
    <x v="0"/>
    <x v="5"/>
    <s v="Feed"/>
    <n v="160561"/>
    <n v="7247"/>
    <n v="1029.72"/>
    <n v="134071"/>
    <n v="323"/>
    <x v="1"/>
    <m/>
    <m/>
    <m/>
  </r>
  <r>
    <x v="62"/>
    <x v="1"/>
    <x v="6"/>
    <s v="Reels"/>
    <n v="113352"/>
    <n v="4864"/>
    <n v="924.42"/>
    <n v="87937"/>
    <n v="167"/>
    <x v="1"/>
    <m/>
    <m/>
    <m/>
  </r>
  <r>
    <x v="62"/>
    <x v="1"/>
    <x v="7"/>
    <s v="Feed"/>
    <n v="157255"/>
    <n v="7202"/>
    <n v="1355.51"/>
    <n v="113454"/>
    <n v="299"/>
    <x v="1"/>
    <m/>
    <m/>
    <m/>
  </r>
  <r>
    <x v="63"/>
    <x v="0"/>
    <x v="4"/>
    <s v="Stories"/>
    <n v="162440"/>
    <n v="6379"/>
    <n v="1079.1199999999999"/>
    <n v="135668"/>
    <n v="281"/>
    <x v="1"/>
    <m/>
    <m/>
    <m/>
  </r>
  <r>
    <x v="63"/>
    <x v="0"/>
    <x v="5"/>
    <s v="Reels"/>
    <n v="97120"/>
    <n v="3768"/>
    <n v="695.29"/>
    <n v="71277"/>
    <n v="211"/>
    <x v="1"/>
    <m/>
    <m/>
    <m/>
  </r>
  <r>
    <x v="63"/>
    <x v="1"/>
    <x v="6"/>
    <s v="Stories"/>
    <n v="131047"/>
    <n v="4975"/>
    <n v="837.85"/>
    <n v="99622"/>
    <n v="239"/>
    <x v="1"/>
    <m/>
    <m/>
    <m/>
  </r>
  <r>
    <x v="63"/>
    <x v="1"/>
    <x v="7"/>
    <s v="Stories"/>
    <n v="64528"/>
    <n v="2875"/>
    <n v="571.67999999999995"/>
    <n v="50577"/>
    <n v="125"/>
    <x v="1"/>
    <m/>
    <m/>
    <m/>
  </r>
  <r>
    <x v="64"/>
    <x v="0"/>
    <x v="4"/>
    <s v="Reels"/>
    <n v="71124"/>
    <n v="2283"/>
    <n v="449.5"/>
    <n v="57248"/>
    <n v="90"/>
    <x v="1"/>
    <m/>
    <m/>
    <m/>
  </r>
  <r>
    <x v="64"/>
    <x v="0"/>
    <x v="5"/>
    <s v="Feed"/>
    <n v="119601"/>
    <n v="3920"/>
    <n v="615.05999999999995"/>
    <n v="87857"/>
    <n v="183"/>
    <x v="1"/>
    <m/>
    <m/>
    <m/>
  </r>
  <r>
    <x v="64"/>
    <x v="1"/>
    <x v="6"/>
    <s v="Stories"/>
    <n v="54031"/>
    <n v="2497"/>
    <n v="452.41"/>
    <n v="40538"/>
    <n v="105"/>
    <x v="1"/>
    <m/>
    <m/>
    <m/>
  </r>
  <r>
    <x v="64"/>
    <x v="1"/>
    <x v="7"/>
    <s v="Stories"/>
    <n v="49509"/>
    <n v="2014"/>
    <n v="303.56"/>
    <n v="37766"/>
    <n v="65"/>
    <x v="1"/>
    <m/>
    <m/>
    <m/>
  </r>
  <r>
    <x v="65"/>
    <x v="0"/>
    <x v="4"/>
    <s v="Stories"/>
    <n v="96222"/>
    <n v="4058"/>
    <n v="713.18"/>
    <n v="73404"/>
    <n v="134"/>
    <x v="1"/>
    <m/>
    <m/>
    <m/>
  </r>
  <r>
    <x v="65"/>
    <x v="0"/>
    <x v="5"/>
    <s v="Feed"/>
    <n v="87864"/>
    <n v="3057"/>
    <n v="526.11"/>
    <n v="64591"/>
    <n v="111"/>
    <x v="1"/>
    <m/>
    <m/>
    <m/>
  </r>
  <r>
    <x v="65"/>
    <x v="1"/>
    <x v="6"/>
    <s v="Stories"/>
    <n v="118956"/>
    <n v="5505"/>
    <n v="884.78"/>
    <n v="92186"/>
    <n v="278"/>
    <x v="1"/>
    <m/>
    <m/>
    <m/>
  </r>
  <r>
    <x v="65"/>
    <x v="1"/>
    <x v="7"/>
    <s v="Stories"/>
    <n v="52423"/>
    <n v="1741"/>
    <n v="282.68"/>
    <n v="38667"/>
    <n v="106"/>
    <x v="1"/>
    <m/>
    <m/>
    <m/>
  </r>
  <r>
    <x v="65"/>
    <x v="3"/>
    <x v="4"/>
    <s v="Reels"/>
    <n v="110575"/>
    <n v="4445"/>
    <n v="815.76"/>
    <n v="84095"/>
    <n v="227"/>
    <x v="1"/>
    <m/>
    <m/>
    <m/>
  </r>
  <r>
    <x v="65"/>
    <x v="3"/>
    <x v="5"/>
    <s v="Reels"/>
    <n v="117495"/>
    <n v="4513"/>
    <n v="681.62"/>
    <n v="95125"/>
    <n v="242"/>
    <x v="1"/>
    <m/>
    <m/>
    <m/>
  </r>
  <r>
    <x v="66"/>
    <x v="0"/>
    <x v="4"/>
    <s v="Reels"/>
    <n v="119354"/>
    <n v="5662"/>
    <n v="1062.3"/>
    <n v="94111"/>
    <n v="350"/>
    <x v="1"/>
    <m/>
    <m/>
    <m/>
  </r>
  <r>
    <x v="66"/>
    <x v="0"/>
    <x v="5"/>
    <s v="Reels"/>
    <n v="163796"/>
    <n v="7335"/>
    <n v="1191.5999999999999"/>
    <n v="127228"/>
    <n v="402"/>
    <x v="1"/>
    <m/>
    <m/>
    <m/>
  </r>
  <r>
    <x v="66"/>
    <x v="1"/>
    <x v="6"/>
    <s v="Stories"/>
    <n v="92320"/>
    <n v="4057"/>
    <n v="757.44"/>
    <n v="69537"/>
    <n v="211"/>
    <x v="1"/>
    <m/>
    <m/>
    <m/>
  </r>
  <r>
    <x v="66"/>
    <x v="1"/>
    <x v="7"/>
    <s v="Stories"/>
    <n v="76385"/>
    <n v="3273"/>
    <n v="511.77"/>
    <n v="58729"/>
    <n v="106"/>
    <x v="1"/>
    <m/>
    <m/>
    <m/>
  </r>
  <r>
    <x v="66"/>
    <x v="3"/>
    <x v="4"/>
    <s v="Reels"/>
    <n v="157484"/>
    <n v="5366"/>
    <n v="837.22"/>
    <n v="124709"/>
    <n v="328"/>
    <x v="1"/>
    <m/>
    <m/>
    <m/>
  </r>
  <r>
    <x v="66"/>
    <x v="3"/>
    <x v="5"/>
    <s v="Reels"/>
    <n v="62052"/>
    <n v="2205"/>
    <n v="311.08999999999997"/>
    <n v="47094"/>
    <n v="74"/>
    <x v="1"/>
    <m/>
    <m/>
    <m/>
  </r>
  <r>
    <x v="67"/>
    <x v="0"/>
    <x v="4"/>
    <s v="Stories"/>
    <n v="169573"/>
    <n v="7358"/>
    <n v="1395.21"/>
    <n v="134055"/>
    <n v="375"/>
    <x v="1"/>
    <m/>
    <m/>
    <m/>
  </r>
  <r>
    <x v="67"/>
    <x v="0"/>
    <x v="5"/>
    <s v="Feed"/>
    <n v="137759"/>
    <n v="5265"/>
    <n v="1030.8499999999999"/>
    <n v="99394"/>
    <n v="222"/>
    <x v="1"/>
    <m/>
    <m/>
    <m/>
  </r>
  <r>
    <x v="67"/>
    <x v="1"/>
    <x v="6"/>
    <s v="Stories"/>
    <n v="121219"/>
    <n v="4173"/>
    <n v="798.13"/>
    <n v="94535"/>
    <n v="200"/>
    <x v="1"/>
    <m/>
    <m/>
    <m/>
  </r>
  <r>
    <x v="67"/>
    <x v="1"/>
    <x v="7"/>
    <s v="Feed"/>
    <n v="160171"/>
    <n v="6125"/>
    <n v="1005.58"/>
    <n v="128022"/>
    <n v="300"/>
    <x v="1"/>
    <m/>
    <m/>
    <m/>
  </r>
  <r>
    <x v="68"/>
    <x v="0"/>
    <x v="4"/>
    <s v="Reels"/>
    <n v="153082"/>
    <n v="6090"/>
    <n v="1212.5"/>
    <n v="111745"/>
    <n v="331"/>
    <x v="1"/>
    <m/>
    <m/>
    <m/>
  </r>
  <r>
    <x v="68"/>
    <x v="0"/>
    <x v="5"/>
    <s v="Feed"/>
    <n v="97305"/>
    <n v="3568"/>
    <n v="567.03"/>
    <n v="77935"/>
    <n v="117"/>
    <x v="1"/>
    <m/>
    <m/>
    <m/>
  </r>
  <r>
    <x v="68"/>
    <x v="1"/>
    <x v="6"/>
    <s v="Reels"/>
    <n v="151869"/>
    <n v="5714"/>
    <n v="947.91"/>
    <n v="127493"/>
    <n v="186"/>
    <x v="1"/>
    <m/>
    <m/>
    <m/>
  </r>
  <r>
    <x v="68"/>
    <x v="1"/>
    <x v="7"/>
    <s v="Stories"/>
    <n v="140312"/>
    <n v="6160"/>
    <n v="1228.19"/>
    <n v="107343"/>
    <n v="296"/>
    <x v="1"/>
    <m/>
    <m/>
    <m/>
  </r>
  <r>
    <x v="69"/>
    <x v="0"/>
    <x v="4"/>
    <s v="Stories"/>
    <n v="148948"/>
    <n v="7027"/>
    <n v="1035.8499999999999"/>
    <n v="114316"/>
    <n v="269"/>
    <x v="1"/>
    <m/>
    <m/>
    <m/>
  </r>
  <r>
    <x v="69"/>
    <x v="0"/>
    <x v="5"/>
    <s v="Reels"/>
    <n v="142750"/>
    <n v="5228"/>
    <n v="1003.22"/>
    <n v="115916"/>
    <n v="321"/>
    <x v="1"/>
    <m/>
    <m/>
    <m/>
  </r>
  <r>
    <x v="69"/>
    <x v="1"/>
    <x v="6"/>
    <s v="Stories"/>
    <n v="139227"/>
    <n v="5365"/>
    <n v="992.94"/>
    <n v="107230"/>
    <n v="268"/>
    <x v="1"/>
    <m/>
    <m/>
    <m/>
  </r>
  <r>
    <x v="69"/>
    <x v="1"/>
    <x v="7"/>
    <s v="Stories"/>
    <n v="107382"/>
    <n v="4519"/>
    <n v="812.76"/>
    <n v="86165"/>
    <n v="230"/>
    <x v="1"/>
    <m/>
    <m/>
    <m/>
  </r>
  <r>
    <x v="70"/>
    <x v="0"/>
    <x v="4"/>
    <s v="Stories"/>
    <n v="131089"/>
    <n v="5318"/>
    <n v="869.65"/>
    <n v="107897"/>
    <n v="249"/>
    <x v="1"/>
    <m/>
    <m/>
    <m/>
  </r>
  <r>
    <x v="70"/>
    <x v="0"/>
    <x v="5"/>
    <s v="Feed"/>
    <n v="94279"/>
    <n v="4263"/>
    <n v="711.78"/>
    <n v="78333"/>
    <n v="159"/>
    <x v="1"/>
    <m/>
    <m/>
    <m/>
  </r>
  <r>
    <x v="70"/>
    <x v="1"/>
    <x v="6"/>
    <s v="Stories"/>
    <n v="46068"/>
    <n v="1866"/>
    <n v="298.64"/>
    <n v="35734"/>
    <n v="69"/>
    <x v="1"/>
    <m/>
    <m/>
    <m/>
  </r>
  <r>
    <x v="70"/>
    <x v="1"/>
    <x v="7"/>
    <s v="Feed"/>
    <n v="110819"/>
    <n v="4574"/>
    <n v="755.1"/>
    <n v="85351"/>
    <n v="172"/>
    <x v="1"/>
    <m/>
    <m/>
    <m/>
  </r>
  <r>
    <x v="71"/>
    <x v="0"/>
    <x v="4"/>
    <s v="Reels"/>
    <n v="150952"/>
    <n v="5371"/>
    <n v="948.42"/>
    <n v="117803"/>
    <n v="184"/>
    <x v="1"/>
    <m/>
    <m/>
    <m/>
  </r>
  <r>
    <x v="71"/>
    <x v="0"/>
    <x v="5"/>
    <s v="Feed"/>
    <n v="49389"/>
    <n v="1837"/>
    <n v="284.73"/>
    <n v="38934"/>
    <n v="84"/>
    <x v="1"/>
    <m/>
    <m/>
    <m/>
  </r>
  <r>
    <x v="71"/>
    <x v="1"/>
    <x v="6"/>
    <s v="Reels"/>
    <n v="108595"/>
    <n v="3514"/>
    <n v="618.75"/>
    <n v="88481"/>
    <n v="153"/>
    <x v="1"/>
    <m/>
    <m/>
    <m/>
  </r>
  <r>
    <x v="71"/>
    <x v="1"/>
    <x v="7"/>
    <s v="Feed"/>
    <n v="72997"/>
    <n v="2870"/>
    <n v="526.30999999999995"/>
    <n v="54654"/>
    <n v="132"/>
    <x v="1"/>
    <m/>
    <m/>
    <m/>
  </r>
  <r>
    <x v="72"/>
    <x v="0"/>
    <x v="4"/>
    <s v="Reels"/>
    <n v="100490"/>
    <n v="3428"/>
    <n v="493.25"/>
    <n v="72725"/>
    <n v="169"/>
    <x v="1"/>
    <m/>
    <m/>
    <m/>
  </r>
  <r>
    <x v="72"/>
    <x v="0"/>
    <x v="5"/>
    <s v="Feed"/>
    <n v="87253"/>
    <n v="3746"/>
    <n v="624.16"/>
    <n v="65354"/>
    <n v="139"/>
    <x v="1"/>
    <m/>
    <m/>
    <m/>
  </r>
  <r>
    <x v="72"/>
    <x v="1"/>
    <x v="6"/>
    <s v="Stories"/>
    <n v="130733"/>
    <n v="5525"/>
    <n v="1039.92"/>
    <n v="107272"/>
    <n v="321"/>
    <x v="1"/>
    <m/>
    <m/>
    <m/>
  </r>
  <r>
    <x v="72"/>
    <x v="1"/>
    <x v="7"/>
    <s v="Feed"/>
    <n v="87222"/>
    <n v="3436"/>
    <n v="679.46"/>
    <n v="62871"/>
    <n v="113"/>
    <x v="1"/>
    <m/>
    <m/>
    <m/>
  </r>
  <r>
    <x v="72"/>
    <x v="3"/>
    <x v="4"/>
    <s v="Reels"/>
    <n v="134063"/>
    <n v="6425"/>
    <n v="1231.8699999999999"/>
    <n v="97657"/>
    <n v="285"/>
    <x v="1"/>
    <m/>
    <m/>
    <m/>
  </r>
  <r>
    <x v="72"/>
    <x v="3"/>
    <x v="5"/>
    <s v="Reels"/>
    <n v="167497"/>
    <n v="6799"/>
    <n v="1243.8599999999999"/>
    <n v="132797"/>
    <n v="419"/>
    <x v="1"/>
    <m/>
    <m/>
    <m/>
  </r>
  <r>
    <x v="73"/>
    <x v="0"/>
    <x v="4"/>
    <s v="Reels"/>
    <n v="120220"/>
    <n v="4771"/>
    <n v="875.77"/>
    <n v="90784"/>
    <n v="209"/>
    <x v="1"/>
    <m/>
    <m/>
    <m/>
  </r>
  <r>
    <x v="73"/>
    <x v="0"/>
    <x v="5"/>
    <s v="Reels"/>
    <n v="107416"/>
    <n v="4123"/>
    <n v="806.64"/>
    <n v="85450"/>
    <n v="186"/>
    <x v="1"/>
    <m/>
    <m/>
    <m/>
  </r>
  <r>
    <x v="73"/>
    <x v="1"/>
    <x v="6"/>
    <s v="Reels"/>
    <n v="63156"/>
    <n v="2168"/>
    <n v="337.67"/>
    <n v="51726"/>
    <n v="118"/>
    <x v="1"/>
    <m/>
    <m/>
    <m/>
  </r>
  <r>
    <x v="73"/>
    <x v="1"/>
    <x v="7"/>
    <s v="Feed"/>
    <n v="168522"/>
    <n v="5848"/>
    <n v="963.6"/>
    <n v="128208"/>
    <n v="347"/>
    <x v="1"/>
    <m/>
    <m/>
    <m/>
  </r>
  <r>
    <x v="73"/>
    <x v="3"/>
    <x v="4"/>
    <s v="Reels"/>
    <n v="81296"/>
    <n v="2945"/>
    <n v="470.62"/>
    <n v="65300"/>
    <n v="134"/>
    <x v="1"/>
    <m/>
    <m/>
    <m/>
  </r>
  <r>
    <x v="73"/>
    <x v="3"/>
    <x v="5"/>
    <s v="Reels"/>
    <n v="173721"/>
    <n v="6239"/>
    <n v="970.79"/>
    <n v="131234"/>
    <n v="282"/>
    <x v="1"/>
    <m/>
    <m/>
    <m/>
  </r>
  <r>
    <x v="73"/>
    <x v="5"/>
    <x v="4"/>
    <s v="Reels"/>
    <n v="164699"/>
    <n v="5950"/>
    <n v="931.28"/>
    <n v="119289"/>
    <n v="215"/>
    <x v="1"/>
    <m/>
    <m/>
    <m/>
  </r>
  <r>
    <x v="73"/>
    <x v="5"/>
    <x v="5"/>
    <s v="Stories"/>
    <n v="49920"/>
    <n v="1773"/>
    <n v="287.67"/>
    <n v="38115"/>
    <n v="72"/>
    <x v="1"/>
    <m/>
    <m/>
    <m/>
  </r>
  <r>
    <x v="74"/>
    <x v="0"/>
    <x v="4"/>
    <s v="Reels"/>
    <n v="142221"/>
    <n v="5993"/>
    <n v="1009.92"/>
    <n v="109906"/>
    <n v="244"/>
    <x v="1"/>
    <m/>
    <m/>
    <m/>
  </r>
  <r>
    <x v="74"/>
    <x v="0"/>
    <x v="5"/>
    <s v="Reels"/>
    <n v="70466"/>
    <n v="2939"/>
    <n v="562.96"/>
    <n v="52911"/>
    <n v="114"/>
    <x v="1"/>
    <m/>
    <m/>
    <m/>
  </r>
  <r>
    <x v="74"/>
    <x v="1"/>
    <x v="6"/>
    <s v="Reels"/>
    <n v="144878"/>
    <n v="5338"/>
    <n v="934.44"/>
    <n v="108822"/>
    <n v="286"/>
    <x v="1"/>
    <m/>
    <m/>
    <m/>
  </r>
  <r>
    <x v="74"/>
    <x v="1"/>
    <x v="7"/>
    <s v="Stories"/>
    <n v="126772"/>
    <n v="5311"/>
    <n v="797.84"/>
    <n v="96512"/>
    <n v="194"/>
    <x v="1"/>
    <m/>
    <m/>
    <m/>
  </r>
  <r>
    <x v="74"/>
    <x v="5"/>
    <x v="4"/>
    <s v="Reels"/>
    <n v="134672"/>
    <n v="5116"/>
    <n v="981.89"/>
    <n v="104805"/>
    <n v="189"/>
    <x v="1"/>
    <m/>
    <m/>
    <m/>
  </r>
  <r>
    <x v="74"/>
    <x v="5"/>
    <x v="5"/>
    <s v="Stories"/>
    <n v="75384"/>
    <n v="2996"/>
    <n v="487.73"/>
    <n v="60325"/>
    <n v="101"/>
    <x v="1"/>
    <m/>
    <m/>
    <m/>
  </r>
  <r>
    <x v="75"/>
    <x v="0"/>
    <x v="4"/>
    <s v="Reels"/>
    <n v="98203"/>
    <n v="3466"/>
    <n v="516.45000000000005"/>
    <n v="77878"/>
    <n v="186"/>
    <x v="1"/>
    <m/>
    <m/>
    <m/>
  </r>
  <r>
    <x v="75"/>
    <x v="0"/>
    <x v="5"/>
    <s v="Reels"/>
    <n v="156254"/>
    <n v="5492"/>
    <n v="933.24"/>
    <n v="123179"/>
    <n v="280"/>
    <x v="1"/>
    <m/>
    <m/>
    <m/>
  </r>
  <r>
    <x v="75"/>
    <x v="1"/>
    <x v="6"/>
    <s v="Reels"/>
    <n v="172656"/>
    <n v="7861"/>
    <n v="1469.89"/>
    <n v="135171"/>
    <n v="305"/>
    <x v="1"/>
    <m/>
    <m/>
    <m/>
  </r>
  <r>
    <x v="75"/>
    <x v="1"/>
    <x v="7"/>
    <s v="Feed"/>
    <n v="107447"/>
    <n v="4580"/>
    <n v="750.71"/>
    <n v="78636"/>
    <n v="191"/>
    <x v="1"/>
    <m/>
    <m/>
    <m/>
  </r>
  <r>
    <x v="75"/>
    <x v="5"/>
    <x v="4"/>
    <s v="Reels"/>
    <n v="91756"/>
    <n v="3748"/>
    <n v="644.98"/>
    <n v="74226"/>
    <n v="218"/>
    <x v="1"/>
    <m/>
    <m/>
    <m/>
  </r>
  <r>
    <x v="75"/>
    <x v="5"/>
    <x v="5"/>
    <s v="Stories"/>
    <n v="121603"/>
    <n v="4993"/>
    <n v="773.31"/>
    <n v="91290"/>
    <n v="270"/>
    <x v="1"/>
    <m/>
    <m/>
    <m/>
  </r>
  <r>
    <x v="76"/>
    <x v="0"/>
    <x v="4"/>
    <s v="Reels"/>
    <n v="84406"/>
    <n v="3632"/>
    <n v="607.87"/>
    <n v="61179"/>
    <n v="182"/>
    <x v="1"/>
    <m/>
    <m/>
    <m/>
  </r>
  <r>
    <x v="76"/>
    <x v="0"/>
    <x v="5"/>
    <s v="Feed"/>
    <n v="61066"/>
    <n v="2680"/>
    <n v="493.12"/>
    <n v="50690"/>
    <n v="158"/>
    <x v="1"/>
    <m/>
    <m/>
    <m/>
  </r>
  <r>
    <x v="76"/>
    <x v="1"/>
    <x v="6"/>
    <s v="Reels"/>
    <n v="134539"/>
    <n v="4956"/>
    <n v="755.61"/>
    <n v="100806"/>
    <n v="271"/>
    <x v="1"/>
    <m/>
    <m/>
    <m/>
  </r>
  <r>
    <x v="76"/>
    <x v="1"/>
    <x v="7"/>
    <s v="Stories"/>
    <n v="124607"/>
    <n v="4183"/>
    <n v="806.89"/>
    <n v="90480"/>
    <n v="232"/>
    <x v="1"/>
    <m/>
    <m/>
    <m/>
  </r>
  <r>
    <x v="76"/>
    <x v="5"/>
    <x v="4"/>
    <s v="Reels"/>
    <n v="78968"/>
    <n v="3131"/>
    <n v="521.35"/>
    <n v="61367"/>
    <n v="109"/>
    <x v="1"/>
    <m/>
    <m/>
    <m/>
  </r>
  <r>
    <x v="76"/>
    <x v="5"/>
    <x v="5"/>
    <s v="Stories"/>
    <n v="147444"/>
    <n v="5867"/>
    <n v="1021.8"/>
    <n v="116452"/>
    <n v="339"/>
    <x v="1"/>
    <m/>
    <m/>
    <m/>
  </r>
  <r>
    <x v="77"/>
    <x v="0"/>
    <x v="4"/>
    <s v="Reels"/>
    <n v="168179"/>
    <n v="7767"/>
    <n v="1449.66"/>
    <n v="125020"/>
    <n v="436"/>
    <x v="1"/>
    <m/>
    <m/>
    <m/>
  </r>
  <r>
    <x v="77"/>
    <x v="0"/>
    <x v="5"/>
    <s v="Feed"/>
    <n v="45583"/>
    <n v="1642"/>
    <n v="269.99"/>
    <n v="34300"/>
    <n v="83"/>
    <x v="1"/>
    <m/>
    <m/>
    <m/>
  </r>
  <r>
    <x v="77"/>
    <x v="1"/>
    <x v="6"/>
    <s v="Stories"/>
    <n v="131938"/>
    <n v="5242"/>
    <n v="823.13"/>
    <n v="105211"/>
    <n v="209"/>
    <x v="1"/>
    <m/>
    <m/>
    <m/>
  </r>
  <r>
    <x v="77"/>
    <x v="1"/>
    <x v="7"/>
    <s v="Feed"/>
    <n v="103628"/>
    <n v="3772"/>
    <n v="655.11"/>
    <n v="78452"/>
    <n v="170"/>
    <x v="1"/>
    <m/>
    <m/>
    <m/>
  </r>
  <r>
    <x v="77"/>
    <x v="5"/>
    <x v="4"/>
    <s v="Reels"/>
    <n v="128580"/>
    <n v="4127"/>
    <n v="799"/>
    <n v="100439"/>
    <n v="193"/>
    <x v="1"/>
    <m/>
    <m/>
    <m/>
  </r>
  <r>
    <x v="77"/>
    <x v="5"/>
    <x v="5"/>
    <s v="Stories"/>
    <n v="56670"/>
    <n v="2502"/>
    <n v="451.31"/>
    <n v="41445"/>
    <n v="144"/>
    <x v="1"/>
    <m/>
    <m/>
    <m/>
  </r>
  <r>
    <x v="78"/>
    <x v="0"/>
    <x v="4"/>
    <s v="Stories"/>
    <n v="154190"/>
    <n v="6628"/>
    <n v="1255.03"/>
    <n v="114598"/>
    <n v="233"/>
    <x v="1"/>
    <m/>
    <m/>
    <m/>
  </r>
  <r>
    <x v="78"/>
    <x v="0"/>
    <x v="5"/>
    <s v="Reels"/>
    <n v="81829"/>
    <n v="3020"/>
    <n v="478.14"/>
    <n v="66442"/>
    <n v="139"/>
    <x v="1"/>
    <m/>
    <m/>
    <m/>
  </r>
  <r>
    <x v="78"/>
    <x v="1"/>
    <x v="6"/>
    <s v="Stories"/>
    <n v="149358"/>
    <n v="5281"/>
    <n v="952.23"/>
    <n v="113340"/>
    <n v="199"/>
    <x v="1"/>
    <m/>
    <m/>
    <m/>
  </r>
  <r>
    <x v="78"/>
    <x v="1"/>
    <x v="7"/>
    <s v="Stories"/>
    <n v="74769"/>
    <n v="3412"/>
    <n v="602.58000000000004"/>
    <n v="55243"/>
    <n v="207"/>
    <x v="1"/>
    <m/>
    <m/>
    <m/>
  </r>
  <r>
    <x v="78"/>
    <x v="5"/>
    <x v="4"/>
    <s v="Reels"/>
    <n v="156850"/>
    <n v="6512"/>
    <n v="1074.57"/>
    <n v="126605"/>
    <n v="253"/>
    <x v="1"/>
    <m/>
    <m/>
    <m/>
  </r>
  <r>
    <x v="78"/>
    <x v="5"/>
    <x v="5"/>
    <s v="Stories"/>
    <n v="125921"/>
    <n v="5911"/>
    <n v="1123.48"/>
    <n v="96265"/>
    <n v="243"/>
    <x v="1"/>
    <m/>
    <m/>
    <m/>
  </r>
  <r>
    <x v="79"/>
    <x v="0"/>
    <x v="4"/>
    <s v="Stories"/>
    <n v="172478"/>
    <n v="6389"/>
    <n v="1012.54"/>
    <n v="135842"/>
    <n v="350"/>
    <x v="1"/>
    <m/>
    <m/>
    <m/>
  </r>
  <r>
    <x v="79"/>
    <x v="0"/>
    <x v="5"/>
    <s v="Reels"/>
    <n v="175377"/>
    <n v="8249"/>
    <n v="1182.23"/>
    <n v="134874"/>
    <n v="423"/>
    <x v="1"/>
    <m/>
    <m/>
    <m/>
  </r>
  <r>
    <x v="79"/>
    <x v="1"/>
    <x v="6"/>
    <s v="Reels"/>
    <n v="123350"/>
    <n v="5461"/>
    <n v="770.92"/>
    <n v="99237"/>
    <n v="208"/>
    <x v="1"/>
    <m/>
    <m/>
    <m/>
  </r>
  <r>
    <x v="79"/>
    <x v="1"/>
    <x v="7"/>
    <s v="Stories"/>
    <n v="95730"/>
    <n v="4338"/>
    <n v="613.48"/>
    <n v="73836"/>
    <n v="188"/>
    <x v="1"/>
    <m/>
    <m/>
    <m/>
  </r>
  <r>
    <x v="79"/>
    <x v="3"/>
    <x v="4"/>
    <s v="Reels"/>
    <n v="82130"/>
    <n v="3439"/>
    <n v="572.27"/>
    <n v="61833"/>
    <n v="117"/>
    <x v="1"/>
    <m/>
    <m/>
    <m/>
  </r>
  <r>
    <x v="79"/>
    <x v="3"/>
    <x v="5"/>
    <s v="Stories"/>
    <n v="100959"/>
    <n v="4398"/>
    <n v="864.16"/>
    <n v="79873"/>
    <n v="266"/>
    <x v="1"/>
    <m/>
    <m/>
    <m/>
  </r>
  <r>
    <x v="79"/>
    <x v="5"/>
    <x v="4"/>
    <s v="Reels"/>
    <n v="157860"/>
    <n v="6036"/>
    <n v="1192.6199999999999"/>
    <n v="127042"/>
    <n v="238"/>
    <x v="1"/>
    <m/>
    <m/>
    <m/>
  </r>
  <r>
    <x v="79"/>
    <x v="5"/>
    <x v="5"/>
    <s v="Stories"/>
    <n v="55606"/>
    <n v="1869"/>
    <n v="333.39"/>
    <n v="41878"/>
    <n v="80"/>
    <x v="1"/>
    <m/>
    <m/>
    <m/>
  </r>
  <r>
    <x v="80"/>
    <x v="0"/>
    <x v="4"/>
    <s v="Stories"/>
    <n v="64418"/>
    <n v="2547"/>
    <n v="491.19"/>
    <n v="46952"/>
    <n v="156"/>
    <x v="1"/>
    <m/>
    <m/>
    <m/>
  </r>
  <r>
    <x v="80"/>
    <x v="0"/>
    <x v="5"/>
    <s v="Feed"/>
    <n v="71360"/>
    <n v="3281"/>
    <n v="575.45000000000005"/>
    <n v="56295"/>
    <n v="160"/>
    <x v="1"/>
    <m/>
    <m/>
    <m/>
  </r>
  <r>
    <x v="80"/>
    <x v="1"/>
    <x v="6"/>
    <s v="Stories"/>
    <n v="87284"/>
    <n v="3250"/>
    <n v="561.58000000000004"/>
    <n v="69764"/>
    <n v="158"/>
    <x v="1"/>
    <m/>
    <m/>
    <m/>
  </r>
  <r>
    <x v="80"/>
    <x v="1"/>
    <x v="7"/>
    <s v="Stories"/>
    <n v="162997"/>
    <n v="5272"/>
    <n v="982.31"/>
    <n v="118687"/>
    <n v="293"/>
    <x v="1"/>
    <m/>
    <m/>
    <m/>
  </r>
  <r>
    <x v="80"/>
    <x v="3"/>
    <x v="4"/>
    <s v="Reels"/>
    <n v="107051"/>
    <n v="4975"/>
    <n v="829.58"/>
    <n v="88440"/>
    <n v="186"/>
    <x v="1"/>
    <m/>
    <m/>
    <m/>
  </r>
  <r>
    <x v="80"/>
    <x v="3"/>
    <x v="5"/>
    <s v="Reels"/>
    <n v="84294"/>
    <n v="3318"/>
    <n v="530.82000000000005"/>
    <n v="67546"/>
    <n v="176"/>
    <x v="1"/>
    <m/>
    <m/>
    <m/>
  </r>
  <r>
    <x v="80"/>
    <x v="5"/>
    <x v="4"/>
    <s v="Reels"/>
    <n v="148352"/>
    <n v="6521"/>
    <n v="921.99"/>
    <n v="108935"/>
    <n v="289"/>
    <x v="1"/>
    <m/>
    <m/>
    <m/>
  </r>
  <r>
    <x v="80"/>
    <x v="5"/>
    <x v="5"/>
    <s v="Stories"/>
    <n v="128371"/>
    <n v="5747"/>
    <n v="1091.3599999999999"/>
    <n v="93355"/>
    <n v="354"/>
    <x v="1"/>
    <m/>
    <m/>
    <m/>
  </r>
  <r>
    <x v="81"/>
    <x v="0"/>
    <x v="4"/>
    <s v="Stories"/>
    <n v="48259"/>
    <n v="1981"/>
    <n v="395.68"/>
    <n v="40304"/>
    <n v="115"/>
    <x v="1"/>
    <m/>
    <m/>
    <m/>
  </r>
  <r>
    <x v="81"/>
    <x v="0"/>
    <x v="5"/>
    <s v="Feed"/>
    <n v="137308"/>
    <n v="5474"/>
    <n v="955.15"/>
    <n v="109314"/>
    <n v="295"/>
    <x v="1"/>
    <m/>
    <m/>
    <m/>
  </r>
  <r>
    <x v="81"/>
    <x v="1"/>
    <x v="6"/>
    <s v="Reels"/>
    <n v="140628"/>
    <n v="6256"/>
    <n v="1075.44"/>
    <n v="114728"/>
    <n v="359"/>
    <x v="1"/>
    <m/>
    <m/>
    <m/>
  </r>
  <r>
    <x v="81"/>
    <x v="1"/>
    <x v="7"/>
    <s v="Feed"/>
    <n v="143292"/>
    <n v="6700"/>
    <n v="1183.23"/>
    <n v="120244"/>
    <n v="365"/>
    <x v="1"/>
    <m/>
    <m/>
    <m/>
  </r>
  <r>
    <x v="81"/>
    <x v="5"/>
    <x v="4"/>
    <s v="Reels"/>
    <n v="92675"/>
    <n v="3656"/>
    <n v="706.93"/>
    <n v="77784"/>
    <n v="133"/>
    <x v="1"/>
    <m/>
    <m/>
    <m/>
  </r>
  <r>
    <x v="81"/>
    <x v="5"/>
    <x v="5"/>
    <s v="Stories"/>
    <n v="57942"/>
    <n v="2022"/>
    <n v="352.87"/>
    <n v="44875"/>
    <n v="112"/>
    <x v="1"/>
    <m/>
    <m/>
    <m/>
  </r>
  <r>
    <x v="82"/>
    <x v="0"/>
    <x v="4"/>
    <s v="Stories"/>
    <n v="49159"/>
    <n v="1888"/>
    <n v="297.60000000000002"/>
    <n v="39073"/>
    <n v="82"/>
    <x v="1"/>
    <m/>
    <m/>
    <m/>
  </r>
  <r>
    <x v="82"/>
    <x v="0"/>
    <x v="5"/>
    <s v="Reels"/>
    <n v="83877"/>
    <n v="3116"/>
    <n v="464.38"/>
    <n v="69003"/>
    <n v="154"/>
    <x v="1"/>
    <m/>
    <m/>
    <m/>
  </r>
  <r>
    <x v="82"/>
    <x v="1"/>
    <x v="6"/>
    <s v="Stories"/>
    <n v="136211"/>
    <n v="5356"/>
    <n v="963.67"/>
    <n v="110656"/>
    <n v="263"/>
    <x v="1"/>
    <m/>
    <m/>
    <m/>
  </r>
  <r>
    <x v="82"/>
    <x v="1"/>
    <x v="7"/>
    <s v="Stories"/>
    <n v="167313"/>
    <n v="7675"/>
    <n v="1144.77"/>
    <n v="135985"/>
    <n v="293"/>
    <x v="1"/>
    <m/>
    <m/>
    <m/>
  </r>
  <r>
    <x v="82"/>
    <x v="5"/>
    <x v="4"/>
    <s v="Reels"/>
    <n v="62691"/>
    <n v="2032"/>
    <n v="357.87"/>
    <n v="51492"/>
    <n v="112"/>
    <x v="1"/>
    <m/>
    <m/>
    <m/>
  </r>
  <r>
    <x v="82"/>
    <x v="5"/>
    <x v="5"/>
    <s v="Stories"/>
    <n v="57301"/>
    <n v="2133"/>
    <n v="338.98"/>
    <n v="42838"/>
    <n v="81"/>
    <x v="1"/>
    <m/>
    <m/>
    <m/>
  </r>
  <r>
    <x v="83"/>
    <x v="0"/>
    <x v="4"/>
    <s v="Stories"/>
    <n v="73322"/>
    <n v="2844"/>
    <n v="444.42"/>
    <n v="61030"/>
    <n v="109"/>
    <x v="1"/>
    <m/>
    <m/>
    <m/>
  </r>
  <r>
    <x v="83"/>
    <x v="0"/>
    <x v="5"/>
    <s v="Feed"/>
    <n v="50150"/>
    <n v="1714"/>
    <n v="332.4"/>
    <n v="38753"/>
    <n v="97"/>
    <x v="1"/>
    <m/>
    <m/>
    <m/>
  </r>
  <r>
    <x v="83"/>
    <x v="1"/>
    <x v="6"/>
    <s v="Stories"/>
    <n v="49831"/>
    <n v="1948"/>
    <n v="359.67"/>
    <n v="40302"/>
    <n v="84"/>
    <x v="1"/>
    <m/>
    <m/>
    <m/>
  </r>
  <r>
    <x v="83"/>
    <x v="1"/>
    <x v="7"/>
    <s v="Stories"/>
    <n v="120225"/>
    <n v="4615"/>
    <n v="703.04"/>
    <n v="92051"/>
    <n v="260"/>
    <x v="1"/>
    <m/>
    <m/>
    <m/>
  </r>
  <r>
    <x v="83"/>
    <x v="5"/>
    <x v="4"/>
    <s v="Reels"/>
    <n v="75335"/>
    <n v="3021"/>
    <n v="527.76"/>
    <n v="58910"/>
    <n v="111"/>
    <x v="1"/>
    <m/>
    <m/>
    <m/>
  </r>
  <r>
    <x v="83"/>
    <x v="5"/>
    <x v="5"/>
    <s v="Stories"/>
    <n v="66007"/>
    <n v="3105"/>
    <n v="572.67999999999995"/>
    <n v="50363"/>
    <n v="192"/>
    <x v="1"/>
    <m/>
    <m/>
    <m/>
  </r>
  <r>
    <x v="84"/>
    <x v="0"/>
    <x v="4"/>
    <s v="Stories"/>
    <n v="78041"/>
    <n v="2759"/>
    <n v="401.29"/>
    <n v="60936"/>
    <n v="127"/>
    <x v="1"/>
    <m/>
    <m/>
    <m/>
  </r>
  <r>
    <x v="84"/>
    <x v="0"/>
    <x v="5"/>
    <s v="Reels"/>
    <n v="123360"/>
    <n v="3979"/>
    <n v="647.79"/>
    <n v="95036"/>
    <n v="242"/>
    <x v="1"/>
    <m/>
    <m/>
    <m/>
  </r>
  <r>
    <x v="84"/>
    <x v="1"/>
    <x v="6"/>
    <s v="Reels"/>
    <n v="105934"/>
    <n v="4000"/>
    <n v="634.4"/>
    <n v="77102"/>
    <n v="241"/>
    <x v="1"/>
    <m/>
    <m/>
    <m/>
  </r>
  <r>
    <x v="84"/>
    <x v="1"/>
    <x v="7"/>
    <s v="Stories"/>
    <n v="84580"/>
    <n v="4059"/>
    <n v="588.83000000000004"/>
    <n v="67429"/>
    <n v="177"/>
    <x v="1"/>
    <m/>
    <m/>
    <m/>
  </r>
  <r>
    <x v="84"/>
    <x v="5"/>
    <x v="4"/>
    <s v="Reels"/>
    <n v="48200"/>
    <n v="2276"/>
    <n v="356.16"/>
    <n v="38448"/>
    <n v="94"/>
    <x v="1"/>
    <m/>
    <m/>
    <m/>
  </r>
  <r>
    <x v="84"/>
    <x v="5"/>
    <x v="5"/>
    <s v="Stories"/>
    <n v="87926"/>
    <n v="3063"/>
    <n v="430.52"/>
    <n v="68778"/>
    <n v="110"/>
    <x v="1"/>
    <m/>
    <m/>
    <m/>
  </r>
  <r>
    <x v="85"/>
    <x v="0"/>
    <x v="4"/>
    <s v="Stories"/>
    <n v="175388"/>
    <n v="5721"/>
    <n v="1005.59"/>
    <n v="130695"/>
    <n v="310"/>
    <x v="1"/>
    <m/>
    <m/>
    <m/>
  </r>
  <r>
    <x v="85"/>
    <x v="0"/>
    <x v="5"/>
    <s v="Feed"/>
    <n v="108834"/>
    <n v="4558"/>
    <n v="863.26"/>
    <n v="83835"/>
    <n v="169"/>
    <x v="1"/>
    <m/>
    <m/>
    <m/>
  </r>
  <r>
    <x v="85"/>
    <x v="1"/>
    <x v="6"/>
    <s v="Reels"/>
    <n v="171926"/>
    <n v="7728"/>
    <n v="1391.97"/>
    <n v="131318"/>
    <n v="461"/>
    <x v="1"/>
    <m/>
    <m/>
    <m/>
  </r>
  <r>
    <x v="85"/>
    <x v="1"/>
    <x v="7"/>
    <s v="Feed"/>
    <n v="50607"/>
    <n v="2022"/>
    <n v="320.20999999999998"/>
    <n v="40234"/>
    <n v="119"/>
    <x v="1"/>
    <m/>
    <m/>
    <m/>
  </r>
  <r>
    <x v="85"/>
    <x v="5"/>
    <x v="4"/>
    <s v="Reels"/>
    <n v="151469"/>
    <n v="5625"/>
    <n v="1051.8499999999999"/>
    <n v="115084"/>
    <n v="329"/>
    <x v="1"/>
    <m/>
    <m/>
    <m/>
  </r>
  <r>
    <x v="85"/>
    <x v="5"/>
    <x v="5"/>
    <s v="Stories"/>
    <n v="170730"/>
    <n v="7845"/>
    <n v="1528.32"/>
    <n v="123878"/>
    <n v="339"/>
    <x v="1"/>
    <m/>
    <m/>
    <m/>
  </r>
  <r>
    <x v="86"/>
    <x v="0"/>
    <x v="4"/>
    <s v="Reels"/>
    <n v="72450"/>
    <n v="2434"/>
    <n v="391.68"/>
    <n v="54100"/>
    <n v="108"/>
    <x v="1"/>
    <m/>
    <m/>
    <m/>
  </r>
  <r>
    <x v="86"/>
    <x v="0"/>
    <x v="5"/>
    <s v="Reels"/>
    <n v="64652"/>
    <n v="3070"/>
    <n v="515.35"/>
    <n v="49769"/>
    <n v="180"/>
    <x v="1"/>
    <m/>
    <m/>
    <m/>
  </r>
  <r>
    <x v="86"/>
    <x v="1"/>
    <x v="6"/>
    <s v="Stories"/>
    <n v="68400"/>
    <n v="3126"/>
    <n v="589.46"/>
    <n v="49253"/>
    <n v="144"/>
    <x v="1"/>
    <m/>
    <m/>
    <m/>
  </r>
  <r>
    <x v="86"/>
    <x v="1"/>
    <x v="7"/>
    <s v="Stories"/>
    <n v="67343"/>
    <n v="2502"/>
    <n v="431.34"/>
    <n v="56219"/>
    <n v="130"/>
    <x v="1"/>
    <m/>
    <m/>
    <m/>
  </r>
  <r>
    <x v="86"/>
    <x v="3"/>
    <x v="4"/>
    <s v="Reels"/>
    <n v="126911"/>
    <n v="5061"/>
    <n v="960.91"/>
    <n v="100075"/>
    <n v="181"/>
    <x v="1"/>
    <m/>
    <m/>
    <m/>
  </r>
  <r>
    <x v="86"/>
    <x v="3"/>
    <x v="5"/>
    <s v="Stories"/>
    <n v="69797"/>
    <n v="2485"/>
    <n v="360.15"/>
    <n v="51047"/>
    <n v="109"/>
    <x v="1"/>
    <m/>
    <m/>
    <m/>
  </r>
  <r>
    <x v="86"/>
    <x v="5"/>
    <x v="4"/>
    <s v="Reels"/>
    <n v="88060"/>
    <n v="3136"/>
    <n v="473.78"/>
    <n v="70370"/>
    <n v="131"/>
    <x v="1"/>
    <m/>
    <m/>
    <m/>
  </r>
  <r>
    <x v="86"/>
    <x v="5"/>
    <x v="5"/>
    <s v="Stories"/>
    <n v="159382"/>
    <n v="6606"/>
    <n v="1129.72"/>
    <n v="133644"/>
    <n v="264"/>
    <x v="1"/>
    <m/>
    <m/>
    <m/>
  </r>
  <r>
    <x v="87"/>
    <x v="0"/>
    <x v="4"/>
    <s v="Reels"/>
    <n v="101379"/>
    <n v="3928"/>
    <n v="705.75"/>
    <n v="80041"/>
    <n v="235"/>
    <x v="1"/>
    <m/>
    <m/>
    <m/>
  </r>
  <r>
    <x v="87"/>
    <x v="0"/>
    <x v="5"/>
    <s v="Reels"/>
    <n v="172942"/>
    <n v="8041"/>
    <n v="1311.5"/>
    <n v="125514"/>
    <n v="305"/>
    <x v="1"/>
    <m/>
    <m/>
    <m/>
  </r>
  <r>
    <x v="87"/>
    <x v="1"/>
    <x v="6"/>
    <s v="Reels"/>
    <n v="47940"/>
    <n v="1643"/>
    <n v="233.38"/>
    <n v="39088"/>
    <n v="60"/>
    <x v="1"/>
    <m/>
    <m/>
    <m/>
  </r>
  <r>
    <x v="87"/>
    <x v="1"/>
    <x v="7"/>
    <s v="Stories"/>
    <n v="47495"/>
    <n v="1954"/>
    <n v="330.29"/>
    <n v="36156"/>
    <n v="99"/>
    <x v="1"/>
    <m/>
    <m/>
    <m/>
  </r>
  <r>
    <x v="87"/>
    <x v="3"/>
    <x v="4"/>
    <s v="Reels"/>
    <n v="122535"/>
    <n v="5867"/>
    <n v="980.91"/>
    <n v="92089"/>
    <n v="265"/>
    <x v="1"/>
    <m/>
    <m/>
    <m/>
  </r>
  <r>
    <x v="87"/>
    <x v="3"/>
    <x v="5"/>
    <s v="Reels"/>
    <n v="157185"/>
    <n v="6962"/>
    <n v="1360.61"/>
    <n v="119534"/>
    <n v="409"/>
    <x v="1"/>
    <m/>
    <m/>
    <m/>
  </r>
  <r>
    <x v="87"/>
    <x v="5"/>
    <x v="4"/>
    <s v="Reels"/>
    <n v="103600"/>
    <n v="4652"/>
    <n v="787.31"/>
    <n v="81415"/>
    <n v="241"/>
    <x v="1"/>
    <m/>
    <m/>
    <m/>
  </r>
  <r>
    <x v="87"/>
    <x v="5"/>
    <x v="5"/>
    <s v="Stories"/>
    <n v="133945"/>
    <n v="4849"/>
    <n v="906.36"/>
    <n v="103295"/>
    <n v="158"/>
    <x v="1"/>
    <m/>
    <m/>
    <m/>
  </r>
  <r>
    <x v="88"/>
    <x v="0"/>
    <x v="4"/>
    <s v="Reels"/>
    <n v="61616"/>
    <n v="2195"/>
    <n v="367.54"/>
    <n v="45185"/>
    <n v="106"/>
    <x v="1"/>
    <m/>
    <m/>
    <m/>
  </r>
  <r>
    <x v="88"/>
    <x v="0"/>
    <x v="5"/>
    <s v="Feed"/>
    <n v="67020"/>
    <n v="3081"/>
    <n v="488.1"/>
    <n v="51762"/>
    <n v="189"/>
    <x v="1"/>
    <m/>
    <m/>
    <m/>
  </r>
  <r>
    <x v="88"/>
    <x v="1"/>
    <x v="6"/>
    <s v="Reels"/>
    <n v="131501"/>
    <n v="4592"/>
    <n v="868.81"/>
    <n v="108655"/>
    <n v="217"/>
    <x v="1"/>
    <m/>
    <m/>
    <m/>
  </r>
  <r>
    <x v="88"/>
    <x v="1"/>
    <x v="7"/>
    <s v="Feed"/>
    <n v="161465"/>
    <n v="5740"/>
    <n v="809.36"/>
    <n v="130465"/>
    <n v="244"/>
    <x v="1"/>
    <m/>
    <m/>
    <m/>
  </r>
  <r>
    <x v="88"/>
    <x v="5"/>
    <x v="4"/>
    <s v="Reels"/>
    <n v="141411"/>
    <n v="6470"/>
    <n v="1109.6199999999999"/>
    <n v="115395"/>
    <n v="277"/>
    <x v="1"/>
    <m/>
    <m/>
    <m/>
  </r>
  <r>
    <x v="88"/>
    <x v="5"/>
    <x v="5"/>
    <s v="Stories"/>
    <n v="163699"/>
    <n v="7719"/>
    <n v="1326.53"/>
    <n v="125219"/>
    <n v="270"/>
    <x v="1"/>
    <m/>
    <m/>
    <m/>
  </r>
  <r>
    <x v="89"/>
    <x v="0"/>
    <x v="4"/>
    <s v="Reels"/>
    <n v="153683"/>
    <n v="6477"/>
    <n v="1147.02"/>
    <n v="126202"/>
    <n v="353"/>
    <x v="1"/>
    <m/>
    <m/>
    <m/>
  </r>
  <r>
    <x v="89"/>
    <x v="0"/>
    <x v="5"/>
    <s v="Reels"/>
    <n v="137651"/>
    <n v="6479"/>
    <n v="1144.06"/>
    <n v="113286"/>
    <n v="261"/>
    <x v="1"/>
    <m/>
    <m/>
    <m/>
  </r>
  <r>
    <x v="89"/>
    <x v="1"/>
    <x v="6"/>
    <s v="Stories"/>
    <n v="96020"/>
    <n v="3671"/>
    <n v="628.86"/>
    <n v="73988"/>
    <n v="169"/>
    <x v="1"/>
    <m/>
    <m/>
    <m/>
  </r>
  <r>
    <x v="89"/>
    <x v="1"/>
    <x v="7"/>
    <s v="Stories"/>
    <n v="68693"/>
    <n v="2991"/>
    <n v="472.58"/>
    <n v="50076"/>
    <n v="159"/>
    <x v="1"/>
    <m/>
    <m/>
    <m/>
  </r>
  <r>
    <x v="89"/>
    <x v="5"/>
    <x v="4"/>
    <s v="Reels"/>
    <n v="81069"/>
    <n v="3791"/>
    <n v="670.2"/>
    <n v="67701"/>
    <n v="128"/>
    <x v="1"/>
    <m/>
    <m/>
    <m/>
  </r>
  <r>
    <x v="89"/>
    <x v="5"/>
    <x v="5"/>
    <s v="Stories"/>
    <n v="69405"/>
    <n v="2380"/>
    <n v="450.64"/>
    <n v="56339"/>
    <n v="133"/>
    <x v="1"/>
    <m/>
    <m/>
    <m/>
  </r>
  <r>
    <x v="0"/>
    <x v="6"/>
    <x v="9"/>
    <m/>
    <n v="20418"/>
    <n v="1408"/>
    <n v="376.86"/>
    <n v="376.86"/>
    <n v="82"/>
    <x v="2"/>
    <s v="bella cucina restaurant"/>
    <s v="Exact"/>
    <s v="9"/>
  </r>
  <r>
    <x v="0"/>
    <x v="6"/>
    <x v="9"/>
    <m/>
    <n v="33621"/>
    <n v="1815"/>
    <n v="394.19"/>
    <n v="394.19"/>
    <n v="165"/>
    <x v="2"/>
    <s v="bella cucina near me"/>
    <s v="Phrase"/>
    <s v="8"/>
  </r>
  <r>
    <x v="0"/>
    <x v="7"/>
    <x v="10"/>
    <m/>
    <n v="20847"/>
    <n v="1026"/>
    <n v="248.87"/>
    <m/>
    <n v="86"/>
    <x v="2"/>
    <s v="italian food near me"/>
    <s v="Phrase"/>
    <s v="7"/>
  </r>
  <r>
    <x v="0"/>
    <x v="7"/>
    <x v="11"/>
    <m/>
    <n v="25344"/>
    <n v="1477"/>
    <n v="279.33"/>
    <m/>
    <n v="86"/>
    <x v="2"/>
    <s v="competitor italian chain"/>
    <s v="Broad"/>
    <s v="4"/>
  </r>
  <r>
    <x v="0"/>
    <x v="8"/>
    <x v="12"/>
    <m/>
    <n v="117973"/>
    <n v="1578"/>
    <n v="304.98"/>
    <m/>
    <n v="101"/>
    <x v="2"/>
    <s v="N/A"/>
    <s v="N/A"/>
    <s v="N/A"/>
  </r>
  <r>
    <x v="0"/>
    <x v="8"/>
    <x v="13"/>
    <m/>
    <n v="148335"/>
    <n v="1638"/>
    <n v="408.78"/>
    <m/>
    <n v="143"/>
    <x v="2"/>
    <s v="N/A"/>
    <s v="N/A"/>
    <s v="N/A"/>
  </r>
  <r>
    <x v="0"/>
    <x v="9"/>
    <x v="14"/>
    <m/>
    <n v="37676"/>
    <n v="2436"/>
    <n v="554.85"/>
    <m/>
    <n v="156"/>
    <x v="2"/>
    <s v="weekend italian dinner"/>
    <s v="Phrase"/>
    <s v="8"/>
  </r>
  <r>
    <x v="0"/>
    <x v="9"/>
    <x v="14"/>
    <m/>
    <n v="15854"/>
    <n v="1039"/>
    <n v="197.66"/>
    <m/>
    <n v="70"/>
    <x v="2"/>
    <s v="endless pasta deal"/>
    <s v="Exact"/>
    <s v="8"/>
  </r>
  <r>
    <x v="0"/>
    <x v="10"/>
    <x v="15"/>
    <m/>
    <n v="29611"/>
    <n v="1518"/>
    <n v="390.65"/>
    <m/>
    <n v="129"/>
    <x v="2"/>
    <s v="new year dinner restaurant"/>
    <s v="Phrase"/>
    <s v="7"/>
  </r>
  <r>
    <x v="1"/>
    <x v="6"/>
    <x v="9"/>
    <m/>
    <n v="18725"/>
    <n v="1187"/>
    <n v="294.04000000000002"/>
    <m/>
    <n v="68"/>
    <x v="2"/>
    <s v="bella cucina restaurant"/>
    <s v="Exact"/>
    <s v="9"/>
  </r>
  <r>
    <x v="1"/>
    <x v="6"/>
    <x v="9"/>
    <m/>
    <n v="10555"/>
    <n v="661"/>
    <n v="129.83000000000001"/>
    <m/>
    <n v="45"/>
    <x v="2"/>
    <s v="bella cucina near me"/>
    <s v="Phrase"/>
    <s v="8"/>
  </r>
  <r>
    <x v="1"/>
    <x v="7"/>
    <x v="10"/>
    <m/>
    <n v="23962"/>
    <n v="1511"/>
    <n v="294.85000000000002"/>
    <m/>
    <n v="107"/>
    <x v="2"/>
    <s v="italian food near me"/>
    <s v="Phrase"/>
    <s v="7"/>
  </r>
  <r>
    <x v="1"/>
    <x v="7"/>
    <x v="11"/>
    <m/>
    <n v="38992"/>
    <n v="2676"/>
    <n v="504.88"/>
    <m/>
    <n v="157"/>
    <x v="2"/>
    <s v="competitor italian chain"/>
    <s v="Broad"/>
    <s v="4"/>
  </r>
  <r>
    <x v="1"/>
    <x v="8"/>
    <x v="12"/>
    <m/>
    <n v="106142"/>
    <n v="1480"/>
    <n v="323.24"/>
    <m/>
    <n v="138"/>
    <x v="2"/>
    <s v="N/A"/>
    <s v="N/A"/>
    <s v="N/A"/>
  </r>
  <r>
    <x v="1"/>
    <x v="8"/>
    <x v="13"/>
    <m/>
    <n v="131222"/>
    <n v="1962"/>
    <n v="401.78"/>
    <m/>
    <n v="158"/>
    <x v="2"/>
    <s v="N/A"/>
    <s v="N/A"/>
    <s v="N/A"/>
  </r>
  <r>
    <x v="1"/>
    <x v="9"/>
    <x v="14"/>
    <m/>
    <n v="26263"/>
    <n v="1609"/>
    <n v="386.16"/>
    <m/>
    <n v="127"/>
    <x v="2"/>
    <s v="weekend italian dinner"/>
    <s v="Phrase"/>
    <s v="8"/>
  </r>
  <r>
    <x v="1"/>
    <x v="9"/>
    <x v="14"/>
    <m/>
    <n v="11757"/>
    <n v="803"/>
    <n v="197.41"/>
    <m/>
    <n v="53"/>
    <x v="2"/>
    <s v="endless pasta deal"/>
    <s v="Exact"/>
    <s v="8"/>
  </r>
  <r>
    <x v="1"/>
    <x v="10"/>
    <x v="15"/>
    <m/>
    <n v="43931"/>
    <n v="2748"/>
    <n v="546.48"/>
    <m/>
    <n v="194"/>
    <x v="2"/>
    <s v="new year dinner restaurant"/>
    <s v="Phrase"/>
    <s v="7"/>
  </r>
  <r>
    <x v="2"/>
    <x v="6"/>
    <x v="9"/>
    <m/>
    <n v="19006"/>
    <n v="1269"/>
    <n v="329.15"/>
    <m/>
    <n v="81"/>
    <x v="2"/>
    <s v="bella cucina restaurant"/>
    <s v="Exact"/>
    <s v="9"/>
  </r>
  <r>
    <x v="2"/>
    <x v="6"/>
    <x v="9"/>
    <m/>
    <n v="49404"/>
    <n v="2505"/>
    <n v="576.04999999999995"/>
    <m/>
    <n v="197"/>
    <x v="2"/>
    <s v="bella cucina near me"/>
    <s v="Phrase"/>
    <s v="8"/>
  </r>
  <r>
    <x v="2"/>
    <x v="7"/>
    <x v="10"/>
    <m/>
    <n v="62469"/>
    <n v="4330"/>
    <n v="784.63"/>
    <m/>
    <n v="300"/>
    <x v="2"/>
    <s v="italian food near me"/>
    <s v="Phrase"/>
    <s v="7"/>
  </r>
  <r>
    <x v="2"/>
    <x v="7"/>
    <x v="11"/>
    <m/>
    <n v="43036"/>
    <n v="2202"/>
    <n v="585.91"/>
    <m/>
    <n v="171"/>
    <x v="2"/>
    <s v="competitor italian chain"/>
    <s v="Broad"/>
    <s v="4"/>
  </r>
  <r>
    <x v="2"/>
    <x v="8"/>
    <x v="12"/>
    <m/>
    <n v="193053"/>
    <n v="2650"/>
    <n v="522.78"/>
    <m/>
    <n v="195"/>
    <x v="2"/>
    <s v="N/A"/>
    <s v="N/A"/>
    <s v="N/A"/>
  </r>
  <r>
    <x v="2"/>
    <x v="8"/>
    <x v="13"/>
    <m/>
    <n v="139393"/>
    <n v="1544"/>
    <n v="288.35000000000002"/>
    <m/>
    <n v="101"/>
    <x v="2"/>
    <s v="N/A"/>
    <s v="N/A"/>
    <s v="N/A"/>
  </r>
  <r>
    <x v="2"/>
    <x v="9"/>
    <x v="14"/>
    <m/>
    <n v="17654"/>
    <n v="1238"/>
    <n v="340.29"/>
    <m/>
    <n v="87"/>
    <x v="2"/>
    <s v="weekend italian dinner"/>
    <s v="Phrase"/>
    <s v="8"/>
  </r>
  <r>
    <x v="2"/>
    <x v="9"/>
    <x v="14"/>
    <m/>
    <n v="40285"/>
    <n v="2541"/>
    <n v="584.70000000000005"/>
    <m/>
    <n v="181"/>
    <x v="2"/>
    <s v="endless pasta deal"/>
    <s v="Exact"/>
    <s v="8"/>
  </r>
  <r>
    <x v="2"/>
    <x v="10"/>
    <x v="15"/>
    <m/>
    <n v="50908"/>
    <n v="2544"/>
    <n v="594.41999999999996"/>
    <m/>
    <n v="202"/>
    <x v="2"/>
    <s v="new year dinner restaurant"/>
    <s v="Phrase"/>
    <s v="7"/>
  </r>
  <r>
    <x v="3"/>
    <x v="6"/>
    <x v="9"/>
    <m/>
    <n v="39457"/>
    <n v="1973"/>
    <n v="370.73"/>
    <m/>
    <n v="181"/>
    <x v="2"/>
    <s v="bella cucina restaurant"/>
    <s v="Exact"/>
    <s v="9"/>
  </r>
  <r>
    <x v="3"/>
    <x v="6"/>
    <x v="9"/>
    <m/>
    <n v="28254"/>
    <n v="1719"/>
    <n v="376.59"/>
    <m/>
    <n v="138"/>
    <x v="2"/>
    <s v="bella cucina near me"/>
    <s v="Phrase"/>
    <s v="8"/>
  </r>
  <r>
    <x v="3"/>
    <x v="7"/>
    <x v="10"/>
    <m/>
    <n v="20064"/>
    <n v="1112"/>
    <n v="248.81"/>
    <m/>
    <n v="103"/>
    <x v="2"/>
    <s v="italian food near me"/>
    <s v="Phrase"/>
    <s v="7"/>
  </r>
  <r>
    <x v="3"/>
    <x v="7"/>
    <x v="11"/>
    <m/>
    <n v="35894"/>
    <n v="1772"/>
    <n v="334.24"/>
    <m/>
    <n v="128"/>
    <x v="2"/>
    <s v="competitor italian chain"/>
    <s v="Broad"/>
    <s v="4"/>
  </r>
  <r>
    <x v="3"/>
    <x v="8"/>
    <x v="12"/>
    <m/>
    <n v="209193"/>
    <n v="2941"/>
    <n v="545.55999999999995"/>
    <m/>
    <n v="240"/>
    <x v="2"/>
    <s v="N/A"/>
    <s v="N/A"/>
    <s v="N/A"/>
  </r>
  <r>
    <x v="3"/>
    <x v="8"/>
    <x v="13"/>
    <m/>
    <n v="158230"/>
    <n v="1835"/>
    <n v="460.2"/>
    <m/>
    <n v="152"/>
    <x v="2"/>
    <s v="N/A"/>
    <s v="N/A"/>
    <s v="N/A"/>
  </r>
  <r>
    <x v="3"/>
    <x v="9"/>
    <x v="14"/>
    <m/>
    <n v="29030"/>
    <n v="1739"/>
    <n v="373.31"/>
    <m/>
    <n v="131"/>
    <x v="2"/>
    <s v="weekend italian dinner"/>
    <s v="Phrase"/>
    <s v="8"/>
  </r>
  <r>
    <x v="3"/>
    <x v="9"/>
    <x v="14"/>
    <m/>
    <n v="37786"/>
    <n v="1965"/>
    <n v="378.64"/>
    <m/>
    <n v="169"/>
    <x v="2"/>
    <s v="endless pasta deal"/>
    <s v="Exact"/>
    <s v="8"/>
  </r>
  <r>
    <x v="3"/>
    <x v="10"/>
    <x v="15"/>
    <m/>
    <n v="38658"/>
    <n v="2535"/>
    <n v="486.23"/>
    <m/>
    <n v="230"/>
    <x v="2"/>
    <s v="new year dinner restaurant"/>
    <s v="Phrase"/>
    <s v="7"/>
  </r>
  <r>
    <x v="4"/>
    <x v="6"/>
    <x v="9"/>
    <m/>
    <n v="31955"/>
    <n v="2152"/>
    <n v="445.89"/>
    <m/>
    <n v="123"/>
    <x v="2"/>
    <s v="bella cucina restaurant"/>
    <s v="Exact"/>
    <s v="9"/>
  </r>
  <r>
    <x v="4"/>
    <x v="6"/>
    <x v="9"/>
    <m/>
    <n v="15050"/>
    <n v="901"/>
    <n v="208.2"/>
    <m/>
    <n v="51"/>
    <x v="2"/>
    <s v="bella cucina near me"/>
    <s v="Phrase"/>
    <s v="8"/>
  </r>
  <r>
    <x v="4"/>
    <x v="7"/>
    <x v="10"/>
    <m/>
    <n v="20936"/>
    <n v="1189"/>
    <n v="244.35"/>
    <m/>
    <n v="70"/>
    <x v="2"/>
    <s v="italian food near me"/>
    <s v="Phrase"/>
    <s v="7"/>
  </r>
  <r>
    <x v="4"/>
    <x v="7"/>
    <x v="11"/>
    <m/>
    <n v="17558"/>
    <n v="939"/>
    <n v="216.8"/>
    <m/>
    <n v="53"/>
    <x v="2"/>
    <s v="competitor italian chain"/>
    <s v="Broad"/>
    <s v="4"/>
  </r>
  <r>
    <x v="4"/>
    <x v="8"/>
    <x v="12"/>
    <m/>
    <n v="91610"/>
    <n v="1119"/>
    <n v="254.21"/>
    <m/>
    <n v="78"/>
    <x v="2"/>
    <s v="N/A"/>
    <s v="N/A"/>
    <s v="N/A"/>
  </r>
  <r>
    <x v="4"/>
    <x v="8"/>
    <x v="13"/>
    <m/>
    <n v="109671"/>
    <n v="1304"/>
    <n v="359.95"/>
    <m/>
    <n v="73"/>
    <x v="2"/>
    <s v="N/A"/>
    <s v="N/A"/>
    <s v="N/A"/>
  </r>
  <r>
    <x v="4"/>
    <x v="9"/>
    <x v="14"/>
    <m/>
    <n v="37483"/>
    <n v="2001"/>
    <n v="409.86"/>
    <m/>
    <n v="183"/>
    <x v="2"/>
    <s v="weekend italian dinner"/>
    <s v="Phrase"/>
    <s v="8"/>
  </r>
  <r>
    <x v="4"/>
    <x v="9"/>
    <x v="14"/>
    <m/>
    <n v="30967"/>
    <n v="1688"/>
    <n v="316.99"/>
    <m/>
    <n v="118"/>
    <x v="2"/>
    <s v="endless pasta deal"/>
    <s v="Exact"/>
    <s v="8"/>
  </r>
  <r>
    <x v="4"/>
    <x v="10"/>
    <x v="15"/>
    <m/>
    <n v="42901"/>
    <n v="2752"/>
    <n v="509.86"/>
    <m/>
    <n v="175"/>
    <x v="2"/>
    <s v="new year dinner restaurant"/>
    <s v="Phrase"/>
    <s v="7"/>
  </r>
  <r>
    <x v="5"/>
    <x v="6"/>
    <x v="9"/>
    <m/>
    <n v="43801"/>
    <n v="3134"/>
    <n v="863.13"/>
    <m/>
    <n v="181"/>
    <x v="2"/>
    <s v="bella cucina restaurant"/>
    <s v="Exact"/>
    <s v="9"/>
  </r>
  <r>
    <x v="5"/>
    <x v="6"/>
    <x v="9"/>
    <m/>
    <n v="40480"/>
    <n v="2784"/>
    <n v="716.47"/>
    <m/>
    <n v="187"/>
    <x v="2"/>
    <s v="bella cucina near me"/>
    <s v="Phrase"/>
    <s v="8"/>
  </r>
  <r>
    <x v="5"/>
    <x v="7"/>
    <x v="10"/>
    <m/>
    <n v="15661"/>
    <n v="959"/>
    <n v="173.38"/>
    <m/>
    <n v="60"/>
    <x v="2"/>
    <s v="italian food near me"/>
    <s v="Phrase"/>
    <s v="7"/>
  </r>
  <r>
    <x v="5"/>
    <x v="7"/>
    <x v="11"/>
    <m/>
    <n v="29917"/>
    <n v="1967"/>
    <n v="401.78"/>
    <m/>
    <n v="137"/>
    <x v="2"/>
    <s v="competitor italian chain"/>
    <s v="Broad"/>
    <s v="4"/>
  </r>
  <r>
    <x v="5"/>
    <x v="8"/>
    <x v="12"/>
    <m/>
    <n v="154665"/>
    <n v="2472"/>
    <n v="636.76"/>
    <m/>
    <n v="208"/>
    <x v="2"/>
    <s v="N/A"/>
    <s v="N/A"/>
    <s v="N/A"/>
  </r>
  <r>
    <x v="5"/>
    <x v="8"/>
    <x v="13"/>
    <m/>
    <n v="161638"/>
    <n v="2392"/>
    <n v="489.19"/>
    <m/>
    <n v="132"/>
    <x v="2"/>
    <s v="N/A"/>
    <s v="N/A"/>
    <s v="N/A"/>
  </r>
  <r>
    <x v="5"/>
    <x v="9"/>
    <x v="14"/>
    <m/>
    <n v="36872"/>
    <n v="1791"/>
    <n v="419.37"/>
    <m/>
    <n v="144"/>
    <x v="2"/>
    <s v="weekend italian dinner"/>
    <s v="Phrase"/>
    <s v="8"/>
  </r>
  <r>
    <x v="5"/>
    <x v="9"/>
    <x v="14"/>
    <m/>
    <n v="10628"/>
    <n v="752"/>
    <n v="135.47"/>
    <m/>
    <n v="61"/>
    <x v="2"/>
    <s v="endless pasta deal"/>
    <s v="Exact"/>
    <s v="8"/>
  </r>
  <r>
    <x v="5"/>
    <x v="10"/>
    <x v="15"/>
    <m/>
    <n v="30153"/>
    <n v="1522"/>
    <n v="354.6"/>
    <m/>
    <n v="98"/>
    <x v="2"/>
    <s v="new year dinner restaurant"/>
    <s v="Phrase"/>
    <s v="7"/>
  </r>
  <r>
    <x v="6"/>
    <x v="6"/>
    <x v="9"/>
    <m/>
    <n v="42245"/>
    <n v="3002"/>
    <n v="832.32"/>
    <m/>
    <n v="182"/>
    <x v="2"/>
    <s v="bella cucina restaurant"/>
    <s v="Exact"/>
    <s v="9"/>
  </r>
  <r>
    <x v="6"/>
    <x v="6"/>
    <x v="9"/>
    <m/>
    <n v="28338"/>
    <n v="1423"/>
    <n v="387.24"/>
    <m/>
    <n v="129"/>
    <x v="2"/>
    <s v="bella cucina near me"/>
    <s v="Phrase"/>
    <s v="8"/>
  </r>
  <r>
    <x v="6"/>
    <x v="7"/>
    <x v="10"/>
    <m/>
    <n v="44062"/>
    <n v="2551"/>
    <n v="687.64"/>
    <m/>
    <n v="187"/>
    <x v="2"/>
    <s v="italian food near me"/>
    <s v="Phrase"/>
    <s v="7"/>
  </r>
  <r>
    <x v="6"/>
    <x v="7"/>
    <x v="11"/>
    <m/>
    <n v="15564"/>
    <n v="964"/>
    <n v="222.24"/>
    <m/>
    <n v="77"/>
    <x v="2"/>
    <s v="competitor italian chain"/>
    <s v="Broad"/>
    <s v="4"/>
  </r>
  <r>
    <x v="6"/>
    <x v="8"/>
    <x v="12"/>
    <m/>
    <n v="141688"/>
    <n v="1611"/>
    <n v="381.46"/>
    <m/>
    <n v="116"/>
    <x v="2"/>
    <s v="N/A"/>
    <s v="N/A"/>
    <s v="N/A"/>
  </r>
  <r>
    <x v="6"/>
    <x v="8"/>
    <x v="13"/>
    <m/>
    <n v="107132"/>
    <n v="1305"/>
    <n v="268.95999999999998"/>
    <m/>
    <n v="88"/>
    <x v="2"/>
    <s v="N/A"/>
    <s v="N/A"/>
    <s v="N/A"/>
  </r>
  <r>
    <x v="6"/>
    <x v="9"/>
    <x v="14"/>
    <m/>
    <n v="35752"/>
    <n v="2317"/>
    <n v="587.44000000000005"/>
    <m/>
    <n v="156"/>
    <x v="2"/>
    <s v="weekend italian dinner"/>
    <s v="Phrase"/>
    <s v="8"/>
  </r>
  <r>
    <x v="6"/>
    <x v="9"/>
    <x v="14"/>
    <m/>
    <n v="27822"/>
    <n v="1491"/>
    <n v="409.06"/>
    <m/>
    <n v="90"/>
    <x v="2"/>
    <s v="endless pasta deal"/>
    <s v="Exact"/>
    <s v="8"/>
  </r>
  <r>
    <x v="6"/>
    <x v="10"/>
    <x v="15"/>
    <m/>
    <n v="17141"/>
    <n v="886"/>
    <n v="174.04"/>
    <m/>
    <n v="65"/>
    <x v="2"/>
    <s v="new year dinner restaurant"/>
    <s v="Phrase"/>
    <s v="7"/>
  </r>
  <r>
    <x v="7"/>
    <x v="6"/>
    <x v="9"/>
    <m/>
    <n v="36641"/>
    <n v="1864"/>
    <n v="402.3"/>
    <m/>
    <n v="159"/>
    <x v="2"/>
    <s v="bella cucina restaurant"/>
    <s v="Exact"/>
    <s v="9"/>
  </r>
  <r>
    <x v="7"/>
    <x v="6"/>
    <x v="9"/>
    <m/>
    <n v="39616"/>
    <n v="2194"/>
    <n v="453.06"/>
    <m/>
    <n v="131"/>
    <x v="2"/>
    <s v="bella cucina near me"/>
    <s v="Phrase"/>
    <s v="8"/>
  </r>
  <r>
    <x v="7"/>
    <x v="7"/>
    <x v="10"/>
    <m/>
    <n v="20329"/>
    <n v="1369"/>
    <n v="288.07"/>
    <m/>
    <n v="113"/>
    <x v="2"/>
    <s v="italian food near me"/>
    <s v="Phrase"/>
    <s v="7"/>
  </r>
  <r>
    <x v="7"/>
    <x v="7"/>
    <x v="11"/>
    <m/>
    <n v="12643"/>
    <n v="672"/>
    <n v="178.52"/>
    <m/>
    <n v="40"/>
    <x v="2"/>
    <s v="competitor italian chain"/>
    <s v="Broad"/>
    <s v="4"/>
  </r>
  <r>
    <x v="7"/>
    <x v="8"/>
    <x v="12"/>
    <m/>
    <n v="122534"/>
    <n v="1941"/>
    <n v="426.29"/>
    <m/>
    <n v="110"/>
    <x v="2"/>
    <s v="N/A"/>
    <s v="N/A"/>
    <s v="N/A"/>
  </r>
  <r>
    <x v="7"/>
    <x v="8"/>
    <x v="13"/>
    <m/>
    <n v="129169"/>
    <n v="1588"/>
    <n v="443.16"/>
    <m/>
    <n v="89"/>
    <x v="2"/>
    <s v="N/A"/>
    <s v="N/A"/>
    <s v="N/A"/>
  </r>
  <r>
    <x v="7"/>
    <x v="9"/>
    <x v="14"/>
    <m/>
    <n v="36502"/>
    <n v="2500"/>
    <n v="588.99"/>
    <m/>
    <n v="192"/>
    <x v="2"/>
    <s v="weekend italian dinner"/>
    <s v="Phrase"/>
    <s v="8"/>
  </r>
  <r>
    <x v="7"/>
    <x v="9"/>
    <x v="14"/>
    <m/>
    <n v="16207"/>
    <n v="957"/>
    <n v="249.19"/>
    <m/>
    <n v="57"/>
    <x v="2"/>
    <s v="endless pasta deal"/>
    <s v="Exact"/>
    <s v="8"/>
  </r>
  <r>
    <x v="7"/>
    <x v="10"/>
    <x v="15"/>
    <m/>
    <n v="10783"/>
    <n v="533"/>
    <n v="137.57"/>
    <m/>
    <n v="34"/>
    <x v="2"/>
    <s v="new year dinner restaurant"/>
    <s v="Phrase"/>
    <s v="7"/>
  </r>
  <r>
    <x v="8"/>
    <x v="6"/>
    <x v="9"/>
    <m/>
    <n v="22984"/>
    <n v="1557"/>
    <n v="338.22"/>
    <m/>
    <n v="124"/>
    <x v="2"/>
    <s v="bella cucina restaurant"/>
    <s v="Exact"/>
    <s v="9"/>
  </r>
  <r>
    <x v="8"/>
    <x v="6"/>
    <x v="9"/>
    <m/>
    <n v="15507"/>
    <n v="961"/>
    <n v="197.85"/>
    <m/>
    <n v="84"/>
    <x v="2"/>
    <s v="bella cucina near me"/>
    <s v="Phrase"/>
    <s v="8"/>
  </r>
  <r>
    <x v="8"/>
    <x v="7"/>
    <x v="10"/>
    <m/>
    <n v="11428"/>
    <n v="822"/>
    <n v="164.22"/>
    <m/>
    <n v="66"/>
    <x v="2"/>
    <s v="italian food near me"/>
    <s v="Phrase"/>
    <s v="7"/>
  </r>
  <r>
    <x v="8"/>
    <x v="7"/>
    <x v="11"/>
    <m/>
    <n v="18440"/>
    <n v="925"/>
    <n v="244.87"/>
    <m/>
    <n v="80"/>
    <x v="2"/>
    <s v="competitor italian chain"/>
    <s v="Broad"/>
    <s v="4"/>
  </r>
  <r>
    <x v="8"/>
    <x v="8"/>
    <x v="12"/>
    <m/>
    <n v="106059"/>
    <n v="1189"/>
    <n v="268.83"/>
    <m/>
    <n v="73"/>
    <x v="2"/>
    <s v="N/A"/>
    <s v="N/A"/>
    <s v="N/A"/>
  </r>
  <r>
    <x v="8"/>
    <x v="8"/>
    <x v="13"/>
    <m/>
    <n v="165220"/>
    <n v="2175"/>
    <n v="549.05999999999995"/>
    <m/>
    <n v="162"/>
    <x v="2"/>
    <s v="N/A"/>
    <s v="N/A"/>
    <s v="N/A"/>
  </r>
  <r>
    <x v="8"/>
    <x v="9"/>
    <x v="14"/>
    <m/>
    <n v="35082"/>
    <n v="2259"/>
    <n v="445.66"/>
    <m/>
    <n v="143"/>
    <x v="2"/>
    <s v="weekend italian dinner"/>
    <s v="Phrase"/>
    <s v="8"/>
  </r>
  <r>
    <x v="8"/>
    <x v="9"/>
    <x v="14"/>
    <m/>
    <n v="22265"/>
    <n v="1215"/>
    <n v="272.89"/>
    <m/>
    <n v="74"/>
    <x v="2"/>
    <s v="endless pasta deal"/>
    <s v="Exact"/>
    <s v="8"/>
  </r>
  <r>
    <x v="8"/>
    <x v="10"/>
    <x v="15"/>
    <m/>
    <n v="26107"/>
    <n v="1658"/>
    <n v="381.16"/>
    <m/>
    <n v="149"/>
    <x v="2"/>
    <s v="new year dinner restaurant"/>
    <s v="Phrase"/>
    <s v="7"/>
  </r>
  <r>
    <x v="9"/>
    <x v="6"/>
    <x v="9"/>
    <m/>
    <n v="57950"/>
    <n v="2866"/>
    <n v="596.05999999999995"/>
    <m/>
    <n v="173"/>
    <x v="2"/>
    <s v="bella cucina restaurant"/>
    <s v="Exact"/>
    <s v="9"/>
  </r>
  <r>
    <x v="9"/>
    <x v="6"/>
    <x v="9"/>
    <m/>
    <n v="32299"/>
    <n v="2048"/>
    <n v="531.91"/>
    <m/>
    <n v="133"/>
    <x v="2"/>
    <s v="bella cucina near me"/>
    <s v="Phrase"/>
    <s v="8"/>
  </r>
  <r>
    <x v="9"/>
    <x v="7"/>
    <x v="10"/>
    <m/>
    <n v="15790"/>
    <n v="1132"/>
    <n v="292.27"/>
    <m/>
    <n v="78"/>
    <x v="2"/>
    <s v="italian food near me"/>
    <s v="Phrase"/>
    <s v="7"/>
  </r>
  <r>
    <x v="9"/>
    <x v="7"/>
    <x v="11"/>
    <m/>
    <n v="58468"/>
    <n v="3289"/>
    <n v="778.06"/>
    <m/>
    <n v="223"/>
    <x v="2"/>
    <s v="competitor italian chain"/>
    <s v="Broad"/>
    <s v="4"/>
  </r>
  <r>
    <x v="9"/>
    <x v="8"/>
    <x v="12"/>
    <m/>
    <n v="175624"/>
    <n v="2089"/>
    <n v="442.63"/>
    <m/>
    <n v="133"/>
    <x v="2"/>
    <s v="N/A"/>
    <s v="N/A"/>
    <s v="N/A"/>
  </r>
  <r>
    <x v="9"/>
    <x v="8"/>
    <x v="13"/>
    <m/>
    <n v="177550"/>
    <n v="2005"/>
    <n v="559.70000000000005"/>
    <m/>
    <n v="152"/>
    <x v="2"/>
    <s v="N/A"/>
    <s v="N/A"/>
    <s v="N/A"/>
  </r>
  <r>
    <x v="9"/>
    <x v="9"/>
    <x v="14"/>
    <m/>
    <n v="35355"/>
    <n v="2523"/>
    <n v="479.4"/>
    <m/>
    <n v="205"/>
    <x v="2"/>
    <s v="weekend italian dinner"/>
    <s v="Phrase"/>
    <s v="8"/>
  </r>
  <r>
    <x v="9"/>
    <x v="9"/>
    <x v="14"/>
    <m/>
    <n v="38453"/>
    <n v="2338"/>
    <n v="605.83000000000004"/>
    <m/>
    <n v="197"/>
    <x v="2"/>
    <s v="endless pasta deal"/>
    <s v="Exact"/>
    <s v="8"/>
  </r>
  <r>
    <x v="9"/>
    <x v="10"/>
    <x v="15"/>
    <m/>
    <n v="34130"/>
    <n v="2109"/>
    <n v="586.86"/>
    <m/>
    <n v="148"/>
    <x v="2"/>
    <s v="new year dinner restaurant"/>
    <s v="Phrase"/>
    <s v="7"/>
  </r>
  <r>
    <x v="10"/>
    <x v="6"/>
    <x v="9"/>
    <m/>
    <n v="29937"/>
    <n v="1563"/>
    <n v="373.95"/>
    <m/>
    <n v="136"/>
    <x v="2"/>
    <s v="bella cucina restaurant"/>
    <s v="Exact"/>
    <s v="9"/>
  </r>
  <r>
    <x v="10"/>
    <x v="6"/>
    <x v="9"/>
    <m/>
    <n v="46918"/>
    <n v="3281"/>
    <n v="599.83000000000004"/>
    <m/>
    <n v="272"/>
    <x v="2"/>
    <s v="bella cucina near me"/>
    <s v="Phrase"/>
    <s v="8"/>
  </r>
  <r>
    <x v="10"/>
    <x v="7"/>
    <x v="10"/>
    <m/>
    <n v="27036"/>
    <n v="1663"/>
    <n v="330.64"/>
    <m/>
    <n v="157"/>
    <x v="2"/>
    <s v="italian food near me"/>
    <s v="Phrase"/>
    <s v="7"/>
  </r>
  <r>
    <x v="10"/>
    <x v="7"/>
    <x v="11"/>
    <m/>
    <n v="59161"/>
    <n v="3609"/>
    <n v="712.98"/>
    <m/>
    <n v="203"/>
    <x v="2"/>
    <s v="competitor italian chain"/>
    <s v="Broad"/>
    <s v="4"/>
  </r>
  <r>
    <x v="10"/>
    <x v="8"/>
    <x v="12"/>
    <m/>
    <n v="136306"/>
    <n v="1657"/>
    <n v="334.52"/>
    <m/>
    <n v="126"/>
    <x v="2"/>
    <s v="N/A"/>
    <s v="N/A"/>
    <s v="N/A"/>
  </r>
  <r>
    <x v="10"/>
    <x v="8"/>
    <x v="13"/>
    <m/>
    <n v="126124"/>
    <n v="1596"/>
    <n v="385.3"/>
    <m/>
    <n v="139"/>
    <x v="2"/>
    <s v="N/A"/>
    <s v="N/A"/>
    <s v="N/A"/>
  </r>
  <r>
    <x v="10"/>
    <x v="9"/>
    <x v="14"/>
    <m/>
    <n v="45263"/>
    <n v="2951"/>
    <n v="802.31"/>
    <m/>
    <n v="261"/>
    <x v="2"/>
    <s v="weekend italian dinner"/>
    <s v="Phrase"/>
    <s v="8"/>
  </r>
  <r>
    <x v="10"/>
    <x v="9"/>
    <x v="14"/>
    <m/>
    <n v="43688"/>
    <n v="2159"/>
    <n v="420.51"/>
    <m/>
    <n v="179"/>
    <x v="2"/>
    <s v="endless pasta deal"/>
    <s v="Exact"/>
    <s v="8"/>
  </r>
  <r>
    <x v="10"/>
    <x v="10"/>
    <x v="15"/>
    <m/>
    <n v="26996"/>
    <n v="1797"/>
    <n v="475.57"/>
    <m/>
    <n v="160"/>
    <x v="2"/>
    <s v="new year dinner restaurant"/>
    <s v="Phrase"/>
    <s v="7"/>
  </r>
  <r>
    <x v="11"/>
    <x v="6"/>
    <x v="9"/>
    <m/>
    <n v="14753"/>
    <n v="840"/>
    <n v="230.32"/>
    <m/>
    <n v="59"/>
    <x v="2"/>
    <s v="bella cucina restaurant"/>
    <s v="Exact"/>
    <s v="9"/>
  </r>
  <r>
    <x v="11"/>
    <x v="6"/>
    <x v="9"/>
    <m/>
    <n v="16621"/>
    <n v="932"/>
    <n v="197.83"/>
    <m/>
    <n v="87"/>
    <x v="2"/>
    <s v="bella cucina near me"/>
    <s v="Phrase"/>
    <s v="8"/>
  </r>
  <r>
    <x v="11"/>
    <x v="7"/>
    <x v="10"/>
    <m/>
    <n v="38630"/>
    <n v="2588"/>
    <n v="714.46"/>
    <m/>
    <n v="209"/>
    <x v="2"/>
    <s v="italian food near me"/>
    <s v="Phrase"/>
    <s v="7"/>
  </r>
  <r>
    <x v="11"/>
    <x v="7"/>
    <x v="11"/>
    <m/>
    <n v="21416"/>
    <n v="1391"/>
    <n v="328.55"/>
    <m/>
    <n v="126"/>
    <x v="2"/>
    <s v="competitor italian chain"/>
    <s v="Broad"/>
    <s v="4"/>
  </r>
  <r>
    <x v="11"/>
    <x v="8"/>
    <x v="12"/>
    <m/>
    <n v="136769"/>
    <n v="1657"/>
    <n v="395.85"/>
    <m/>
    <n v="102"/>
    <x v="2"/>
    <s v="N/A"/>
    <s v="N/A"/>
    <s v="N/A"/>
  </r>
  <r>
    <x v="11"/>
    <x v="8"/>
    <x v="13"/>
    <m/>
    <n v="130215"/>
    <n v="1910"/>
    <n v="400.05"/>
    <m/>
    <n v="118"/>
    <x v="2"/>
    <s v="N/A"/>
    <s v="N/A"/>
    <s v="N/A"/>
  </r>
  <r>
    <x v="11"/>
    <x v="9"/>
    <x v="14"/>
    <m/>
    <n v="10117"/>
    <n v="715"/>
    <n v="196.53"/>
    <m/>
    <n v="50"/>
    <x v="2"/>
    <s v="weekend italian dinner"/>
    <s v="Phrase"/>
    <s v="8"/>
  </r>
  <r>
    <x v="11"/>
    <x v="9"/>
    <x v="14"/>
    <m/>
    <n v="12122"/>
    <n v="634"/>
    <n v="134.29"/>
    <m/>
    <n v="55"/>
    <x v="2"/>
    <s v="endless pasta deal"/>
    <s v="Exact"/>
    <s v="8"/>
  </r>
  <r>
    <x v="11"/>
    <x v="10"/>
    <x v="15"/>
    <m/>
    <n v="24476"/>
    <n v="1550"/>
    <n v="295.14"/>
    <m/>
    <n v="116"/>
    <x v="2"/>
    <s v="new year dinner restaurant"/>
    <s v="Phrase"/>
    <s v="7"/>
  </r>
  <r>
    <x v="12"/>
    <x v="6"/>
    <x v="9"/>
    <m/>
    <n v="31703"/>
    <n v="2088"/>
    <n v="425.53"/>
    <m/>
    <n v="196"/>
    <x v="2"/>
    <s v="bella cucina restaurant"/>
    <s v="Exact"/>
    <s v="9"/>
  </r>
  <r>
    <x v="12"/>
    <x v="6"/>
    <x v="9"/>
    <m/>
    <n v="21002"/>
    <n v="1328"/>
    <n v="366.94"/>
    <m/>
    <n v="116"/>
    <x v="2"/>
    <s v="bella cucina near me"/>
    <s v="Phrase"/>
    <s v="8"/>
  </r>
  <r>
    <x v="12"/>
    <x v="7"/>
    <x v="10"/>
    <m/>
    <n v="32003"/>
    <n v="1879"/>
    <n v="388.05"/>
    <m/>
    <n v="122"/>
    <x v="2"/>
    <s v="italian food near me"/>
    <s v="Phrase"/>
    <s v="7"/>
  </r>
  <r>
    <x v="12"/>
    <x v="7"/>
    <x v="11"/>
    <m/>
    <n v="14442"/>
    <n v="814"/>
    <n v="210.58"/>
    <m/>
    <n v="68"/>
    <x v="2"/>
    <s v="competitor italian chain"/>
    <s v="Broad"/>
    <s v="4"/>
  </r>
  <r>
    <x v="12"/>
    <x v="8"/>
    <x v="12"/>
    <m/>
    <n v="96310"/>
    <n v="1245"/>
    <n v="315.31"/>
    <m/>
    <n v="116"/>
    <x v="2"/>
    <s v="N/A"/>
    <s v="N/A"/>
    <s v="N/A"/>
  </r>
  <r>
    <x v="12"/>
    <x v="8"/>
    <x v="13"/>
    <m/>
    <n v="144266"/>
    <n v="1942"/>
    <n v="423.11"/>
    <m/>
    <n v="149"/>
    <x v="2"/>
    <s v="N/A"/>
    <s v="N/A"/>
    <s v="N/A"/>
  </r>
  <r>
    <x v="12"/>
    <x v="9"/>
    <x v="14"/>
    <m/>
    <n v="16647"/>
    <n v="1130"/>
    <n v="292.52999999999997"/>
    <m/>
    <n v="88"/>
    <x v="2"/>
    <s v="weekend italian dinner"/>
    <s v="Phrase"/>
    <s v="8"/>
  </r>
  <r>
    <x v="12"/>
    <x v="9"/>
    <x v="14"/>
    <m/>
    <n v="24783"/>
    <n v="1286"/>
    <n v="240.96"/>
    <m/>
    <n v="114"/>
    <x v="2"/>
    <s v="endless pasta deal"/>
    <s v="Exact"/>
    <s v="8"/>
  </r>
  <r>
    <x v="12"/>
    <x v="10"/>
    <x v="15"/>
    <m/>
    <n v="29327"/>
    <n v="1421"/>
    <n v="292.89"/>
    <m/>
    <n v="84"/>
    <x v="2"/>
    <s v="new year dinner restaurant"/>
    <s v="Phrase"/>
    <s v="7"/>
  </r>
  <r>
    <x v="13"/>
    <x v="6"/>
    <x v="9"/>
    <m/>
    <n v="32400"/>
    <n v="1687"/>
    <n v="367"/>
    <m/>
    <n v="142"/>
    <x v="2"/>
    <s v="bella cucina restaurant"/>
    <s v="Exact"/>
    <s v="9"/>
  </r>
  <r>
    <x v="13"/>
    <x v="6"/>
    <x v="9"/>
    <m/>
    <n v="16101"/>
    <n v="903"/>
    <n v="251.51"/>
    <m/>
    <n v="81"/>
    <x v="2"/>
    <s v="bella cucina near me"/>
    <s v="Phrase"/>
    <s v="8"/>
  </r>
  <r>
    <x v="13"/>
    <x v="7"/>
    <x v="10"/>
    <m/>
    <n v="12031"/>
    <n v="702"/>
    <n v="172.25"/>
    <m/>
    <n v="55"/>
    <x v="2"/>
    <s v="italian food near me"/>
    <s v="Phrase"/>
    <s v="7"/>
  </r>
  <r>
    <x v="13"/>
    <x v="7"/>
    <x v="11"/>
    <m/>
    <n v="38455"/>
    <n v="1990"/>
    <n v="378.35"/>
    <m/>
    <n v="125"/>
    <x v="2"/>
    <s v="competitor italian chain"/>
    <s v="Broad"/>
    <s v="4"/>
  </r>
  <r>
    <x v="13"/>
    <x v="8"/>
    <x v="12"/>
    <m/>
    <n v="114901"/>
    <n v="1499"/>
    <n v="352.88"/>
    <m/>
    <n v="137"/>
    <x v="2"/>
    <s v="N/A"/>
    <s v="N/A"/>
    <s v="N/A"/>
  </r>
  <r>
    <x v="13"/>
    <x v="8"/>
    <x v="13"/>
    <m/>
    <n v="160795"/>
    <n v="1982"/>
    <n v="412.56"/>
    <m/>
    <n v="127"/>
    <x v="2"/>
    <s v="N/A"/>
    <s v="N/A"/>
    <s v="N/A"/>
  </r>
  <r>
    <x v="13"/>
    <x v="9"/>
    <x v="14"/>
    <m/>
    <n v="13252"/>
    <n v="761"/>
    <n v="178.81"/>
    <m/>
    <n v="56"/>
    <x v="2"/>
    <s v="weekend italian dinner"/>
    <s v="Phrase"/>
    <s v="8"/>
  </r>
  <r>
    <x v="13"/>
    <x v="9"/>
    <x v="14"/>
    <m/>
    <n v="13572"/>
    <n v="768"/>
    <n v="171.08"/>
    <m/>
    <n v="51"/>
    <x v="2"/>
    <s v="endless pasta deal"/>
    <s v="Exact"/>
    <s v="8"/>
  </r>
  <r>
    <x v="13"/>
    <x v="10"/>
    <x v="15"/>
    <m/>
    <n v="41478"/>
    <n v="2189"/>
    <n v="399.65"/>
    <m/>
    <n v="135"/>
    <x v="2"/>
    <s v="new year dinner restaurant"/>
    <s v="Phrase"/>
    <s v="7"/>
  </r>
  <r>
    <x v="14"/>
    <x v="6"/>
    <x v="9"/>
    <m/>
    <n v="29124"/>
    <n v="2080"/>
    <n v="472.9"/>
    <m/>
    <n v="124"/>
    <x v="2"/>
    <s v="bella cucina restaurant"/>
    <s v="Exact"/>
    <s v="9"/>
  </r>
  <r>
    <x v="14"/>
    <x v="6"/>
    <x v="9"/>
    <m/>
    <n v="36048"/>
    <n v="2137"/>
    <n v="575.9"/>
    <m/>
    <n v="140"/>
    <x v="2"/>
    <s v="bella cucina near me"/>
    <s v="Phrase"/>
    <s v="8"/>
  </r>
  <r>
    <x v="14"/>
    <x v="7"/>
    <x v="10"/>
    <m/>
    <n v="35396"/>
    <n v="1856"/>
    <n v="498.43"/>
    <m/>
    <n v="129"/>
    <x v="2"/>
    <s v="italian food near me"/>
    <s v="Phrase"/>
    <s v="7"/>
  </r>
  <r>
    <x v="14"/>
    <x v="7"/>
    <x v="11"/>
    <m/>
    <n v="39214"/>
    <n v="1924"/>
    <n v="430.93"/>
    <m/>
    <n v="126"/>
    <x v="2"/>
    <s v="competitor italian chain"/>
    <s v="Broad"/>
    <s v="4"/>
  </r>
  <r>
    <x v="14"/>
    <x v="8"/>
    <x v="12"/>
    <m/>
    <n v="125200"/>
    <n v="1730"/>
    <n v="337.55"/>
    <m/>
    <n v="143"/>
    <x v="2"/>
    <s v="N/A"/>
    <s v="N/A"/>
    <s v="N/A"/>
  </r>
  <r>
    <x v="14"/>
    <x v="8"/>
    <x v="13"/>
    <m/>
    <n v="102675"/>
    <n v="1173"/>
    <n v="251.47"/>
    <m/>
    <n v="89"/>
    <x v="2"/>
    <s v="N/A"/>
    <s v="N/A"/>
    <s v="N/A"/>
  </r>
  <r>
    <x v="14"/>
    <x v="9"/>
    <x v="14"/>
    <m/>
    <n v="24910"/>
    <n v="1526"/>
    <n v="402.99"/>
    <m/>
    <n v="133"/>
    <x v="2"/>
    <s v="weekend italian dinner"/>
    <s v="Phrase"/>
    <s v="8"/>
  </r>
  <r>
    <x v="14"/>
    <x v="9"/>
    <x v="14"/>
    <m/>
    <n v="37435"/>
    <n v="2664"/>
    <n v="662.55"/>
    <m/>
    <n v="246"/>
    <x v="2"/>
    <s v="endless pasta deal"/>
    <s v="Exact"/>
    <s v="8"/>
  </r>
  <r>
    <x v="14"/>
    <x v="10"/>
    <x v="15"/>
    <m/>
    <n v="25443"/>
    <n v="1512"/>
    <n v="284.10000000000002"/>
    <m/>
    <n v="137"/>
    <x v="2"/>
    <s v="new year dinner restaurant"/>
    <s v="Phrase"/>
    <s v="7"/>
  </r>
  <r>
    <x v="15"/>
    <x v="6"/>
    <x v="9"/>
    <m/>
    <n v="12275"/>
    <n v="737"/>
    <n v="199.02"/>
    <m/>
    <n v="64"/>
    <x v="2"/>
    <s v="bella cucina restaurant"/>
    <s v="Exact"/>
    <s v="9"/>
  </r>
  <r>
    <x v="15"/>
    <x v="6"/>
    <x v="9"/>
    <m/>
    <n v="19663"/>
    <n v="1000"/>
    <n v="255.72"/>
    <m/>
    <n v="61"/>
    <x v="2"/>
    <s v="bella cucina near me"/>
    <s v="Phrase"/>
    <s v="8"/>
  </r>
  <r>
    <x v="15"/>
    <x v="7"/>
    <x v="10"/>
    <m/>
    <n v="20955"/>
    <n v="1494"/>
    <n v="389.7"/>
    <m/>
    <n v="89"/>
    <x v="2"/>
    <s v="italian food near me"/>
    <s v="Phrase"/>
    <s v="7"/>
  </r>
  <r>
    <x v="15"/>
    <x v="7"/>
    <x v="11"/>
    <m/>
    <n v="37746"/>
    <n v="1882"/>
    <n v="467.32"/>
    <m/>
    <n v="118"/>
    <x v="2"/>
    <s v="competitor italian chain"/>
    <s v="Broad"/>
    <s v="4"/>
  </r>
  <r>
    <x v="15"/>
    <x v="8"/>
    <x v="12"/>
    <m/>
    <n v="109382"/>
    <n v="1659"/>
    <n v="341.4"/>
    <m/>
    <n v="151"/>
    <x v="2"/>
    <s v="N/A"/>
    <s v="N/A"/>
    <s v="N/A"/>
  </r>
  <r>
    <x v="15"/>
    <x v="8"/>
    <x v="13"/>
    <m/>
    <n v="98783"/>
    <n v="1129"/>
    <n v="266.02999999999997"/>
    <m/>
    <n v="87"/>
    <x v="2"/>
    <s v="N/A"/>
    <s v="N/A"/>
    <s v="N/A"/>
  </r>
  <r>
    <x v="15"/>
    <x v="9"/>
    <x v="14"/>
    <m/>
    <n v="28101"/>
    <n v="1699"/>
    <n v="461.65"/>
    <m/>
    <n v="94"/>
    <x v="2"/>
    <s v="weekend italian dinner"/>
    <s v="Phrase"/>
    <s v="8"/>
  </r>
  <r>
    <x v="15"/>
    <x v="9"/>
    <x v="14"/>
    <m/>
    <n v="44246"/>
    <n v="2953"/>
    <n v="564.77"/>
    <m/>
    <n v="180"/>
    <x v="2"/>
    <s v="endless pasta deal"/>
    <s v="Exact"/>
    <s v="8"/>
  </r>
  <r>
    <x v="15"/>
    <x v="10"/>
    <x v="15"/>
    <m/>
    <n v="16566"/>
    <n v="1162"/>
    <n v="274.54000000000002"/>
    <m/>
    <n v="68"/>
    <x v="2"/>
    <s v="new year dinner restaurant"/>
    <s v="Phrase"/>
    <s v="7"/>
  </r>
  <r>
    <x v="16"/>
    <x v="6"/>
    <x v="9"/>
    <m/>
    <n v="40248"/>
    <n v="2769"/>
    <n v="742.13"/>
    <m/>
    <n v="249"/>
    <x v="2"/>
    <s v="bella cucina restaurant"/>
    <s v="Exact"/>
    <s v="9"/>
  </r>
  <r>
    <x v="16"/>
    <x v="6"/>
    <x v="9"/>
    <m/>
    <n v="38234"/>
    <n v="2186"/>
    <n v="499.63"/>
    <m/>
    <n v="173"/>
    <x v="2"/>
    <s v="bella cucina near me"/>
    <s v="Phrase"/>
    <s v="8"/>
  </r>
  <r>
    <x v="16"/>
    <x v="7"/>
    <x v="10"/>
    <m/>
    <n v="17437"/>
    <n v="909"/>
    <n v="200.25"/>
    <m/>
    <n v="72"/>
    <x v="2"/>
    <s v="italian food near me"/>
    <s v="Phrase"/>
    <s v="7"/>
  </r>
  <r>
    <x v="16"/>
    <x v="7"/>
    <x v="11"/>
    <m/>
    <n v="50857"/>
    <n v="2488"/>
    <n v="669.17"/>
    <m/>
    <n v="169"/>
    <x v="2"/>
    <s v="competitor italian chain"/>
    <s v="Broad"/>
    <s v="4"/>
  </r>
  <r>
    <x v="16"/>
    <x v="8"/>
    <x v="12"/>
    <m/>
    <n v="169594"/>
    <n v="1907"/>
    <n v="433.88"/>
    <m/>
    <n v="125"/>
    <x v="2"/>
    <s v="N/A"/>
    <s v="N/A"/>
    <s v="N/A"/>
  </r>
  <r>
    <x v="16"/>
    <x v="8"/>
    <x v="13"/>
    <m/>
    <n v="194342"/>
    <n v="2157"/>
    <n v="564.57000000000005"/>
    <m/>
    <n v="144"/>
    <x v="2"/>
    <s v="N/A"/>
    <s v="N/A"/>
    <s v="N/A"/>
  </r>
  <r>
    <x v="16"/>
    <x v="9"/>
    <x v="14"/>
    <m/>
    <n v="39720"/>
    <n v="2710"/>
    <n v="720.38"/>
    <m/>
    <n v="223"/>
    <x v="2"/>
    <s v="weekend italian dinner"/>
    <s v="Phrase"/>
    <s v="8"/>
  </r>
  <r>
    <x v="16"/>
    <x v="9"/>
    <x v="14"/>
    <m/>
    <n v="34914"/>
    <n v="1788"/>
    <n v="496.03"/>
    <m/>
    <n v="130"/>
    <x v="2"/>
    <s v="endless pasta deal"/>
    <s v="Exact"/>
    <s v="8"/>
  </r>
  <r>
    <x v="16"/>
    <x v="10"/>
    <x v="15"/>
    <m/>
    <n v="43439"/>
    <n v="2365"/>
    <n v="524.27"/>
    <m/>
    <n v="191"/>
    <x v="2"/>
    <s v="new year dinner restaurant"/>
    <s v="Phrase"/>
    <s v="7"/>
  </r>
  <r>
    <x v="17"/>
    <x v="6"/>
    <x v="9"/>
    <m/>
    <n v="31242"/>
    <n v="1830"/>
    <n v="496.56"/>
    <m/>
    <n v="130"/>
    <x v="2"/>
    <s v="bella cucina restaurant"/>
    <s v="Exact"/>
    <s v="9"/>
  </r>
  <r>
    <x v="17"/>
    <x v="6"/>
    <x v="9"/>
    <m/>
    <n v="58448"/>
    <n v="3870"/>
    <n v="1032.2"/>
    <m/>
    <n v="339"/>
    <x v="2"/>
    <s v="bella cucina near me"/>
    <s v="Phrase"/>
    <s v="8"/>
  </r>
  <r>
    <x v="17"/>
    <x v="7"/>
    <x v="10"/>
    <m/>
    <n v="61275"/>
    <n v="4105"/>
    <n v="765.84"/>
    <m/>
    <n v="342"/>
    <x v="2"/>
    <s v="italian food near me"/>
    <s v="Phrase"/>
    <s v="7"/>
  </r>
  <r>
    <x v="17"/>
    <x v="7"/>
    <x v="11"/>
    <m/>
    <n v="51010"/>
    <n v="2614"/>
    <n v="693.05"/>
    <m/>
    <n v="235"/>
    <x v="2"/>
    <s v="competitor italian chain"/>
    <s v="Broad"/>
    <s v="4"/>
  </r>
  <r>
    <x v="17"/>
    <x v="8"/>
    <x v="12"/>
    <m/>
    <n v="131311"/>
    <n v="1558"/>
    <n v="416.79"/>
    <m/>
    <n v="98"/>
    <x v="2"/>
    <s v="N/A"/>
    <s v="N/A"/>
    <s v="N/A"/>
  </r>
  <r>
    <x v="17"/>
    <x v="8"/>
    <x v="13"/>
    <m/>
    <n v="136574"/>
    <n v="1672"/>
    <n v="377.28"/>
    <m/>
    <n v="153"/>
    <x v="2"/>
    <s v="N/A"/>
    <s v="N/A"/>
    <s v="N/A"/>
  </r>
  <r>
    <x v="17"/>
    <x v="9"/>
    <x v="14"/>
    <m/>
    <n v="32267"/>
    <n v="1760"/>
    <n v="461.74"/>
    <m/>
    <n v="132"/>
    <x v="2"/>
    <s v="weekend italian dinner"/>
    <s v="Phrase"/>
    <s v="8"/>
  </r>
  <r>
    <x v="17"/>
    <x v="9"/>
    <x v="14"/>
    <m/>
    <n v="25365"/>
    <n v="1632"/>
    <n v="333.24"/>
    <m/>
    <n v="121"/>
    <x v="2"/>
    <s v="endless pasta deal"/>
    <s v="Exact"/>
    <s v="8"/>
  </r>
  <r>
    <x v="17"/>
    <x v="10"/>
    <x v="15"/>
    <m/>
    <n v="54929"/>
    <n v="2870"/>
    <n v="766.43"/>
    <m/>
    <n v="225"/>
    <x v="2"/>
    <s v="new year dinner restaurant"/>
    <s v="Phrase"/>
    <s v="7"/>
  </r>
  <r>
    <x v="18"/>
    <x v="6"/>
    <x v="9"/>
    <m/>
    <n v="32921"/>
    <n v="1852"/>
    <n v="488.49"/>
    <m/>
    <n v="121"/>
    <x v="2"/>
    <s v="bella cucina restaurant"/>
    <s v="Exact"/>
    <s v="9"/>
  </r>
  <r>
    <x v="18"/>
    <x v="6"/>
    <x v="9"/>
    <m/>
    <n v="15923"/>
    <n v="873"/>
    <n v="190.89"/>
    <m/>
    <n v="53"/>
    <x v="2"/>
    <s v="bella cucina near me"/>
    <s v="Phrase"/>
    <s v="8"/>
  </r>
  <r>
    <x v="18"/>
    <x v="7"/>
    <x v="10"/>
    <m/>
    <n v="24045"/>
    <n v="1648"/>
    <n v="403.33"/>
    <m/>
    <n v="135"/>
    <x v="2"/>
    <s v="italian food near me"/>
    <s v="Phrase"/>
    <s v="7"/>
  </r>
  <r>
    <x v="18"/>
    <x v="7"/>
    <x v="11"/>
    <m/>
    <n v="27634"/>
    <n v="1758"/>
    <n v="406.67"/>
    <m/>
    <n v="157"/>
    <x v="2"/>
    <s v="competitor italian chain"/>
    <s v="Broad"/>
    <s v="4"/>
  </r>
  <r>
    <x v="18"/>
    <x v="8"/>
    <x v="12"/>
    <m/>
    <n v="91166"/>
    <n v="1218"/>
    <n v="235.36"/>
    <m/>
    <n v="75"/>
    <x v="2"/>
    <s v="N/A"/>
    <s v="N/A"/>
    <s v="N/A"/>
  </r>
  <r>
    <x v="18"/>
    <x v="8"/>
    <x v="13"/>
    <m/>
    <n v="91109"/>
    <n v="1104"/>
    <n v="265.88"/>
    <m/>
    <n v="102"/>
    <x v="2"/>
    <s v="N/A"/>
    <s v="N/A"/>
    <s v="N/A"/>
  </r>
  <r>
    <x v="18"/>
    <x v="9"/>
    <x v="14"/>
    <m/>
    <n v="28047"/>
    <n v="1631"/>
    <n v="354.98"/>
    <m/>
    <n v="112"/>
    <x v="2"/>
    <s v="weekend italian dinner"/>
    <s v="Phrase"/>
    <s v="8"/>
  </r>
  <r>
    <x v="18"/>
    <x v="9"/>
    <x v="14"/>
    <m/>
    <n v="26514"/>
    <n v="1411"/>
    <n v="296.61"/>
    <m/>
    <n v="106"/>
    <x v="2"/>
    <s v="endless pasta deal"/>
    <s v="Exact"/>
    <s v="8"/>
  </r>
  <r>
    <x v="18"/>
    <x v="10"/>
    <x v="15"/>
    <m/>
    <n v="36027"/>
    <n v="2234"/>
    <n v="403.76"/>
    <m/>
    <n v="212"/>
    <x v="2"/>
    <s v="new year dinner restaurant"/>
    <s v="Phrase"/>
    <s v="7"/>
  </r>
  <r>
    <x v="19"/>
    <x v="6"/>
    <x v="9"/>
    <m/>
    <n v="34525"/>
    <n v="2122"/>
    <n v="507.96"/>
    <m/>
    <n v="140"/>
    <x v="2"/>
    <s v="bella cucina restaurant"/>
    <s v="Exact"/>
    <s v="9"/>
  </r>
  <r>
    <x v="19"/>
    <x v="6"/>
    <x v="9"/>
    <m/>
    <n v="17084"/>
    <n v="1017"/>
    <n v="217.26"/>
    <m/>
    <n v="67"/>
    <x v="2"/>
    <s v="bella cucina near me"/>
    <s v="Phrase"/>
    <s v="8"/>
  </r>
  <r>
    <x v="19"/>
    <x v="7"/>
    <x v="10"/>
    <m/>
    <n v="31308"/>
    <n v="2150"/>
    <n v="443.15"/>
    <m/>
    <n v="179"/>
    <x v="2"/>
    <s v="italian food near me"/>
    <s v="Phrase"/>
    <s v="7"/>
  </r>
  <r>
    <x v="19"/>
    <x v="7"/>
    <x v="11"/>
    <m/>
    <n v="29581"/>
    <n v="1553"/>
    <n v="359.88"/>
    <m/>
    <n v="100"/>
    <x v="2"/>
    <s v="competitor italian chain"/>
    <s v="Broad"/>
    <s v="4"/>
  </r>
  <r>
    <x v="19"/>
    <x v="8"/>
    <x v="12"/>
    <m/>
    <n v="97441"/>
    <n v="1464"/>
    <n v="380.99"/>
    <m/>
    <n v="115"/>
    <x v="2"/>
    <s v="N/A"/>
    <s v="N/A"/>
    <s v="N/A"/>
  </r>
  <r>
    <x v="19"/>
    <x v="8"/>
    <x v="13"/>
    <m/>
    <n v="131888"/>
    <n v="1899"/>
    <n v="478.79"/>
    <m/>
    <n v="154"/>
    <x v="2"/>
    <s v="N/A"/>
    <s v="N/A"/>
    <s v="N/A"/>
  </r>
  <r>
    <x v="19"/>
    <x v="9"/>
    <x v="14"/>
    <m/>
    <n v="29372"/>
    <n v="1592"/>
    <n v="353.2"/>
    <m/>
    <n v="112"/>
    <x v="2"/>
    <s v="weekend italian dinner"/>
    <s v="Phrase"/>
    <s v="8"/>
  </r>
  <r>
    <x v="19"/>
    <x v="9"/>
    <x v="14"/>
    <m/>
    <n v="12314"/>
    <n v="763"/>
    <n v="213.24"/>
    <m/>
    <n v="66"/>
    <x v="2"/>
    <s v="endless pasta deal"/>
    <s v="Exact"/>
    <s v="8"/>
  </r>
  <r>
    <x v="19"/>
    <x v="10"/>
    <x v="15"/>
    <m/>
    <n v="32489"/>
    <n v="2125"/>
    <n v="429.75"/>
    <m/>
    <n v="162"/>
    <x v="2"/>
    <s v="new year dinner restaurant"/>
    <s v="Phrase"/>
    <s v="7"/>
  </r>
  <r>
    <x v="20"/>
    <x v="6"/>
    <x v="9"/>
    <m/>
    <n v="41177"/>
    <n v="2872"/>
    <n v="709.92"/>
    <m/>
    <n v="216"/>
    <x v="2"/>
    <s v="bella cucina restaurant"/>
    <s v="Exact"/>
    <s v="9"/>
  </r>
  <r>
    <x v="20"/>
    <x v="6"/>
    <x v="9"/>
    <m/>
    <n v="21140"/>
    <n v="1441"/>
    <n v="385.68"/>
    <m/>
    <n v="89"/>
    <x v="2"/>
    <s v="bella cucina near me"/>
    <s v="Phrase"/>
    <s v="8"/>
  </r>
  <r>
    <x v="20"/>
    <x v="7"/>
    <x v="10"/>
    <m/>
    <n v="16396"/>
    <n v="972"/>
    <n v="246.98"/>
    <m/>
    <n v="81"/>
    <x v="2"/>
    <s v="italian food near me"/>
    <s v="Phrase"/>
    <s v="7"/>
  </r>
  <r>
    <x v="20"/>
    <x v="7"/>
    <x v="11"/>
    <m/>
    <n v="21997"/>
    <n v="1555"/>
    <n v="419.79"/>
    <m/>
    <n v="126"/>
    <x v="2"/>
    <s v="competitor italian chain"/>
    <s v="Broad"/>
    <s v="4"/>
  </r>
  <r>
    <x v="20"/>
    <x v="8"/>
    <x v="12"/>
    <m/>
    <n v="119131"/>
    <n v="1522"/>
    <n v="387.23"/>
    <m/>
    <n v="102"/>
    <x v="2"/>
    <s v="N/A"/>
    <s v="N/A"/>
    <s v="N/A"/>
  </r>
  <r>
    <x v="20"/>
    <x v="8"/>
    <x v="13"/>
    <m/>
    <n v="133426"/>
    <n v="1715"/>
    <n v="409.13"/>
    <m/>
    <n v="126"/>
    <x v="2"/>
    <s v="N/A"/>
    <s v="N/A"/>
    <s v="N/A"/>
  </r>
  <r>
    <x v="20"/>
    <x v="9"/>
    <x v="14"/>
    <m/>
    <n v="17718"/>
    <n v="1050"/>
    <n v="279.97000000000003"/>
    <m/>
    <n v="82"/>
    <x v="2"/>
    <s v="weekend italian dinner"/>
    <s v="Phrase"/>
    <s v="8"/>
  </r>
  <r>
    <x v="20"/>
    <x v="9"/>
    <x v="14"/>
    <m/>
    <n v="14667"/>
    <n v="870"/>
    <n v="173.53"/>
    <m/>
    <n v="52"/>
    <x v="2"/>
    <s v="endless pasta deal"/>
    <s v="Exact"/>
    <s v="8"/>
  </r>
  <r>
    <x v="20"/>
    <x v="10"/>
    <x v="15"/>
    <m/>
    <n v="35013"/>
    <n v="2125"/>
    <n v="470.29"/>
    <m/>
    <n v="190"/>
    <x v="2"/>
    <s v="new year dinner restaurant"/>
    <s v="Phrase"/>
    <s v="7"/>
  </r>
  <r>
    <x v="21"/>
    <x v="6"/>
    <x v="9"/>
    <m/>
    <n v="19881"/>
    <n v="1019"/>
    <n v="203.83"/>
    <m/>
    <n v="72"/>
    <x v="2"/>
    <s v="bella cucina restaurant"/>
    <s v="Exact"/>
    <s v="9"/>
  </r>
  <r>
    <x v="21"/>
    <x v="6"/>
    <x v="9"/>
    <m/>
    <n v="39987"/>
    <n v="2056"/>
    <n v="547.39"/>
    <m/>
    <n v="127"/>
    <x v="2"/>
    <s v="bella cucina near me"/>
    <s v="Phrase"/>
    <s v="8"/>
  </r>
  <r>
    <x v="21"/>
    <x v="7"/>
    <x v="10"/>
    <m/>
    <n v="15296"/>
    <n v="913"/>
    <n v="221.95"/>
    <m/>
    <n v="56"/>
    <x v="2"/>
    <s v="italian food near me"/>
    <s v="Phrase"/>
    <s v="7"/>
  </r>
  <r>
    <x v="21"/>
    <x v="7"/>
    <x v="11"/>
    <m/>
    <n v="13801"/>
    <n v="664"/>
    <n v="137.68"/>
    <m/>
    <n v="56"/>
    <x v="2"/>
    <s v="competitor italian chain"/>
    <s v="Broad"/>
    <s v="4"/>
  </r>
  <r>
    <x v="21"/>
    <x v="8"/>
    <x v="12"/>
    <m/>
    <n v="112099"/>
    <n v="1556"/>
    <n v="304.73"/>
    <m/>
    <n v="134"/>
    <x v="2"/>
    <s v="N/A"/>
    <s v="N/A"/>
    <s v="N/A"/>
  </r>
  <r>
    <x v="21"/>
    <x v="8"/>
    <x v="13"/>
    <m/>
    <n v="101539"/>
    <n v="1182"/>
    <n v="264.02"/>
    <m/>
    <n v="85"/>
    <x v="2"/>
    <s v="N/A"/>
    <s v="N/A"/>
    <s v="N/A"/>
  </r>
  <r>
    <x v="21"/>
    <x v="9"/>
    <x v="14"/>
    <m/>
    <n v="38116"/>
    <n v="2712"/>
    <n v="592.12"/>
    <m/>
    <n v="153"/>
    <x v="2"/>
    <s v="weekend italian dinner"/>
    <s v="Phrase"/>
    <s v="8"/>
  </r>
  <r>
    <x v="21"/>
    <x v="9"/>
    <x v="14"/>
    <m/>
    <n v="23068"/>
    <n v="1511"/>
    <n v="415.54"/>
    <m/>
    <n v="137"/>
    <x v="2"/>
    <s v="endless pasta deal"/>
    <s v="Exact"/>
    <s v="8"/>
  </r>
  <r>
    <x v="21"/>
    <x v="10"/>
    <x v="15"/>
    <m/>
    <n v="44801"/>
    <n v="2355"/>
    <n v="583.27"/>
    <m/>
    <n v="188"/>
    <x v="2"/>
    <s v="new year dinner restaurant"/>
    <s v="Phrase"/>
    <s v="7"/>
  </r>
  <r>
    <x v="22"/>
    <x v="6"/>
    <x v="9"/>
    <m/>
    <n v="26306"/>
    <n v="1405"/>
    <n v="376.12"/>
    <m/>
    <n v="94"/>
    <x v="2"/>
    <s v="bella cucina restaurant"/>
    <s v="Exact"/>
    <s v="9"/>
  </r>
  <r>
    <x v="22"/>
    <x v="6"/>
    <x v="9"/>
    <m/>
    <n v="16731"/>
    <n v="957"/>
    <n v="228.6"/>
    <m/>
    <n v="59"/>
    <x v="2"/>
    <s v="bella cucina near me"/>
    <s v="Phrase"/>
    <s v="8"/>
  </r>
  <r>
    <x v="22"/>
    <x v="7"/>
    <x v="10"/>
    <m/>
    <n v="12996"/>
    <n v="716"/>
    <n v="149.69999999999999"/>
    <m/>
    <n v="60"/>
    <x v="2"/>
    <s v="italian food near me"/>
    <s v="Phrase"/>
    <s v="7"/>
  </r>
  <r>
    <x v="22"/>
    <x v="7"/>
    <x v="11"/>
    <m/>
    <n v="44348"/>
    <n v="2488"/>
    <n v="668.77"/>
    <m/>
    <n v="235"/>
    <x v="2"/>
    <s v="competitor italian chain"/>
    <s v="Broad"/>
    <s v="4"/>
  </r>
  <r>
    <x v="22"/>
    <x v="8"/>
    <x v="12"/>
    <m/>
    <n v="134922"/>
    <n v="2156"/>
    <n v="493.76"/>
    <m/>
    <n v="183"/>
    <x v="2"/>
    <s v="N/A"/>
    <s v="N/A"/>
    <s v="N/A"/>
  </r>
  <r>
    <x v="22"/>
    <x v="8"/>
    <x v="13"/>
    <m/>
    <n v="111611"/>
    <n v="1756"/>
    <n v="477.32"/>
    <m/>
    <n v="124"/>
    <x v="2"/>
    <s v="N/A"/>
    <s v="N/A"/>
    <s v="N/A"/>
  </r>
  <r>
    <x v="22"/>
    <x v="9"/>
    <x v="14"/>
    <m/>
    <n v="24969"/>
    <n v="1332"/>
    <n v="370.95"/>
    <m/>
    <n v="84"/>
    <x v="2"/>
    <s v="weekend italian dinner"/>
    <s v="Phrase"/>
    <s v="8"/>
  </r>
  <r>
    <x v="22"/>
    <x v="9"/>
    <x v="14"/>
    <m/>
    <n v="11436"/>
    <n v="710"/>
    <n v="139.80000000000001"/>
    <m/>
    <n v="49"/>
    <x v="2"/>
    <s v="endless pasta deal"/>
    <s v="Exact"/>
    <s v="8"/>
  </r>
  <r>
    <x v="22"/>
    <x v="10"/>
    <x v="15"/>
    <m/>
    <n v="12448"/>
    <n v="709"/>
    <n v="173.02"/>
    <m/>
    <n v="60"/>
    <x v="2"/>
    <s v="new year dinner restaurant"/>
    <s v="Phrase"/>
    <s v="7"/>
  </r>
  <r>
    <x v="23"/>
    <x v="6"/>
    <x v="9"/>
    <m/>
    <n v="18457"/>
    <n v="1149"/>
    <n v="212.33"/>
    <m/>
    <n v="68"/>
    <x v="2"/>
    <s v="bella cucina restaurant"/>
    <s v="Exact"/>
    <s v="9"/>
  </r>
  <r>
    <x v="23"/>
    <x v="6"/>
    <x v="9"/>
    <m/>
    <n v="15810"/>
    <n v="777"/>
    <n v="148.86000000000001"/>
    <m/>
    <n v="56"/>
    <x v="2"/>
    <s v="bella cucina near me"/>
    <s v="Phrase"/>
    <s v="8"/>
  </r>
  <r>
    <x v="23"/>
    <x v="7"/>
    <x v="10"/>
    <m/>
    <n v="25338"/>
    <n v="1549"/>
    <n v="352.3"/>
    <m/>
    <n v="94"/>
    <x v="2"/>
    <s v="italian food near me"/>
    <s v="Phrase"/>
    <s v="7"/>
  </r>
  <r>
    <x v="23"/>
    <x v="7"/>
    <x v="11"/>
    <m/>
    <n v="14852"/>
    <n v="820"/>
    <n v="201.86"/>
    <m/>
    <n v="66"/>
    <x v="2"/>
    <s v="competitor italian chain"/>
    <s v="Broad"/>
    <s v="4"/>
  </r>
  <r>
    <x v="23"/>
    <x v="8"/>
    <x v="12"/>
    <m/>
    <n v="175540"/>
    <n v="2477"/>
    <n v="619.42999999999995"/>
    <m/>
    <n v="177"/>
    <x v="2"/>
    <s v="N/A"/>
    <s v="N/A"/>
    <s v="N/A"/>
  </r>
  <r>
    <x v="23"/>
    <x v="8"/>
    <x v="13"/>
    <m/>
    <n v="145251"/>
    <n v="1969"/>
    <n v="476.04"/>
    <m/>
    <n v="130"/>
    <x v="2"/>
    <s v="N/A"/>
    <s v="N/A"/>
    <s v="N/A"/>
  </r>
  <r>
    <x v="23"/>
    <x v="9"/>
    <x v="14"/>
    <m/>
    <n v="23749"/>
    <n v="1423"/>
    <n v="342.8"/>
    <m/>
    <n v="122"/>
    <x v="2"/>
    <s v="weekend italian dinner"/>
    <s v="Phrase"/>
    <s v="8"/>
  </r>
  <r>
    <x v="23"/>
    <x v="9"/>
    <x v="14"/>
    <m/>
    <n v="61997"/>
    <n v="4423"/>
    <n v="954.45"/>
    <m/>
    <n v="315"/>
    <x v="2"/>
    <s v="endless pasta deal"/>
    <s v="Exact"/>
    <s v="8"/>
  </r>
  <r>
    <x v="23"/>
    <x v="10"/>
    <x v="15"/>
    <m/>
    <n v="28713"/>
    <n v="1405"/>
    <n v="322.64"/>
    <m/>
    <n v="88"/>
    <x v="2"/>
    <s v="new year dinner restaurant"/>
    <s v="Phrase"/>
    <s v="7"/>
  </r>
  <r>
    <x v="24"/>
    <x v="6"/>
    <x v="9"/>
    <m/>
    <n v="58099"/>
    <n v="3249"/>
    <n v="585.71"/>
    <m/>
    <n v="265"/>
    <x v="2"/>
    <s v="bella cucina restaurant"/>
    <s v="Exact"/>
    <s v="9"/>
  </r>
  <r>
    <x v="24"/>
    <x v="6"/>
    <x v="9"/>
    <m/>
    <n v="24131"/>
    <n v="1642"/>
    <n v="405.41"/>
    <m/>
    <n v="100"/>
    <x v="2"/>
    <s v="bella cucina near me"/>
    <s v="Phrase"/>
    <s v="8"/>
  </r>
  <r>
    <x v="24"/>
    <x v="7"/>
    <x v="10"/>
    <m/>
    <n v="22264"/>
    <n v="1485"/>
    <n v="278.44"/>
    <m/>
    <n v="124"/>
    <x v="2"/>
    <s v="italian food near me"/>
    <s v="Phrase"/>
    <s v="7"/>
  </r>
  <r>
    <x v="24"/>
    <x v="7"/>
    <x v="11"/>
    <m/>
    <n v="37478"/>
    <n v="2378"/>
    <n v="536.66"/>
    <m/>
    <n v="223"/>
    <x v="2"/>
    <s v="competitor italian chain"/>
    <s v="Broad"/>
    <s v="4"/>
  </r>
  <r>
    <x v="24"/>
    <x v="8"/>
    <x v="12"/>
    <m/>
    <n v="174466"/>
    <n v="2324"/>
    <n v="441.52"/>
    <m/>
    <n v="144"/>
    <x v="2"/>
    <s v="N/A"/>
    <s v="N/A"/>
    <s v="N/A"/>
  </r>
  <r>
    <x v="24"/>
    <x v="8"/>
    <x v="13"/>
    <m/>
    <n v="133238"/>
    <n v="2033"/>
    <n v="439.17"/>
    <m/>
    <n v="166"/>
    <x v="2"/>
    <s v="N/A"/>
    <s v="N/A"/>
    <s v="N/A"/>
  </r>
  <r>
    <x v="24"/>
    <x v="9"/>
    <x v="14"/>
    <m/>
    <n v="53085"/>
    <n v="3489"/>
    <n v="661.16"/>
    <m/>
    <n v="297"/>
    <x v="2"/>
    <s v="weekend italian dinner"/>
    <s v="Phrase"/>
    <s v="8"/>
  </r>
  <r>
    <x v="24"/>
    <x v="9"/>
    <x v="14"/>
    <m/>
    <n v="18209"/>
    <n v="878"/>
    <n v="170.19"/>
    <m/>
    <n v="71"/>
    <x v="2"/>
    <s v="endless pasta deal"/>
    <s v="Exact"/>
    <s v="8"/>
  </r>
  <r>
    <x v="24"/>
    <x v="10"/>
    <x v="15"/>
    <m/>
    <n v="44154"/>
    <n v="2498"/>
    <n v="558.98"/>
    <m/>
    <n v="199"/>
    <x v="2"/>
    <s v="new year dinner restaurant"/>
    <s v="Phrase"/>
    <s v="7"/>
  </r>
  <r>
    <x v="25"/>
    <x v="6"/>
    <x v="9"/>
    <m/>
    <n v="16091"/>
    <n v="916"/>
    <n v="196.27"/>
    <m/>
    <n v="54"/>
    <x v="2"/>
    <s v="bella cucina restaurant"/>
    <s v="Exact"/>
    <s v="9"/>
  </r>
  <r>
    <x v="25"/>
    <x v="6"/>
    <x v="9"/>
    <m/>
    <n v="36230"/>
    <n v="2575"/>
    <n v="533.5"/>
    <m/>
    <n v="181"/>
    <x v="2"/>
    <s v="bella cucina near me"/>
    <s v="Phrase"/>
    <s v="8"/>
  </r>
  <r>
    <x v="25"/>
    <x v="7"/>
    <x v="10"/>
    <m/>
    <n v="41342"/>
    <n v="2778"/>
    <n v="680.29"/>
    <m/>
    <n v="241"/>
    <x v="2"/>
    <s v="italian food near me"/>
    <s v="Phrase"/>
    <s v="7"/>
  </r>
  <r>
    <x v="25"/>
    <x v="7"/>
    <x v="11"/>
    <m/>
    <n v="17409"/>
    <n v="890"/>
    <n v="224.85"/>
    <m/>
    <n v="83"/>
    <x v="2"/>
    <s v="competitor italian chain"/>
    <s v="Broad"/>
    <s v="4"/>
  </r>
  <r>
    <x v="25"/>
    <x v="8"/>
    <x v="12"/>
    <m/>
    <n v="110892"/>
    <n v="1277"/>
    <n v="346.22"/>
    <m/>
    <n v="94"/>
    <x v="2"/>
    <s v="N/A"/>
    <s v="N/A"/>
    <s v="N/A"/>
  </r>
  <r>
    <x v="25"/>
    <x v="8"/>
    <x v="13"/>
    <m/>
    <n v="164572"/>
    <n v="2368"/>
    <n v="469.16"/>
    <m/>
    <n v="166"/>
    <x v="2"/>
    <s v="N/A"/>
    <s v="N/A"/>
    <s v="N/A"/>
  </r>
  <r>
    <x v="25"/>
    <x v="9"/>
    <x v="14"/>
    <m/>
    <n v="33501"/>
    <n v="2099"/>
    <n v="558.87"/>
    <m/>
    <n v="189"/>
    <x v="2"/>
    <s v="weekend italian dinner"/>
    <s v="Phrase"/>
    <s v="8"/>
  </r>
  <r>
    <x v="25"/>
    <x v="9"/>
    <x v="14"/>
    <m/>
    <n v="18562"/>
    <n v="1106"/>
    <n v="253.07"/>
    <m/>
    <n v="100"/>
    <x v="2"/>
    <s v="endless pasta deal"/>
    <s v="Exact"/>
    <s v="8"/>
  </r>
  <r>
    <x v="25"/>
    <x v="10"/>
    <x v="15"/>
    <m/>
    <n v="38880"/>
    <n v="1909"/>
    <n v="393.56"/>
    <m/>
    <n v="128"/>
    <x v="2"/>
    <s v="new year dinner restaurant"/>
    <s v="Phrase"/>
    <s v="7"/>
  </r>
  <r>
    <x v="26"/>
    <x v="6"/>
    <x v="9"/>
    <m/>
    <n v="44394"/>
    <n v="2948"/>
    <n v="700.64"/>
    <m/>
    <n v="228"/>
    <x v="2"/>
    <s v="bella cucina restaurant"/>
    <s v="Exact"/>
    <s v="9"/>
  </r>
  <r>
    <x v="26"/>
    <x v="6"/>
    <x v="9"/>
    <m/>
    <n v="32170"/>
    <n v="1944"/>
    <n v="483.71"/>
    <m/>
    <n v="154"/>
    <x v="2"/>
    <s v="bella cucina near me"/>
    <s v="Phrase"/>
    <s v="8"/>
  </r>
  <r>
    <x v="26"/>
    <x v="7"/>
    <x v="10"/>
    <m/>
    <n v="38367"/>
    <n v="2450"/>
    <n v="501.9"/>
    <m/>
    <n v="168"/>
    <x v="2"/>
    <s v="italian food near me"/>
    <s v="Phrase"/>
    <s v="7"/>
  </r>
  <r>
    <x v="26"/>
    <x v="7"/>
    <x v="11"/>
    <m/>
    <n v="35223"/>
    <n v="1816"/>
    <n v="476.96"/>
    <m/>
    <n v="164"/>
    <x v="2"/>
    <s v="competitor italian chain"/>
    <s v="Broad"/>
    <s v="4"/>
  </r>
  <r>
    <x v="26"/>
    <x v="8"/>
    <x v="12"/>
    <m/>
    <n v="97152"/>
    <n v="1074"/>
    <n v="293.67"/>
    <m/>
    <n v="80"/>
    <x v="2"/>
    <s v="N/A"/>
    <s v="N/A"/>
    <s v="N/A"/>
  </r>
  <r>
    <x v="26"/>
    <x v="8"/>
    <x v="13"/>
    <m/>
    <n v="151510"/>
    <n v="2311"/>
    <n v="616.9"/>
    <m/>
    <n v="134"/>
    <x v="2"/>
    <s v="N/A"/>
    <s v="N/A"/>
    <s v="N/A"/>
  </r>
  <r>
    <x v="26"/>
    <x v="9"/>
    <x v="14"/>
    <m/>
    <n v="42220"/>
    <n v="2351"/>
    <n v="500.97"/>
    <m/>
    <n v="155"/>
    <x v="2"/>
    <s v="weekend italian dinner"/>
    <s v="Phrase"/>
    <s v="8"/>
  </r>
  <r>
    <x v="26"/>
    <x v="9"/>
    <x v="14"/>
    <m/>
    <n v="43222"/>
    <n v="2305"/>
    <n v="563.17999999999995"/>
    <m/>
    <n v="163"/>
    <x v="2"/>
    <s v="endless pasta deal"/>
    <s v="Exact"/>
    <s v="8"/>
  </r>
  <r>
    <x v="26"/>
    <x v="10"/>
    <x v="15"/>
    <m/>
    <n v="25400"/>
    <n v="1267"/>
    <n v="284.33999999999997"/>
    <m/>
    <n v="98"/>
    <x v="2"/>
    <s v="new year dinner restaurant"/>
    <s v="Phrase"/>
    <s v="7"/>
  </r>
  <r>
    <x v="27"/>
    <x v="6"/>
    <x v="9"/>
    <m/>
    <n v="15768"/>
    <n v="1081"/>
    <n v="242.91"/>
    <m/>
    <n v="64"/>
    <x v="2"/>
    <s v="bella cucina restaurant"/>
    <s v="Exact"/>
    <s v="9"/>
  </r>
  <r>
    <x v="27"/>
    <x v="6"/>
    <x v="9"/>
    <m/>
    <n v="42595"/>
    <n v="2806"/>
    <n v="510.07"/>
    <m/>
    <n v="199"/>
    <x v="2"/>
    <s v="bella cucina near me"/>
    <s v="Phrase"/>
    <s v="8"/>
  </r>
  <r>
    <x v="27"/>
    <x v="7"/>
    <x v="10"/>
    <m/>
    <n v="12348"/>
    <n v="757"/>
    <n v="136.27000000000001"/>
    <m/>
    <n v="44"/>
    <x v="2"/>
    <s v="italian food near me"/>
    <s v="Phrase"/>
    <s v="7"/>
  </r>
  <r>
    <x v="27"/>
    <x v="7"/>
    <x v="11"/>
    <m/>
    <n v="29962"/>
    <n v="2078"/>
    <n v="490.89"/>
    <m/>
    <n v="168"/>
    <x v="2"/>
    <s v="competitor italian chain"/>
    <s v="Broad"/>
    <s v="4"/>
  </r>
  <r>
    <x v="27"/>
    <x v="8"/>
    <x v="12"/>
    <m/>
    <n v="149796"/>
    <n v="2359"/>
    <n v="510.33"/>
    <m/>
    <n v="134"/>
    <x v="2"/>
    <s v="N/A"/>
    <s v="N/A"/>
    <s v="N/A"/>
  </r>
  <r>
    <x v="27"/>
    <x v="8"/>
    <x v="13"/>
    <m/>
    <n v="119218"/>
    <n v="1814"/>
    <n v="386.74"/>
    <m/>
    <n v="155"/>
    <x v="2"/>
    <s v="N/A"/>
    <s v="N/A"/>
    <s v="N/A"/>
  </r>
  <r>
    <x v="27"/>
    <x v="9"/>
    <x v="14"/>
    <m/>
    <n v="41007"/>
    <n v="2673"/>
    <n v="578.25"/>
    <m/>
    <n v="195"/>
    <x v="2"/>
    <s v="weekend italian dinner"/>
    <s v="Phrase"/>
    <s v="8"/>
  </r>
  <r>
    <x v="27"/>
    <x v="9"/>
    <x v="14"/>
    <m/>
    <n v="16385"/>
    <n v="1085"/>
    <n v="219.36"/>
    <m/>
    <n v="74"/>
    <x v="2"/>
    <s v="endless pasta deal"/>
    <s v="Exact"/>
    <s v="8"/>
  </r>
  <r>
    <x v="27"/>
    <x v="10"/>
    <x v="15"/>
    <m/>
    <n v="29135"/>
    <n v="1781"/>
    <n v="387.17"/>
    <m/>
    <n v="105"/>
    <x v="2"/>
    <s v="new year dinner restaurant"/>
    <s v="Phrase"/>
    <s v="7"/>
  </r>
  <r>
    <x v="28"/>
    <x v="6"/>
    <x v="9"/>
    <m/>
    <n v="20758"/>
    <n v="1241"/>
    <n v="325.37"/>
    <m/>
    <n v="105"/>
    <x v="2"/>
    <s v="bella cucina restaurant"/>
    <s v="Exact"/>
    <s v="9"/>
  </r>
  <r>
    <x v="28"/>
    <x v="6"/>
    <x v="9"/>
    <m/>
    <n v="36818"/>
    <n v="1861"/>
    <n v="448.66"/>
    <m/>
    <n v="116"/>
    <x v="2"/>
    <s v="bella cucina near me"/>
    <s v="Phrase"/>
    <s v="8"/>
  </r>
  <r>
    <x v="28"/>
    <x v="7"/>
    <x v="10"/>
    <m/>
    <n v="35748"/>
    <n v="1900"/>
    <n v="498.67"/>
    <m/>
    <n v="118"/>
    <x v="2"/>
    <s v="italian food near me"/>
    <s v="Phrase"/>
    <s v="7"/>
  </r>
  <r>
    <x v="28"/>
    <x v="7"/>
    <x v="11"/>
    <m/>
    <n v="32146"/>
    <n v="1626"/>
    <n v="360.07"/>
    <m/>
    <n v="149"/>
    <x v="2"/>
    <s v="competitor italian chain"/>
    <s v="Broad"/>
    <s v="4"/>
  </r>
  <r>
    <x v="28"/>
    <x v="8"/>
    <x v="12"/>
    <m/>
    <n v="167176"/>
    <n v="1941"/>
    <n v="522.47"/>
    <m/>
    <n v="142"/>
    <x v="2"/>
    <s v="N/A"/>
    <s v="N/A"/>
    <s v="N/A"/>
  </r>
  <r>
    <x v="28"/>
    <x v="8"/>
    <x v="13"/>
    <m/>
    <n v="167242"/>
    <n v="2639"/>
    <n v="510.55"/>
    <m/>
    <n v="197"/>
    <x v="2"/>
    <s v="N/A"/>
    <s v="N/A"/>
    <s v="N/A"/>
  </r>
  <r>
    <x v="28"/>
    <x v="9"/>
    <x v="14"/>
    <m/>
    <n v="44757"/>
    <n v="2939"/>
    <n v="691.61"/>
    <m/>
    <n v="212"/>
    <x v="2"/>
    <s v="weekend italian dinner"/>
    <s v="Phrase"/>
    <s v="8"/>
  </r>
  <r>
    <x v="28"/>
    <x v="9"/>
    <x v="14"/>
    <m/>
    <n v="41649"/>
    <n v="2923"/>
    <n v="754.45"/>
    <m/>
    <n v="267"/>
    <x v="2"/>
    <s v="endless pasta deal"/>
    <s v="Exact"/>
    <s v="8"/>
  </r>
  <r>
    <x v="28"/>
    <x v="10"/>
    <x v="15"/>
    <m/>
    <n v="21380"/>
    <n v="1401"/>
    <n v="270.17"/>
    <m/>
    <n v="98"/>
    <x v="2"/>
    <s v="new year dinner restaurant"/>
    <s v="Phrase"/>
    <s v="7"/>
  </r>
  <r>
    <x v="29"/>
    <x v="6"/>
    <x v="9"/>
    <m/>
    <n v="31092"/>
    <n v="1868"/>
    <n v="408.09"/>
    <m/>
    <n v="175"/>
    <x v="2"/>
    <s v="bella cucina restaurant"/>
    <s v="Exact"/>
    <s v="9"/>
  </r>
  <r>
    <x v="29"/>
    <x v="6"/>
    <x v="9"/>
    <m/>
    <n v="26268"/>
    <n v="1433"/>
    <n v="396.02"/>
    <m/>
    <n v="134"/>
    <x v="2"/>
    <s v="bella cucina near me"/>
    <s v="Phrase"/>
    <s v="8"/>
  </r>
  <r>
    <x v="29"/>
    <x v="7"/>
    <x v="10"/>
    <m/>
    <n v="39677"/>
    <n v="2670"/>
    <n v="517.49"/>
    <m/>
    <n v="211"/>
    <x v="2"/>
    <s v="italian food near me"/>
    <s v="Phrase"/>
    <s v="7"/>
  </r>
  <r>
    <x v="29"/>
    <x v="7"/>
    <x v="11"/>
    <m/>
    <n v="43573"/>
    <n v="2404"/>
    <n v="601.36"/>
    <m/>
    <n v="214"/>
    <x v="2"/>
    <s v="competitor italian chain"/>
    <s v="Broad"/>
    <s v="4"/>
  </r>
  <r>
    <x v="29"/>
    <x v="8"/>
    <x v="12"/>
    <m/>
    <n v="162559"/>
    <n v="2302"/>
    <n v="460.6"/>
    <m/>
    <n v="184"/>
    <x v="2"/>
    <s v="N/A"/>
    <s v="N/A"/>
    <s v="N/A"/>
  </r>
  <r>
    <x v="29"/>
    <x v="8"/>
    <x v="13"/>
    <m/>
    <n v="128086"/>
    <n v="1848"/>
    <n v="502.88"/>
    <m/>
    <n v="111"/>
    <x v="2"/>
    <s v="N/A"/>
    <s v="N/A"/>
    <s v="N/A"/>
  </r>
  <r>
    <x v="29"/>
    <x v="9"/>
    <x v="14"/>
    <m/>
    <n v="21653"/>
    <n v="1301"/>
    <n v="324.51"/>
    <m/>
    <n v="88"/>
    <x v="2"/>
    <s v="weekend italian dinner"/>
    <s v="Phrase"/>
    <s v="8"/>
  </r>
  <r>
    <x v="29"/>
    <x v="9"/>
    <x v="14"/>
    <m/>
    <n v="17563"/>
    <n v="1163"/>
    <n v="274.73"/>
    <m/>
    <n v="91"/>
    <x v="2"/>
    <s v="endless pasta deal"/>
    <s v="Exact"/>
    <s v="8"/>
  </r>
  <r>
    <x v="29"/>
    <x v="10"/>
    <x v="15"/>
    <m/>
    <n v="37359"/>
    <n v="2397"/>
    <n v="645.72"/>
    <m/>
    <n v="183"/>
    <x v="2"/>
    <s v="new year dinner restaurant"/>
    <s v="Phrase"/>
    <s v="7"/>
  </r>
  <r>
    <x v="30"/>
    <x v="6"/>
    <x v="9"/>
    <m/>
    <n v="52753"/>
    <n v="3555"/>
    <n v="825.73"/>
    <m/>
    <n v="199"/>
    <x v="2"/>
    <s v="bella cucina restaurant"/>
    <s v="Exact"/>
    <s v="9"/>
  </r>
  <r>
    <x v="30"/>
    <x v="6"/>
    <x v="9"/>
    <m/>
    <n v="27333"/>
    <n v="1346"/>
    <n v="249.9"/>
    <m/>
    <n v="88"/>
    <x v="2"/>
    <s v="bella cucina near me"/>
    <s v="Phrase"/>
    <s v="8"/>
  </r>
  <r>
    <x v="30"/>
    <x v="7"/>
    <x v="10"/>
    <m/>
    <n v="28765"/>
    <n v="2059"/>
    <n v="511.33"/>
    <m/>
    <n v="125"/>
    <x v="2"/>
    <s v="italian food near me"/>
    <s v="Phrase"/>
    <s v="7"/>
  </r>
  <r>
    <x v="30"/>
    <x v="7"/>
    <x v="11"/>
    <m/>
    <n v="19691"/>
    <n v="1271"/>
    <n v="266.29000000000002"/>
    <m/>
    <n v="108"/>
    <x v="2"/>
    <s v="competitor italian chain"/>
    <s v="Broad"/>
    <s v="4"/>
  </r>
  <r>
    <x v="30"/>
    <x v="8"/>
    <x v="12"/>
    <m/>
    <n v="131927"/>
    <n v="1687"/>
    <n v="380.01"/>
    <m/>
    <n v="134"/>
    <x v="2"/>
    <s v="N/A"/>
    <s v="N/A"/>
    <s v="N/A"/>
  </r>
  <r>
    <x v="30"/>
    <x v="8"/>
    <x v="13"/>
    <m/>
    <n v="229105"/>
    <n v="3510"/>
    <n v="892.39"/>
    <m/>
    <n v="271"/>
    <x v="2"/>
    <s v="N/A"/>
    <s v="N/A"/>
    <s v="N/A"/>
  </r>
  <r>
    <x v="30"/>
    <x v="9"/>
    <x v="14"/>
    <m/>
    <n v="35799"/>
    <n v="2157"/>
    <n v="560.14"/>
    <m/>
    <n v="178"/>
    <x v="2"/>
    <s v="weekend italian dinner"/>
    <s v="Phrase"/>
    <s v="8"/>
  </r>
  <r>
    <x v="30"/>
    <x v="9"/>
    <x v="14"/>
    <m/>
    <n v="18309"/>
    <n v="1285"/>
    <n v="281.10000000000002"/>
    <m/>
    <n v="119"/>
    <x v="2"/>
    <s v="endless pasta deal"/>
    <s v="Exact"/>
    <s v="8"/>
  </r>
  <r>
    <x v="30"/>
    <x v="10"/>
    <x v="15"/>
    <m/>
    <n v="42686"/>
    <n v="3038"/>
    <n v="563.19000000000005"/>
    <m/>
    <n v="257"/>
    <x v="2"/>
    <s v="new year dinner restaurant"/>
    <s v="Phrase"/>
    <s v="7"/>
  </r>
  <r>
    <x v="31"/>
    <x v="6"/>
    <x v="9"/>
    <m/>
    <n v="32632"/>
    <n v="2052"/>
    <n v="529.61"/>
    <m/>
    <n v="184"/>
    <x v="2"/>
    <s v="bella cucina restaurant"/>
    <s v="Exact"/>
    <s v="9"/>
  </r>
  <r>
    <x v="31"/>
    <x v="6"/>
    <x v="9"/>
    <m/>
    <n v="34693"/>
    <n v="2424"/>
    <n v="607.12"/>
    <m/>
    <n v="196"/>
    <x v="2"/>
    <s v="bella cucina near me"/>
    <s v="Phrase"/>
    <s v="8"/>
  </r>
  <r>
    <x v="31"/>
    <x v="7"/>
    <x v="10"/>
    <m/>
    <n v="32024"/>
    <n v="2133"/>
    <n v="589.62"/>
    <m/>
    <n v="142"/>
    <x v="2"/>
    <s v="italian food near me"/>
    <s v="Phrase"/>
    <s v="7"/>
  </r>
  <r>
    <x v="31"/>
    <x v="7"/>
    <x v="11"/>
    <m/>
    <n v="30277"/>
    <n v="2167"/>
    <n v="406.2"/>
    <m/>
    <n v="202"/>
    <x v="2"/>
    <s v="competitor italian chain"/>
    <s v="Broad"/>
    <s v="4"/>
  </r>
  <r>
    <x v="31"/>
    <x v="8"/>
    <x v="12"/>
    <m/>
    <n v="220290"/>
    <n v="2554"/>
    <n v="470.1"/>
    <m/>
    <n v="168"/>
    <x v="2"/>
    <s v="N/A"/>
    <s v="N/A"/>
    <s v="N/A"/>
  </r>
  <r>
    <x v="31"/>
    <x v="8"/>
    <x v="13"/>
    <m/>
    <n v="174487"/>
    <n v="2032"/>
    <n v="484.43"/>
    <m/>
    <n v="132"/>
    <x v="2"/>
    <s v="N/A"/>
    <s v="N/A"/>
    <s v="N/A"/>
  </r>
  <r>
    <x v="31"/>
    <x v="9"/>
    <x v="14"/>
    <m/>
    <n v="44328"/>
    <n v="2623"/>
    <n v="718.04"/>
    <m/>
    <n v="148"/>
    <x v="2"/>
    <s v="weekend italian dinner"/>
    <s v="Phrase"/>
    <s v="8"/>
  </r>
  <r>
    <x v="31"/>
    <x v="9"/>
    <x v="14"/>
    <m/>
    <n v="43600"/>
    <n v="2717"/>
    <n v="699.26"/>
    <m/>
    <n v="217"/>
    <x v="2"/>
    <s v="endless pasta deal"/>
    <s v="Exact"/>
    <s v="8"/>
  </r>
  <r>
    <x v="31"/>
    <x v="11"/>
    <x v="16"/>
    <m/>
    <n v="41630"/>
    <n v="2488"/>
    <n v="590.32000000000005"/>
    <m/>
    <n v="172"/>
    <x v="2"/>
    <s v="valentines day dinner"/>
    <s v="Exact"/>
    <s v="8"/>
  </r>
  <r>
    <x v="31"/>
    <x v="11"/>
    <x v="16"/>
    <m/>
    <n v="43163"/>
    <n v="2616"/>
    <n v="721.23"/>
    <m/>
    <n v="198"/>
    <x v="2"/>
    <s v="romantic italian dinner"/>
    <s v="Phrase"/>
    <s v="7"/>
  </r>
  <r>
    <x v="32"/>
    <x v="6"/>
    <x v="9"/>
    <m/>
    <n v="43104"/>
    <n v="2233"/>
    <n v="523.21"/>
    <m/>
    <n v="158"/>
    <x v="2"/>
    <s v="bella cucina restaurant"/>
    <s v="Exact"/>
    <s v="9"/>
  </r>
  <r>
    <x v="32"/>
    <x v="6"/>
    <x v="9"/>
    <m/>
    <n v="32898"/>
    <n v="1753"/>
    <n v="352.94"/>
    <m/>
    <n v="119"/>
    <x v="2"/>
    <s v="bella cucina near me"/>
    <s v="Phrase"/>
    <s v="8"/>
  </r>
  <r>
    <x v="32"/>
    <x v="7"/>
    <x v="10"/>
    <m/>
    <n v="33645"/>
    <n v="1852"/>
    <n v="509.36"/>
    <m/>
    <n v="147"/>
    <x v="2"/>
    <s v="italian food near me"/>
    <s v="Phrase"/>
    <s v="7"/>
  </r>
  <r>
    <x v="32"/>
    <x v="7"/>
    <x v="11"/>
    <m/>
    <n v="41120"/>
    <n v="2957"/>
    <n v="775.82"/>
    <m/>
    <n v="278"/>
    <x v="2"/>
    <s v="competitor italian chain"/>
    <s v="Broad"/>
    <s v="4"/>
  </r>
  <r>
    <x v="32"/>
    <x v="8"/>
    <x v="12"/>
    <m/>
    <n v="91153"/>
    <n v="1054"/>
    <n v="226.19"/>
    <m/>
    <n v="68"/>
    <x v="2"/>
    <s v="N/A"/>
    <s v="N/A"/>
    <s v="N/A"/>
  </r>
  <r>
    <x v="32"/>
    <x v="8"/>
    <x v="13"/>
    <m/>
    <n v="121958"/>
    <n v="1926"/>
    <n v="478.14"/>
    <m/>
    <n v="130"/>
    <x v="2"/>
    <s v="N/A"/>
    <s v="N/A"/>
    <s v="N/A"/>
  </r>
  <r>
    <x v="32"/>
    <x v="9"/>
    <x v="14"/>
    <m/>
    <n v="17430"/>
    <n v="998"/>
    <n v="233.56"/>
    <m/>
    <n v="66"/>
    <x v="2"/>
    <s v="weekend italian dinner"/>
    <s v="Phrase"/>
    <s v="8"/>
  </r>
  <r>
    <x v="32"/>
    <x v="9"/>
    <x v="14"/>
    <m/>
    <n v="43873"/>
    <n v="2971"/>
    <n v="646.17999999999995"/>
    <m/>
    <n v="258"/>
    <x v="2"/>
    <s v="endless pasta deal"/>
    <s v="Exact"/>
    <s v="8"/>
  </r>
  <r>
    <x v="32"/>
    <x v="11"/>
    <x v="16"/>
    <m/>
    <n v="39200"/>
    <n v="2339"/>
    <n v="490.36"/>
    <m/>
    <n v="189"/>
    <x v="2"/>
    <s v="valentines day dinner"/>
    <s v="Exact"/>
    <s v="8"/>
  </r>
  <r>
    <x v="32"/>
    <x v="11"/>
    <x v="16"/>
    <m/>
    <n v="30992"/>
    <n v="1869"/>
    <n v="513.64"/>
    <m/>
    <n v="115"/>
    <x v="2"/>
    <s v="romantic italian dinner"/>
    <s v="Phrase"/>
    <s v="7"/>
  </r>
  <r>
    <x v="33"/>
    <x v="6"/>
    <x v="9"/>
    <m/>
    <n v="44944"/>
    <n v="2165"/>
    <n v="403.87"/>
    <m/>
    <n v="177"/>
    <x v="2"/>
    <s v="bella cucina restaurant"/>
    <s v="Exact"/>
    <s v="9"/>
  </r>
  <r>
    <x v="33"/>
    <x v="6"/>
    <x v="9"/>
    <m/>
    <n v="23970"/>
    <n v="1648"/>
    <n v="366.55"/>
    <m/>
    <n v="97"/>
    <x v="2"/>
    <s v="bella cucina near me"/>
    <s v="Phrase"/>
    <s v="8"/>
  </r>
  <r>
    <x v="33"/>
    <x v="7"/>
    <x v="10"/>
    <m/>
    <n v="38523"/>
    <n v="2446"/>
    <n v="670.14"/>
    <m/>
    <n v="207"/>
    <x v="2"/>
    <s v="italian food near me"/>
    <s v="Phrase"/>
    <s v="7"/>
  </r>
  <r>
    <x v="33"/>
    <x v="7"/>
    <x v="11"/>
    <m/>
    <n v="20076"/>
    <n v="975"/>
    <n v="245.39"/>
    <m/>
    <n v="55"/>
    <x v="2"/>
    <s v="competitor italian chain"/>
    <s v="Broad"/>
    <s v="4"/>
  </r>
  <r>
    <x v="33"/>
    <x v="8"/>
    <x v="12"/>
    <m/>
    <n v="99600"/>
    <n v="1122"/>
    <n v="291.07"/>
    <m/>
    <n v="86"/>
    <x v="2"/>
    <s v="N/A"/>
    <s v="N/A"/>
    <s v="N/A"/>
  </r>
  <r>
    <x v="33"/>
    <x v="8"/>
    <x v="13"/>
    <m/>
    <n v="165361"/>
    <n v="2498"/>
    <n v="677.2"/>
    <m/>
    <n v="178"/>
    <x v="2"/>
    <s v="N/A"/>
    <s v="N/A"/>
    <s v="N/A"/>
  </r>
  <r>
    <x v="33"/>
    <x v="9"/>
    <x v="14"/>
    <m/>
    <n v="39564"/>
    <n v="2497"/>
    <n v="557.59"/>
    <m/>
    <n v="139"/>
    <x v="2"/>
    <s v="weekend italian dinner"/>
    <s v="Phrase"/>
    <s v="8"/>
  </r>
  <r>
    <x v="33"/>
    <x v="9"/>
    <x v="14"/>
    <m/>
    <n v="17753"/>
    <n v="1080"/>
    <n v="263.67"/>
    <m/>
    <n v="86"/>
    <x v="2"/>
    <s v="endless pasta deal"/>
    <s v="Exact"/>
    <s v="8"/>
  </r>
  <r>
    <x v="33"/>
    <x v="11"/>
    <x v="16"/>
    <m/>
    <n v="12982"/>
    <n v="841"/>
    <n v="157.47999999999999"/>
    <m/>
    <n v="77"/>
    <x v="2"/>
    <s v="valentines day dinner"/>
    <s v="Exact"/>
    <s v="8"/>
  </r>
  <r>
    <x v="33"/>
    <x v="11"/>
    <x v="16"/>
    <m/>
    <n v="16955"/>
    <n v="931"/>
    <n v="231.44"/>
    <m/>
    <n v="73"/>
    <x v="2"/>
    <s v="romantic italian dinner"/>
    <s v="Phrase"/>
    <s v="7"/>
  </r>
  <r>
    <x v="34"/>
    <x v="6"/>
    <x v="9"/>
    <m/>
    <n v="28449"/>
    <n v="1888"/>
    <n v="422.47"/>
    <m/>
    <n v="133"/>
    <x v="2"/>
    <s v="bella cucina restaurant"/>
    <s v="Exact"/>
    <s v="9"/>
  </r>
  <r>
    <x v="34"/>
    <x v="6"/>
    <x v="9"/>
    <m/>
    <n v="12019"/>
    <n v="713"/>
    <n v="166.38"/>
    <m/>
    <n v="43"/>
    <x v="2"/>
    <s v="bella cucina near me"/>
    <s v="Phrase"/>
    <s v="8"/>
  </r>
  <r>
    <x v="34"/>
    <x v="7"/>
    <x v="10"/>
    <m/>
    <n v="35624"/>
    <n v="2391"/>
    <n v="633.49"/>
    <m/>
    <n v="159"/>
    <x v="2"/>
    <s v="italian food near me"/>
    <s v="Phrase"/>
    <s v="7"/>
  </r>
  <r>
    <x v="34"/>
    <x v="7"/>
    <x v="11"/>
    <m/>
    <n v="19442"/>
    <n v="1072"/>
    <n v="288.04000000000002"/>
    <m/>
    <n v="100"/>
    <x v="2"/>
    <s v="competitor italian chain"/>
    <s v="Broad"/>
    <s v="4"/>
  </r>
  <r>
    <x v="34"/>
    <x v="8"/>
    <x v="12"/>
    <m/>
    <n v="138906"/>
    <n v="2192"/>
    <n v="397"/>
    <m/>
    <n v="197"/>
    <x v="2"/>
    <s v="N/A"/>
    <s v="N/A"/>
    <s v="N/A"/>
  </r>
  <r>
    <x v="34"/>
    <x v="8"/>
    <x v="13"/>
    <m/>
    <n v="108530"/>
    <n v="1260"/>
    <n v="227.43"/>
    <m/>
    <n v="99"/>
    <x v="2"/>
    <s v="N/A"/>
    <s v="N/A"/>
    <s v="N/A"/>
  </r>
  <r>
    <x v="34"/>
    <x v="9"/>
    <x v="14"/>
    <m/>
    <n v="15578"/>
    <n v="861"/>
    <n v="219.41"/>
    <m/>
    <n v="78"/>
    <x v="2"/>
    <s v="weekend italian dinner"/>
    <s v="Phrase"/>
    <s v="8"/>
  </r>
  <r>
    <x v="34"/>
    <x v="9"/>
    <x v="14"/>
    <m/>
    <n v="32534"/>
    <n v="1726"/>
    <n v="466.99"/>
    <m/>
    <n v="153"/>
    <x v="2"/>
    <s v="endless pasta deal"/>
    <s v="Exact"/>
    <s v="8"/>
  </r>
  <r>
    <x v="34"/>
    <x v="11"/>
    <x v="16"/>
    <m/>
    <n v="19335"/>
    <n v="1002"/>
    <n v="202.48"/>
    <m/>
    <n v="88"/>
    <x v="2"/>
    <s v="valentines day dinner"/>
    <s v="Exact"/>
    <s v="8"/>
  </r>
  <r>
    <x v="34"/>
    <x v="11"/>
    <x v="16"/>
    <m/>
    <n v="22735"/>
    <n v="1153"/>
    <n v="284.89999999999998"/>
    <m/>
    <n v="89"/>
    <x v="2"/>
    <s v="romantic italian dinner"/>
    <s v="Phrase"/>
    <s v="7"/>
  </r>
  <r>
    <x v="35"/>
    <x v="6"/>
    <x v="9"/>
    <m/>
    <n v="13564"/>
    <n v="928"/>
    <n v="253.56"/>
    <m/>
    <n v="87"/>
    <x v="2"/>
    <s v="bella cucina restaurant"/>
    <s v="Exact"/>
    <s v="9"/>
  </r>
  <r>
    <x v="35"/>
    <x v="6"/>
    <x v="9"/>
    <m/>
    <n v="40229"/>
    <n v="2553"/>
    <n v="478.21"/>
    <m/>
    <n v="209"/>
    <x v="2"/>
    <s v="bella cucina near me"/>
    <s v="Phrase"/>
    <s v="8"/>
  </r>
  <r>
    <x v="35"/>
    <x v="7"/>
    <x v="10"/>
    <m/>
    <n v="26429"/>
    <n v="1330"/>
    <n v="335.9"/>
    <m/>
    <n v="99"/>
    <x v="2"/>
    <s v="italian food near me"/>
    <s v="Phrase"/>
    <s v="7"/>
  </r>
  <r>
    <x v="35"/>
    <x v="7"/>
    <x v="11"/>
    <m/>
    <n v="31682"/>
    <n v="1792"/>
    <n v="442.86"/>
    <m/>
    <n v="115"/>
    <x v="2"/>
    <s v="competitor italian chain"/>
    <s v="Broad"/>
    <s v="4"/>
  </r>
  <r>
    <x v="35"/>
    <x v="8"/>
    <x v="12"/>
    <m/>
    <n v="127373"/>
    <n v="1795"/>
    <n v="484.67"/>
    <m/>
    <n v="121"/>
    <x v="2"/>
    <s v="N/A"/>
    <s v="N/A"/>
    <s v="N/A"/>
  </r>
  <r>
    <x v="35"/>
    <x v="8"/>
    <x v="13"/>
    <m/>
    <n v="149067"/>
    <n v="1884"/>
    <n v="463.36"/>
    <m/>
    <n v="155"/>
    <x v="2"/>
    <s v="N/A"/>
    <s v="N/A"/>
    <s v="N/A"/>
  </r>
  <r>
    <x v="35"/>
    <x v="9"/>
    <x v="14"/>
    <m/>
    <n v="19987"/>
    <n v="1230"/>
    <n v="266.23"/>
    <m/>
    <n v="83"/>
    <x v="2"/>
    <s v="weekend italian dinner"/>
    <s v="Phrase"/>
    <s v="8"/>
  </r>
  <r>
    <x v="35"/>
    <x v="9"/>
    <x v="14"/>
    <m/>
    <n v="38069"/>
    <n v="1981"/>
    <n v="418.63"/>
    <m/>
    <n v="171"/>
    <x v="2"/>
    <s v="endless pasta deal"/>
    <s v="Exact"/>
    <s v="8"/>
  </r>
  <r>
    <x v="35"/>
    <x v="11"/>
    <x v="16"/>
    <m/>
    <n v="38581"/>
    <n v="2108"/>
    <n v="455.22"/>
    <m/>
    <n v="173"/>
    <x v="2"/>
    <s v="valentines day dinner"/>
    <s v="Exact"/>
    <s v="8"/>
  </r>
  <r>
    <x v="35"/>
    <x v="11"/>
    <x v="16"/>
    <m/>
    <n v="31729"/>
    <n v="2191"/>
    <n v="495.79"/>
    <m/>
    <n v="151"/>
    <x v="2"/>
    <s v="romantic italian dinner"/>
    <s v="Phrase"/>
    <s v="7"/>
  </r>
  <r>
    <x v="36"/>
    <x v="6"/>
    <x v="9"/>
    <m/>
    <n v="30019"/>
    <n v="1791"/>
    <n v="341.87"/>
    <m/>
    <n v="144"/>
    <x v="2"/>
    <s v="bella cucina restaurant"/>
    <s v="Exact"/>
    <s v="9"/>
  </r>
  <r>
    <x v="36"/>
    <x v="6"/>
    <x v="9"/>
    <m/>
    <n v="15372"/>
    <n v="1048"/>
    <n v="278.63"/>
    <m/>
    <n v="63"/>
    <x v="2"/>
    <s v="bella cucina near me"/>
    <s v="Phrase"/>
    <s v="8"/>
  </r>
  <r>
    <x v="36"/>
    <x v="7"/>
    <x v="10"/>
    <m/>
    <n v="22873"/>
    <n v="1242"/>
    <n v="333.64"/>
    <m/>
    <n v="72"/>
    <x v="2"/>
    <s v="italian food near me"/>
    <s v="Phrase"/>
    <s v="7"/>
  </r>
  <r>
    <x v="36"/>
    <x v="7"/>
    <x v="11"/>
    <m/>
    <n v="14941"/>
    <n v="1037"/>
    <n v="274.76"/>
    <m/>
    <n v="83"/>
    <x v="2"/>
    <s v="competitor italian chain"/>
    <s v="Broad"/>
    <s v="4"/>
  </r>
  <r>
    <x v="36"/>
    <x v="8"/>
    <x v="12"/>
    <m/>
    <n v="166269"/>
    <n v="2310"/>
    <n v="593.49"/>
    <m/>
    <n v="146"/>
    <x v="2"/>
    <s v="N/A"/>
    <s v="N/A"/>
    <s v="N/A"/>
  </r>
  <r>
    <x v="36"/>
    <x v="8"/>
    <x v="13"/>
    <m/>
    <n v="94804"/>
    <n v="1304"/>
    <n v="305.58999999999997"/>
    <m/>
    <n v="123"/>
    <x v="2"/>
    <s v="N/A"/>
    <s v="N/A"/>
    <s v="N/A"/>
  </r>
  <r>
    <x v="36"/>
    <x v="9"/>
    <x v="14"/>
    <m/>
    <n v="40939"/>
    <n v="2607"/>
    <n v="508.01"/>
    <m/>
    <n v="184"/>
    <x v="2"/>
    <s v="weekend italian dinner"/>
    <s v="Phrase"/>
    <s v="8"/>
  </r>
  <r>
    <x v="36"/>
    <x v="9"/>
    <x v="14"/>
    <m/>
    <n v="29070"/>
    <n v="1488"/>
    <n v="342.41"/>
    <m/>
    <n v="87"/>
    <x v="2"/>
    <s v="endless pasta deal"/>
    <s v="Exact"/>
    <s v="8"/>
  </r>
  <r>
    <x v="36"/>
    <x v="11"/>
    <x v="16"/>
    <m/>
    <n v="33846"/>
    <n v="2032"/>
    <n v="500.42"/>
    <m/>
    <n v="180"/>
    <x v="2"/>
    <s v="valentines day dinner"/>
    <s v="Exact"/>
    <s v="8"/>
  </r>
  <r>
    <x v="36"/>
    <x v="11"/>
    <x v="16"/>
    <m/>
    <n v="20868"/>
    <n v="1380"/>
    <n v="267.77"/>
    <m/>
    <n v="84"/>
    <x v="2"/>
    <s v="romantic italian dinner"/>
    <s v="Phrase"/>
    <s v="7"/>
  </r>
  <r>
    <x v="37"/>
    <x v="6"/>
    <x v="9"/>
    <m/>
    <n v="27413"/>
    <n v="1799"/>
    <n v="410.8"/>
    <m/>
    <n v="124"/>
    <x v="2"/>
    <s v="bella cucina restaurant"/>
    <s v="Exact"/>
    <s v="9"/>
  </r>
  <r>
    <x v="37"/>
    <x v="6"/>
    <x v="9"/>
    <m/>
    <n v="34076"/>
    <n v="2258"/>
    <n v="458.77"/>
    <m/>
    <n v="148"/>
    <x v="2"/>
    <s v="bella cucina near me"/>
    <s v="Phrase"/>
    <s v="8"/>
  </r>
  <r>
    <x v="37"/>
    <x v="7"/>
    <x v="10"/>
    <m/>
    <n v="35470"/>
    <n v="1739"/>
    <n v="348.98"/>
    <m/>
    <n v="158"/>
    <x v="2"/>
    <s v="italian food near me"/>
    <s v="Phrase"/>
    <s v="7"/>
  </r>
  <r>
    <x v="37"/>
    <x v="7"/>
    <x v="11"/>
    <m/>
    <n v="47143"/>
    <n v="2701"/>
    <n v="734.11"/>
    <m/>
    <n v="243"/>
    <x v="2"/>
    <s v="competitor italian chain"/>
    <s v="Broad"/>
    <s v="4"/>
  </r>
  <r>
    <x v="37"/>
    <x v="8"/>
    <x v="12"/>
    <m/>
    <n v="133322"/>
    <n v="2120"/>
    <n v="450.3"/>
    <m/>
    <n v="176"/>
    <x v="2"/>
    <s v="N/A"/>
    <s v="N/A"/>
    <s v="N/A"/>
  </r>
  <r>
    <x v="37"/>
    <x v="8"/>
    <x v="13"/>
    <m/>
    <n v="221671"/>
    <n v="3140"/>
    <n v="651.08000000000004"/>
    <m/>
    <n v="265"/>
    <x v="2"/>
    <s v="N/A"/>
    <s v="N/A"/>
    <s v="N/A"/>
  </r>
  <r>
    <x v="37"/>
    <x v="9"/>
    <x v="14"/>
    <m/>
    <n v="29950"/>
    <n v="1708"/>
    <n v="372.09"/>
    <m/>
    <n v="134"/>
    <x v="2"/>
    <s v="weekend italian dinner"/>
    <s v="Phrase"/>
    <s v="8"/>
  </r>
  <r>
    <x v="37"/>
    <x v="9"/>
    <x v="14"/>
    <m/>
    <n v="21141"/>
    <n v="1276"/>
    <n v="277.7"/>
    <m/>
    <n v="116"/>
    <x v="2"/>
    <s v="endless pasta deal"/>
    <s v="Exact"/>
    <s v="8"/>
  </r>
  <r>
    <x v="37"/>
    <x v="11"/>
    <x v="16"/>
    <m/>
    <n v="61375"/>
    <n v="3543"/>
    <n v="927.29"/>
    <m/>
    <n v="243"/>
    <x v="2"/>
    <s v="valentines day dinner"/>
    <s v="Exact"/>
    <s v="8"/>
  </r>
  <r>
    <x v="37"/>
    <x v="11"/>
    <x v="16"/>
    <m/>
    <n v="58232"/>
    <n v="4035"/>
    <n v="728.96"/>
    <m/>
    <n v="364"/>
    <x v="2"/>
    <s v="romantic italian dinner"/>
    <s v="Phrase"/>
    <s v="7"/>
  </r>
  <r>
    <x v="38"/>
    <x v="6"/>
    <x v="9"/>
    <m/>
    <n v="54360"/>
    <n v="2825"/>
    <n v="530.28"/>
    <m/>
    <n v="228"/>
    <x v="2"/>
    <s v="bella cucina restaurant"/>
    <s v="Exact"/>
    <s v="9"/>
  </r>
  <r>
    <x v="38"/>
    <x v="6"/>
    <x v="9"/>
    <m/>
    <n v="33405"/>
    <n v="1723"/>
    <n v="337.25"/>
    <m/>
    <n v="136"/>
    <x v="2"/>
    <s v="bella cucina near me"/>
    <s v="Phrase"/>
    <s v="8"/>
  </r>
  <r>
    <x v="38"/>
    <x v="7"/>
    <x v="10"/>
    <m/>
    <n v="24855"/>
    <n v="1587"/>
    <n v="351.46"/>
    <m/>
    <n v="108"/>
    <x v="2"/>
    <s v="italian food near me"/>
    <s v="Phrase"/>
    <s v="7"/>
  </r>
  <r>
    <x v="38"/>
    <x v="7"/>
    <x v="11"/>
    <m/>
    <n v="24397"/>
    <n v="1452"/>
    <n v="330.88"/>
    <m/>
    <n v="92"/>
    <x v="2"/>
    <s v="competitor italian chain"/>
    <s v="Broad"/>
    <s v="4"/>
  </r>
  <r>
    <x v="38"/>
    <x v="8"/>
    <x v="12"/>
    <m/>
    <n v="155587"/>
    <n v="2214"/>
    <n v="489.49"/>
    <m/>
    <n v="143"/>
    <x v="2"/>
    <s v="N/A"/>
    <s v="N/A"/>
    <s v="N/A"/>
  </r>
  <r>
    <x v="38"/>
    <x v="8"/>
    <x v="13"/>
    <m/>
    <n v="149466"/>
    <n v="2072"/>
    <n v="406.35"/>
    <m/>
    <n v="166"/>
    <x v="2"/>
    <s v="N/A"/>
    <s v="N/A"/>
    <s v="N/A"/>
  </r>
  <r>
    <x v="38"/>
    <x v="9"/>
    <x v="14"/>
    <m/>
    <n v="17595"/>
    <n v="1220"/>
    <n v="237.52"/>
    <m/>
    <n v="75"/>
    <x v="2"/>
    <s v="weekend italian dinner"/>
    <s v="Phrase"/>
    <s v="8"/>
  </r>
  <r>
    <x v="38"/>
    <x v="9"/>
    <x v="14"/>
    <m/>
    <n v="30517"/>
    <n v="1843"/>
    <n v="406.47"/>
    <m/>
    <n v="172"/>
    <x v="2"/>
    <s v="endless pasta deal"/>
    <s v="Exact"/>
    <s v="8"/>
  </r>
  <r>
    <x v="38"/>
    <x v="11"/>
    <x v="16"/>
    <m/>
    <n v="15707"/>
    <n v="1085"/>
    <n v="274.29000000000002"/>
    <m/>
    <n v="95"/>
    <x v="2"/>
    <s v="valentines day dinner"/>
    <s v="Exact"/>
    <s v="8"/>
  </r>
  <r>
    <x v="38"/>
    <x v="11"/>
    <x v="16"/>
    <m/>
    <n v="21866"/>
    <n v="1163"/>
    <n v="279.88"/>
    <m/>
    <n v="85"/>
    <x v="2"/>
    <s v="romantic italian dinner"/>
    <s v="Phrase"/>
    <s v="7"/>
  </r>
  <r>
    <x v="39"/>
    <x v="6"/>
    <x v="9"/>
    <m/>
    <n v="66505"/>
    <n v="3464"/>
    <n v="911.16"/>
    <m/>
    <n v="273"/>
    <x v="2"/>
    <s v="bella cucina restaurant"/>
    <s v="Exact"/>
    <s v="9"/>
  </r>
  <r>
    <x v="39"/>
    <x v="6"/>
    <x v="9"/>
    <m/>
    <n v="35070"/>
    <n v="2207"/>
    <n v="509.99"/>
    <m/>
    <n v="136"/>
    <x v="2"/>
    <s v="bella cucina near me"/>
    <s v="Phrase"/>
    <s v="8"/>
  </r>
  <r>
    <x v="39"/>
    <x v="7"/>
    <x v="10"/>
    <m/>
    <n v="51931"/>
    <n v="3642"/>
    <n v="872.82"/>
    <m/>
    <n v="210"/>
    <x v="2"/>
    <s v="italian food near me"/>
    <s v="Phrase"/>
    <s v="7"/>
  </r>
  <r>
    <x v="39"/>
    <x v="7"/>
    <x v="11"/>
    <m/>
    <n v="55657"/>
    <n v="3186"/>
    <n v="608.07000000000005"/>
    <m/>
    <n v="201"/>
    <x v="2"/>
    <s v="competitor italian chain"/>
    <s v="Broad"/>
    <s v="4"/>
  </r>
  <r>
    <x v="39"/>
    <x v="8"/>
    <x v="12"/>
    <m/>
    <n v="249771"/>
    <n v="3602"/>
    <n v="946.07"/>
    <m/>
    <n v="285"/>
    <x v="2"/>
    <s v="N/A"/>
    <s v="N/A"/>
    <s v="N/A"/>
  </r>
  <r>
    <x v="39"/>
    <x v="8"/>
    <x v="13"/>
    <m/>
    <n v="181208"/>
    <n v="2424"/>
    <n v="585.33000000000004"/>
    <m/>
    <n v="137"/>
    <x v="2"/>
    <s v="N/A"/>
    <s v="N/A"/>
    <s v="N/A"/>
  </r>
  <r>
    <x v="39"/>
    <x v="9"/>
    <x v="14"/>
    <m/>
    <n v="71723"/>
    <n v="4309"/>
    <n v="826.26"/>
    <m/>
    <n v="320"/>
    <x v="2"/>
    <s v="weekend italian dinner"/>
    <s v="Phrase"/>
    <s v="8"/>
  </r>
  <r>
    <x v="39"/>
    <x v="9"/>
    <x v="14"/>
    <m/>
    <n v="29665"/>
    <n v="2066"/>
    <n v="483.3"/>
    <m/>
    <n v="113"/>
    <x v="2"/>
    <s v="endless pasta deal"/>
    <s v="Exact"/>
    <s v="8"/>
  </r>
  <r>
    <x v="39"/>
    <x v="11"/>
    <x v="16"/>
    <m/>
    <n v="61244"/>
    <n v="3707"/>
    <n v="804.56"/>
    <m/>
    <n v="210"/>
    <x v="2"/>
    <s v="valentines day dinner"/>
    <s v="Exact"/>
    <s v="8"/>
  </r>
  <r>
    <x v="39"/>
    <x v="11"/>
    <x v="16"/>
    <m/>
    <n v="71555"/>
    <n v="4171"/>
    <n v="1142.2"/>
    <m/>
    <n v="309"/>
    <x v="2"/>
    <s v="romantic italian dinner"/>
    <s v="Phrase"/>
    <s v="7"/>
  </r>
  <r>
    <x v="40"/>
    <x v="6"/>
    <x v="9"/>
    <m/>
    <n v="55974"/>
    <n v="3157"/>
    <n v="822.28"/>
    <m/>
    <n v="288"/>
    <x v="2"/>
    <s v="bella cucina restaurant"/>
    <s v="Exact"/>
    <s v="9"/>
  </r>
  <r>
    <x v="40"/>
    <x v="6"/>
    <x v="9"/>
    <m/>
    <n v="26244"/>
    <n v="1527"/>
    <n v="313.72000000000003"/>
    <m/>
    <n v="130"/>
    <x v="2"/>
    <s v="bella cucina near me"/>
    <s v="Phrase"/>
    <s v="8"/>
  </r>
  <r>
    <x v="40"/>
    <x v="7"/>
    <x v="10"/>
    <m/>
    <n v="24788"/>
    <n v="1358"/>
    <n v="363.5"/>
    <m/>
    <n v="96"/>
    <x v="2"/>
    <s v="italian food near me"/>
    <s v="Phrase"/>
    <s v="7"/>
  </r>
  <r>
    <x v="40"/>
    <x v="7"/>
    <x v="11"/>
    <m/>
    <n v="35819"/>
    <n v="1724"/>
    <n v="438.52"/>
    <m/>
    <n v="95"/>
    <x v="2"/>
    <s v="competitor italian chain"/>
    <s v="Broad"/>
    <s v="4"/>
  </r>
  <r>
    <x v="40"/>
    <x v="8"/>
    <x v="12"/>
    <m/>
    <n v="253584"/>
    <n v="2938"/>
    <n v="530.95000000000005"/>
    <m/>
    <n v="238"/>
    <x v="2"/>
    <s v="N/A"/>
    <s v="N/A"/>
    <s v="N/A"/>
  </r>
  <r>
    <x v="40"/>
    <x v="8"/>
    <x v="13"/>
    <m/>
    <n v="210248"/>
    <n v="2742"/>
    <n v="522.79"/>
    <m/>
    <n v="197"/>
    <x v="2"/>
    <s v="N/A"/>
    <s v="N/A"/>
    <s v="N/A"/>
  </r>
  <r>
    <x v="40"/>
    <x v="9"/>
    <x v="14"/>
    <m/>
    <n v="42595"/>
    <n v="2311"/>
    <n v="539.87"/>
    <m/>
    <n v="179"/>
    <x v="2"/>
    <s v="weekend italian dinner"/>
    <s v="Phrase"/>
    <s v="8"/>
  </r>
  <r>
    <x v="40"/>
    <x v="9"/>
    <x v="14"/>
    <m/>
    <n v="44894"/>
    <n v="3223"/>
    <n v="708.24"/>
    <m/>
    <n v="203"/>
    <x v="2"/>
    <s v="endless pasta deal"/>
    <s v="Exact"/>
    <s v="8"/>
  </r>
  <r>
    <x v="40"/>
    <x v="11"/>
    <x v="16"/>
    <m/>
    <n v="66590"/>
    <n v="3481"/>
    <n v="821.2"/>
    <m/>
    <n v="258"/>
    <x v="2"/>
    <s v="valentines day dinner"/>
    <s v="Exact"/>
    <s v="8"/>
  </r>
  <r>
    <x v="40"/>
    <x v="11"/>
    <x v="16"/>
    <m/>
    <n v="48153"/>
    <n v="2978"/>
    <n v="766.6"/>
    <m/>
    <n v="211"/>
    <x v="2"/>
    <s v="romantic italian dinner"/>
    <s v="Phrase"/>
    <s v="7"/>
  </r>
  <r>
    <x v="41"/>
    <x v="6"/>
    <x v="9"/>
    <m/>
    <n v="30476"/>
    <n v="2088"/>
    <n v="513.5"/>
    <m/>
    <n v="177"/>
    <x v="2"/>
    <s v="bella cucina restaurant"/>
    <s v="Exact"/>
    <s v="9"/>
  </r>
  <r>
    <x v="41"/>
    <x v="6"/>
    <x v="9"/>
    <m/>
    <n v="62828"/>
    <n v="4196"/>
    <n v="1153.58"/>
    <m/>
    <n v="247"/>
    <x v="2"/>
    <s v="bella cucina near me"/>
    <s v="Phrase"/>
    <s v="8"/>
  </r>
  <r>
    <x v="41"/>
    <x v="7"/>
    <x v="10"/>
    <m/>
    <n v="69302"/>
    <n v="3992"/>
    <n v="853.66"/>
    <m/>
    <n v="307"/>
    <x v="2"/>
    <s v="italian food near me"/>
    <s v="Phrase"/>
    <s v="7"/>
  </r>
  <r>
    <x v="41"/>
    <x v="7"/>
    <x v="11"/>
    <m/>
    <n v="21457"/>
    <n v="1112"/>
    <n v="307.42"/>
    <m/>
    <n v="61"/>
    <x v="2"/>
    <s v="competitor italian chain"/>
    <s v="Broad"/>
    <s v="4"/>
  </r>
  <r>
    <x v="41"/>
    <x v="8"/>
    <x v="12"/>
    <m/>
    <n v="163102"/>
    <n v="2465"/>
    <n v="559.97"/>
    <m/>
    <n v="194"/>
    <x v="2"/>
    <s v="N/A"/>
    <s v="N/A"/>
    <s v="N/A"/>
  </r>
  <r>
    <x v="41"/>
    <x v="8"/>
    <x v="13"/>
    <m/>
    <n v="162483"/>
    <n v="1839"/>
    <n v="371.8"/>
    <m/>
    <n v="107"/>
    <x v="2"/>
    <s v="N/A"/>
    <s v="N/A"/>
    <s v="N/A"/>
  </r>
  <r>
    <x v="41"/>
    <x v="9"/>
    <x v="14"/>
    <m/>
    <n v="19958"/>
    <n v="1305"/>
    <n v="356.35"/>
    <m/>
    <n v="92"/>
    <x v="2"/>
    <s v="weekend italian dinner"/>
    <s v="Phrase"/>
    <s v="8"/>
  </r>
  <r>
    <x v="41"/>
    <x v="9"/>
    <x v="14"/>
    <m/>
    <n v="70630"/>
    <n v="3875"/>
    <n v="1070.8699999999999"/>
    <m/>
    <n v="222"/>
    <x v="2"/>
    <s v="endless pasta deal"/>
    <s v="Exact"/>
    <s v="8"/>
  </r>
  <r>
    <x v="41"/>
    <x v="11"/>
    <x v="16"/>
    <m/>
    <n v="34377"/>
    <n v="2178"/>
    <n v="487.65"/>
    <m/>
    <n v="137"/>
    <x v="2"/>
    <s v="valentines day dinner"/>
    <s v="Exact"/>
    <s v="8"/>
  </r>
  <r>
    <x v="41"/>
    <x v="11"/>
    <x v="16"/>
    <m/>
    <n v="70331"/>
    <n v="3858"/>
    <n v="707.41"/>
    <m/>
    <n v="304"/>
    <x v="2"/>
    <s v="romantic italian dinner"/>
    <s v="Phrase"/>
    <s v="7"/>
  </r>
  <r>
    <x v="42"/>
    <x v="6"/>
    <x v="9"/>
    <m/>
    <n v="70086"/>
    <n v="4538"/>
    <n v="1096.01"/>
    <m/>
    <n v="371"/>
    <x v="2"/>
    <s v="bella cucina restaurant"/>
    <s v="Exact"/>
    <s v="9"/>
  </r>
  <r>
    <x v="42"/>
    <x v="6"/>
    <x v="9"/>
    <m/>
    <n v="53720"/>
    <n v="2887"/>
    <n v="519.74"/>
    <m/>
    <n v="176"/>
    <x v="2"/>
    <s v="bella cucina near me"/>
    <s v="Phrase"/>
    <s v="8"/>
  </r>
  <r>
    <x v="42"/>
    <x v="7"/>
    <x v="10"/>
    <m/>
    <n v="44932"/>
    <n v="2997"/>
    <n v="645.29"/>
    <m/>
    <n v="212"/>
    <x v="2"/>
    <s v="italian food near me"/>
    <s v="Phrase"/>
    <s v="7"/>
  </r>
  <r>
    <x v="42"/>
    <x v="7"/>
    <x v="11"/>
    <m/>
    <n v="37003"/>
    <n v="2235"/>
    <n v="567"/>
    <m/>
    <n v="129"/>
    <x v="2"/>
    <s v="competitor italian chain"/>
    <s v="Broad"/>
    <s v="4"/>
  </r>
  <r>
    <x v="42"/>
    <x v="8"/>
    <x v="12"/>
    <m/>
    <n v="162908"/>
    <n v="2239"/>
    <n v="565.6"/>
    <m/>
    <n v="173"/>
    <x v="2"/>
    <s v="N/A"/>
    <s v="N/A"/>
    <s v="N/A"/>
  </r>
  <r>
    <x v="42"/>
    <x v="8"/>
    <x v="13"/>
    <m/>
    <n v="266249"/>
    <n v="3392"/>
    <n v="937.31"/>
    <m/>
    <n v="224"/>
    <x v="2"/>
    <s v="N/A"/>
    <s v="N/A"/>
    <s v="N/A"/>
  </r>
  <r>
    <x v="42"/>
    <x v="9"/>
    <x v="14"/>
    <m/>
    <n v="36396"/>
    <n v="2144"/>
    <n v="472.53"/>
    <m/>
    <n v="118"/>
    <x v="2"/>
    <s v="weekend italian dinner"/>
    <s v="Phrase"/>
    <s v="8"/>
  </r>
  <r>
    <x v="42"/>
    <x v="9"/>
    <x v="14"/>
    <m/>
    <n v="34353"/>
    <n v="1984"/>
    <n v="378.24"/>
    <m/>
    <n v="114"/>
    <x v="2"/>
    <s v="endless pasta deal"/>
    <s v="Exact"/>
    <s v="8"/>
  </r>
  <r>
    <x v="42"/>
    <x v="11"/>
    <x v="16"/>
    <m/>
    <n v="46854"/>
    <n v="2631"/>
    <n v="504.37"/>
    <m/>
    <n v="198"/>
    <x v="2"/>
    <s v="valentines day dinner"/>
    <s v="Exact"/>
    <s v="8"/>
  </r>
  <r>
    <x v="42"/>
    <x v="11"/>
    <x v="16"/>
    <m/>
    <n v="43020"/>
    <n v="2969"/>
    <n v="775.84"/>
    <m/>
    <n v="231"/>
    <x v="2"/>
    <s v="romantic italian dinner"/>
    <s v="Phrase"/>
    <s v="7"/>
  </r>
  <r>
    <x v="43"/>
    <x v="6"/>
    <x v="9"/>
    <m/>
    <n v="62427"/>
    <n v="4443"/>
    <n v="1049.96"/>
    <m/>
    <n v="381"/>
    <x v="2"/>
    <s v="bella cucina restaurant"/>
    <s v="Exact"/>
    <s v="9"/>
  </r>
  <r>
    <x v="43"/>
    <x v="6"/>
    <x v="9"/>
    <m/>
    <n v="51616"/>
    <n v="3668"/>
    <n v="828.55"/>
    <m/>
    <n v="269"/>
    <x v="2"/>
    <s v="bella cucina near me"/>
    <s v="Phrase"/>
    <s v="8"/>
  </r>
  <r>
    <x v="43"/>
    <x v="7"/>
    <x v="10"/>
    <m/>
    <n v="18867"/>
    <n v="1123"/>
    <n v="231.09"/>
    <m/>
    <n v="78"/>
    <x v="2"/>
    <s v="italian food near me"/>
    <s v="Phrase"/>
    <s v="7"/>
  </r>
  <r>
    <x v="43"/>
    <x v="7"/>
    <x v="11"/>
    <m/>
    <n v="39107"/>
    <n v="2512"/>
    <n v="509.92"/>
    <m/>
    <n v="169"/>
    <x v="2"/>
    <s v="competitor italian chain"/>
    <s v="Broad"/>
    <s v="4"/>
  </r>
  <r>
    <x v="43"/>
    <x v="8"/>
    <x v="12"/>
    <m/>
    <n v="218049"/>
    <n v="2961"/>
    <n v="535.86"/>
    <m/>
    <n v="261"/>
    <x v="2"/>
    <s v="N/A"/>
    <s v="N/A"/>
    <s v="N/A"/>
  </r>
  <r>
    <x v="43"/>
    <x v="8"/>
    <x v="13"/>
    <m/>
    <n v="196062"/>
    <n v="2438"/>
    <n v="536.1"/>
    <m/>
    <n v="207"/>
    <x v="2"/>
    <s v="N/A"/>
    <s v="N/A"/>
    <s v="N/A"/>
  </r>
  <r>
    <x v="43"/>
    <x v="9"/>
    <x v="14"/>
    <m/>
    <n v="51859"/>
    <n v="2583"/>
    <n v="705.52"/>
    <m/>
    <n v="191"/>
    <x v="2"/>
    <s v="weekend italian dinner"/>
    <s v="Phrase"/>
    <s v="8"/>
  </r>
  <r>
    <x v="43"/>
    <x v="9"/>
    <x v="14"/>
    <m/>
    <n v="53070"/>
    <n v="2825"/>
    <n v="670.57"/>
    <m/>
    <n v="176"/>
    <x v="2"/>
    <s v="endless pasta deal"/>
    <s v="Exact"/>
    <s v="8"/>
  </r>
  <r>
    <x v="43"/>
    <x v="11"/>
    <x v="16"/>
    <m/>
    <n v="35939"/>
    <n v="2155"/>
    <n v="430.93"/>
    <m/>
    <n v="181"/>
    <x v="2"/>
    <s v="valentines day dinner"/>
    <s v="Exact"/>
    <s v="8"/>
  </r>
  <r>
    <x v="43"/>
    <x v="11"/>
    <x v="16"/>
    <m/>
    <n v="43828"/>
    <n v="2321"/>
    <n v="464.84"/>
    <m/>
    <n v="150"/>
    <x v="2"/>
    <s v="romantic italian dinner"/>
    <s v="Phrase"/>
    <s v="7"/>
  </r>
  <r>
    <x v="44"/>
    <x v="6"/>
    <x v="9"/>
    <m/>
    <n v="53331"/>
    <n v="2759"/>
    <n v="526.05999999999995"/>
    <m/>
    <n v="253"/>
    <x v="2"/>
    <s v="bella cucina restaurant"/>
    <s v="Exact"/>
    <s v="9"/>
  </r>
  <r>
    <x v="44"/>
    <x v="6"/>
    <x v="9"/>
    <m/>
    <n v="67659"/>
    <n v="4244"/>
    <n v="1088.27"/>
    <m/>
    <n v="325"/>
    <x v="2"/>
    <s v="bella cucina near me"/>
    <s v="Phrase"/>
    <s v="8"/>
  </r>
  <r>
    <x v="44"/>
    <x v="7"/>
    <x v="10"/>
    <m/>
    <n v="20430"/>
    <n v="1396"/>
    <n v="303.10000000000002"/>
    <m/>
    <n v="94"/>
    <x v="2"/>
    <s v="italian food near me"/>
    <s v="Phrase"/>
    <s v="7"/>
  </r>
  <r>
    <x v="44"/>
    <x v="7"/>
    <x v="11"/>
    <m/>
    <n v="44806"/>
    <n v="2678"/>
    <n v="745.66"/>
    <m/>
    <n v="245"/>
    <x v="2"/>
    <s v="competitor italian chain"/>
    <s v="Broad"/>
    <s v="4"/>
  </r>
  <r>
    <x v="44"/>
    <x v="8"/>
    <x v="12"/>
    <m/>
    <n v="202776"/>
    <n v="2633"/>
    <n v="671.46"/>
    <m/>
    <n v="158"/>
    <x v="2"/>
    <s v="N/A"/>
    <s v="N/A"/>
    <s v="N/A"/>
  </r>
  <r>
    <x v="44"/>
    <x v="8"/>
    <x v="13"/>
    <m/>
    <n v="254254"/>
    <n v="3812"/>
    <n v="868.5"/>
    <m/>
    <n v="292"/>
    <x v="2"/>
    <s v="N/A"/>
    <s v="N/A"/>
    <s v="N/A"/>
  </r>
  <r>
    <x v="44"/>
    <x v="9"/>
    <x v="14"/>
    <m/>
    <n v="68688"/>
    <n v="3869"/>
    <n v="1029.31"/>
    <m/>
    <n v="332"/>
    <x v="2"/>
    <s v="weekend italian dinner"/>
    <s v="Phrase"/>
    <s v="8"/>
  </r>
  <r>
    <x v="44"/>
    <x v="9"/>
    <x v="14"/>
    <m/>
    <n v="63939"/>
    <n v="4567"/>
    <n v="1140.95"/>
    <m/>
    <n v="335"/>
    <x v="2"/>
    <s v="endless pasta deal"/>
    <s v="Exact"/>
    <s v="8"/>
  </r>
  <r>
    <x v="44"/>
    <x v="11"/>
    <x v="16"/>
    <m/>
    <n v="16881"/>
    <n v="815"/>
    <n v="163.88"/>
    <m/>
    <n v="63"/>
    <x v="2"/>
    <s v="valentines day dinner"/>
    <s v="Exact"/>
    <s v="8"/>
  </r>
  <r>
    <x v="44"/>
    <x v="11"/>
    <x v="16"/>
    <m/>
    <n v="50123"/>
    <n v="2840"/>
    <n v="755.96"/>
    <m/>
    <n v="177"/>
    <x v="2"/>
    <s v="romantic italian dinner"/>
    <s v="Phrase"/>
    <s v="7"/>
  </r>
  <r>
    <x v="45"/>
    <x v="6"/>
    <x v="9"/>
    <m/>
    <n v="43561"/>
    <n v="2338"/>
    <n v="531.04"/>
    <m/>
    <n v="185"/>
    <x v="2"/>
    <s v="bella cucina restaurant"/>
    <s v="Exact"/>
    <s v="9"/>
  </r>
  <r>
    <x v="45"/>
    <x v="6"/>
    <x v="9"/>
    <m/>
    <n v="54369"/>
    <n v="2849"/>
    <n v="633.6"/>
    <m/>
    <n v="204"/>
    <x v="2"/>
    <s v="bella cucina near me"/>
    <s v="Phrase"/>
    <s v="8"/>
  </r>
  <r>
    <x v="45"/>
    <x v="7"/>
    <x v="10"/>
    <m/>
    <n v="55038"/>
    <n v="3124"/>
    <n v="687.47"/>
    <m/>
    <n v="228"/>
    <x v="2"/>
    <s v="italian food near me"/>
    <s v="Phrase"/>
    <s v="7"/>
  </r>
  <r>
    <x v="45"/>
    <x v="7"/>
    <x v="11"/>
    <m/>
    <n v="29750"/>
    <n v="2127"/>
    <n v="528.77"/>
    <m/>
    <n v="186"/>
    <x v="2"/>
    <s v="competitor italian chain"/>
    <s v="Broad"/>
    <s v="4"/>
  </r>
  <r>
    <x v="45"/>
    <x v="8"/>
    <x v="12"/>
    <m/>
    <n v="200611"/>
    <n v="3013"/>
    <n v="709.66"/>
    <m/>
    <n v="268"/>
    <x v="2"/>
    <s v="N/A"/>
    <s v="N/A"/>
    <s v="N/A"/>
  </r>
  <r>
    <x v="45"/>
    <x v="8"/>
    <x v="13"/>
    <m/>
    <n v="185116"/>
    <n v="2171"/>
    <n v="599.01"/>
    <m/>
    <n v="132"/>
    <x v="2"/>
    <s v="N/A"/>
    <s v="N/A"/>
    <s v="N/A"/>
  </r>
  <r>
    <x v="45"/>
    <x v="9"/>
    <x v="14"/>
    <m/>
    <n v="17020"/>
    <n v="889"/>
    <n v="204.43"/>
    <m/>
    <n v="84"/>
    <x v="2"/>
    <s v="weekend italian dinner"/>
    <s v="Phrase"/>
    <s v="8"/>
  </r>
  <r>
    <x v="45"/>
    <x v="9"/>
    <x v="14"/>
    <m/>
    <n v="70211"/>
    <n v="4269"/>
    <n v="903.2"/>
    <m/>
    <n v="317"/>
    <x v="2"/>
    <s v="endless pasta deal"/>
    <s v="Exact"/>
    <s v="8"/>
  </r>
  <r>
    <x v="45"/>
    <x v="11"/>
    <x v="16"/>
    <m/>
    <n v="42315"/>
    <n v="2602"/>
    <n v="616.11"/>
    <m/>
    <n v="184"/>
    <x v="2"/>
    <s v="valentines day dinner"/>
    <s v="Exact"/>
    <s v="8"/>
  </r>
  <r>
    <x v="45"/>
    <x v="11"/>
    <x v="16"/>
    <m/>
    <n v="33126"/>
    <n v="1637"/>
    <n v="427.88"/>
    <m/>
    <n v="121"/>
    <x v="2"/>
    <s v="romantic italian dinner"/>
    <s v="Phrase"/>
    <s v="7"/>
  </r>
  <r>
    <x v="46"/>
    <x v="6"/>
    <x v="9"/>
    <m/>
    <n v="26097"/>
    <n v="1534"/>
    <n v="327.45999999999998"/>
    <m/>
    <n v="106"/>
    <x v="2"/>
    <s v="bella cucina restaurant"/>
    <s v="Exact"/>
    <s v="9"/>
  </r>
  <r>
    <x v="46"/>
    <x v="6"/>
    <x v="9"/>
    <m/>
    <n v="43022"/>
    <n v="2420"/>
    <n v="535.25"/>
    <m/>
    <n v="167"/>
    <x v="2"/>
    <s v="bella cucina near me"/>
    <s v="Phrase"/>
    <s v="8"/>
  </r>
  <r>
    <x v="46"/>
    <x v="7"/>
    <x v="10"/>
    <m/>
    <n v="36860"/>
    <n v="2279"/>
    <n v="558.32000000000005"/>
    <m/>
    <n v="174"/>
    <x v="2"/>
    <s v="italian food near me"/>
    <s v="Phrase"/>
    <s v="7"/>
  </r>
  <r>
    <x v="46"/>
    <x v="7"/>
    <x v="11"/>
    <m/>
    <n v="45843"/>
    <n v="2591"/>
    <n v="640.79999999999995"/>
    <m/>
    <n v="193"/>
    <x v="2"/>
    <s v="competitor italian chain"/>
    <s v="Broad"/>
    <s v="4"/>
  </r>
  <r>
    <x v="46"/>
    <x v="8"/>
    <x v="12"/>
    <m/>
    <n v="237728"/>
    <n v="3672"/>
    <n v="800.89"/>
    <m/>
    <n v="244"/>
    <x v="2"/>
    <s v="N/A"/>
    <s v="N/A"/>
    <s v="N/A"/>
  </r>
  <r>
    <x v="46"/>
    <x v="8"/>
    <x v="13"/>
    <m/>
    <n v="174376"/>
    <n v="2675"/>
    <n v="652.86"/>
    <m/>
    <n v="246"/>
    <x v="2"/>
    <s v="N/A"/>
    <s v="N/A"/>
    <s v="N/A"/>
  </r>
  <r>
    <x v="46"/>
    <x v="9"/>
    <x v="14"/>
    <m/>
    <n v="60230"/>
    <n v="3803"/>
    <n v="901.93"/>
    <m/>
    <n v="338"/>
    <x v="2"/>
    <s v="weekend italian dinner"/>
    <s v="Phrase"/>
    <s v="8"/>
  </r>
  <r>
    <x v="46"/>
    <x v="9"/>
    <x v="14"/>
    <m/>
    <n v="23480"/>
    <n v="1171"/>
    <n v="251.02"/>
    <m/>
    <n v="79"/>
    <x v="2"/>
    <s v="endless pasta deal"/>
    <s v="Exact"/>
    <s v="8"/>
  </r>
  <r>
    <x v="46"/>
    <x v="11"/>
    <x v="16"/>
    <m/>
    <n v="46550"/>
    <n v="3028"/>
    <n v="728.35"/>
    <m/>
    <n v="214"/>
    <x v="2"/>
    <s v="valentines day dinner"/>
    <s v="Exact"/>
    <s v="8"/>
  </r>
  <r>
    <x v="46"/>
    <x v="11"/>
    <x v="16"/>
    <m/>
    <n v="62649"/>
    <n v="4181"/>
    <n v="1145.08"/>
    <m/>
    <n v="355"/>
    <x v="2"/>
    <s v="romantic italian dinner"/>
    <s v="Phrase"/>
    <s v="7"/>
  </r>
  <r>
    <x v="47"/>
    <x v="6"/>
    <x v="9"/>
    <m/>
    <n v="44140"/>
    <n v="3141"/>
    <n v="695.41"/>
    <m/>
    <n v="195"/>
    <x v="2"/>
    <s v="bella cucina restaurant"/>
    <s v="Exact"/>
    <s v="9"/>
  </r>
  <r>
    <x v="47"/>
    <x v="6"/>
    <x v="9"/>
    <m/>
    <n v="11513"/>
    <n v="587"/>
    <n v="119.43"/>
    <m/>
    <n v="38"/>
    <x v="2"/>
    <s v="bella cucina near me"/>
    <s v="Phrase"/>
    <s v="8"/>
  </r>
  <r>
    <x v="47"/>
    <x v="7"/>
    <x v="10"/>
    <m/>
    <n v="15247"/>
    <n v="808"/>
    <n v="177.52"/>
    <m/>
    <n v="47"/>
    <x v="2"/>
    <s v="italian food near me"/>
    <s v="Phrase"/>
    <s v="7"/>
  </r>
  <r>
    <x v="47"/>
    <x v="7"/>
    <x v="11"/>
    <m/>
    <n v="41010"/>
    <n v="2508"/>
    <n v="458.05"/>
    <m/>
    <n v="177"/>
    <x v="2"/>
    <s v="competitor italian chain"/>
    <s v="Broad"/>
    <s v="4"/>
  </r>
  <r>
    <x v="47"/>
    <x v="8"/>
    <x v="12"/>
    <m/>
    <n v="100911"/>
    <n v="1162"/>
    <n v="280.98"/>
    <m/>
    <n v="67"/>
    <x v="2"/>
    <s v="N/A"/>
    <s v="N/A"/>
    <s v="N/A"/>
  </r>
  <r>
    <x v="47"/>
    <x v="8"/>
    <x v="13"/>
    <m/>
    <n v="141097"/>
    <n v="1770"/>
    <n v="362.39"/>
    <m/>
    <n v="117"/>
    <x v="2"/>
    <s v="N/A"/>
    <s v="N/A"/>
    <s v="N/A"/>
  </r>
  <r>
    <x v="47"/>
    <x v="9"/>
    <x v="14"/>
    <m/>
    <n v="18284"/>
    <n v="935"/>
    <n v="246.7"/>
    <m/>
    <n v="52"/>
    <x v="2"/>
    <s v="weekend italian dinner"/>
    <s v="Phrase"/>
    <s v="8"/>
  </r>
  <r>
    <x v="47"/>
    <x v="9"/>
    <x v="14"/>
    <m/>
    <n v="33385"/>
    <n v="2291"/>
    <n v="486.88"/>
    <m/>
    <n v="169"/>
    <x v="2"/>
    <s v="endless pasta deal"/>
    <s v="Exact"/>
    <s v="8"/>
  </r>
  <r>
    <x v="48"/>
    <x v="6"/>
    <x v="9"/>
    <m/>
    <n v="27852"/>
    <n v="1703"/>
    <n v="329.55"/>
    <m/>
    <n v="158"/>
    <x v="2"/>
    <s v="bella cucina restaurant"/>
    <s v="Exact"/>
    <s v="9"/>
  </r>
  <r>
    <x v="48"/>
    <x v="6"/>
    <x v="9"/>
    <m/>
    <n v="21602"/>
    <n v="1343"/>
    <n v="303.05"/>
    <m/>
    <n v="114"/>
    <x v="2"/>
    <s v="bella cucina near me"/>
    <s v="Phrase"/>
    <s v="8"/>
  </r>
  <r>
    <x v="48"/>
    <x v="7"/>
    <x v="10"/>
    <m/>
    <n v="38506"/>
    <n v="2332"/>
    <n v="568.9"/>
    <m/>
    <n v="157"/>
    <x v="2"/>
    <s v="italian food near me"/>
    <s v="Phrase"/>
    <s v="7"/>
  </r>
  <r>
    <x v="48"/>
    <x v="7"/>
    <x v="11"/>
    <m/>
    <n v="32752"/>
    <n v="1950"/>
    <n v="395.29"/>
    <m/>
    <n v="114"/>
    <x v="2"/>
    <s v="competitor italian chain"/>
    <s v="Broad"/>
    <s v="4"/>
  </r>
  <r>
    <x v="48"/>
    <x v="8"/>
    <x v="12"/>
    <m/>
    <n v="130352"/>
    <n v="1672"/>
    <n v="344.4"/>
    <m/>
    <n v="112"/>
    <x v="2"/>
    <s v="N/A"/>
    <s v="N/A"/>
    <s v="N/A"/>
  </r>
  <r>
    <x v="48"/>
    <x v="8"/>
    <x v="13"/>
    <m/>
    <n v="90012"/>
    <n v="1225"/>
    <n v="313.39"/>
    <m/>
    <n v="74"/>
    <x v="2"/>
    <s v="N/A"/>
    <s v="N/A"/>
    <s v="N/A"/>
  </r>
  <r>
    <x v="48"/>
    <x v="9"/>
    <x v="14"/>
    <m/>
    <n v="28793"/>
    <n v="1706"/>
    <n v="308.5"/>
    <m/>
    <n v="156"/>
    <x v="2"/>
    <s v="weekend italian dinner"/>
    <s v="Phrase"/>
    <s v="8"/>
  </r>
  <r>
    <x v="48"/>
    <x v="9"/>
    <x v="14"/>
    <m/>
    <n v="41265"/>
    <n v="2277"/>
    <n v="584.25"/>
    <m/>
    <n v="197"/>
    <x v="2"/>
    <s v="endless pasta deal"/>
    <s v="Exact"/>
    <s v="8"/>
  </r>
  <r>
    <x v="49"/>
    <x v="6"/>
    <x v="9"/>
    <m/>
    <n v="25152"/>
    <n v="1688"/>
    <n v="396.38"/>
    <m/>
    <n v="105"/>
    <x v="2"/>
    <s v="bella cucina restaurant"/>
    <s v="Exact"/>
    <s v="9"/>
  </r>
  <r>
    <x v="49"/>
    <x v="6"/>
    <x v="9"/>
    <m/>
    <n v="38646"/>
    <n v="2221"/>
    <n v="436.04"/>
    <m/>
    <n v="187"/>
    <x v="2"/>
    <s v="bella cucina near me"/>
    <s v="Phrase"/>
    <s v="8"/>
  </r>
  <r>
    <x v="49"/>
    <x v="7"/>
    <x v="10"/>
    <m/>
    <n v="35540"/>
    <n v="2412"/>
    <n v="487.37"/>
    <m/>
    <n v="140"/>
    <x v="2"/>
    <s v="italian food near me"/>
    <s v="Phrase"/>
    <s v="7"/>
  </r>
  <r>
    <x v="49"/>
    <x v="7"/>
    <x v="11"/>
    <m/>
    <n v="25699"/>
    <n v="1552"/>
    <n v="403.51"/>
    <m/>
    <n v="123"/>
    <x v="2"/>
    <s v="competitor italian chain"/>
    <s v="Broad"/>
    <s v="4"/>
  </r>
  <r>
    <x v="49"/>
    <x v="8"/>
    <x v="12"/>
    <m/>
    <n v="125633"/>
    <n v="1560"/>
    <n v="396.7"/>
    <m/>
    <n v="136"/>
    <x v="2"/>
    <s v="N/A"/>
    <s v="N/A"/>
    <s v="N/A"/>
  </r>
  <r>
    <x v="49"/>
    <x v="8"/>
    <x v="13"/>
    <m/>
    <n v="144120"/>
    <n v="1720"/>
    <n v="321.38"/>
    <m/>
    <n v="103"/>
    <x v="2"/>
    <s v="N/A"/>
    <s v="N/A"/>
    <s v="N/A"/>
  </r>
  <r>
    <x v="49"/>
    <x v="9"/>
    <x v="14"/>
    <m/>
    <n v="17232"/>
    <n v="1090"/>
    <n v="263.52999999999997"/>
    <m/>
    <n v="71"/>
    <x v="2"/>
    <s v="weekend italian dinner"/>
    <s v="Phrase"/>
    <s v="8"/>
  </r>
  <r>
    <x v="49"/>
    <x v="9"/>
    <x v="14"/>
    <m/>
    <n v="42243"/>
    <n v="2218"/>
    <n v="403.54"/>
    <m/>
    <n v="126"/>
    <x v="2"/>
    <s v="endless pasta deal"/>
    <s v="Exact"/>
    <s v="8"/>
  </r>
  <r>
    <x v="50"/>
    <x v="6"/>
    <x v="9"/>
    <m/>
    <n v="11450"/>
    <n v="600"/>
    <n v="114.14"/>
    <m/>
    <n v="39"/>
    <x v="2"/>
    <s v="bella cucina restaurant"/>
    <s v="Exact"/>
    <s v="9"/>
  </r>
  <r>
    <x v="50"/>
    <x v="6"/>
    <x v="9"/>
    <m/>
    <n v="38732"/>
    <n v="2535"/>
    <n v="515.32000000000005"/>
    <m/>
    <n v="154"/>
    <x v="2"/>
    <s v="bella cucina near me"/>
    <s v="Phrase"/>
    <s v="8"/>
  </r>
  <r>
    <x v="50"/>
    <x v="7"/>
    <x v="10"/>
    <m/>
    <n v="42347"/>
    <n v="2253"/>
    <n v="500.22"/>
    <m/>
    <n v="194"/>
    <x v="2"/>
    <s v="italian food near me"/>
    <s v="Phrase"/>
    <s v="7"/>
  </r>
  <r>
    <x v="50"/>
    <x v="7"/>
    <x v="11"/>
    <m/>
    <n v="42662"/>
    <n v="3069"/>
    <n v="694.72"/>
    <m/>
    <n v="265"/>
    <x v="2"/>
    <s v="competitor italian chain"/>
    <s v="Broad"/>
    <s v="4"/>
  </r>
  <r>
    <x v="50"/>
    <x v="8"/>
    <x v="12"/>
    <m/>
    <n v="133286"/>
    <n v="1519"/>
    <n v="387.43"/>
    <m/>
    <n v="92"/>
    <x v="2"/>
    <s v="N/A"/>
    <s v="N/A"/>
    <s v="N/A"/>
  </r>
  <r>
    <x v="50"/>
    <x v="8"/>
    <x v="13"/>
    <m/>
    <n v="124931"/>
    <n v="1858"/>
    <n v="347.7"/>
    <m/>
    <n v="137"/>
    <x v="2"/>
    <s v="N/A"/>
    <s v="N/A"/>
    <s v="N/A"/>
  </r>
  <r>
    <x v="50"/>
    <x v="9"/>
    <x v="14"/>
    <m/>
    <n v="22595"/>
    <n v="1570"/>
    <n v="321.86"/>
    <m/>
    <n v="110"/>
    <x v="2"/>
    <s v="weekend italian dinner"/>
    <s v="Phrase"/>
    <s v="8"/>
  </r>
  <r>
    <x v="50"/>
    <x v="9"/>
    <x v="14"/>
    <m/>
    <n v="10826"/>
    <n v="551"/>
    <n v="141.5"/>
    <m/>
    <n v="35"/>
    <x v="2"/>
    <s v="endless pasta deal"/>
    <s v="Exact"/>
    <s v="8"/>
  </r>
  <r>
    <x v="51"/>
    <x v="6"/>
    <x v="9"/>
    <m/>
    <n v="54640"/>
    <n v="2946"/>
    <n v="823.27"/>
    <m/>
    <n v="185"/>
    <x v="2"/>
    <s v="bella cucina restaurant"/>
    <s v="Exact"/>
    <s v="9"/>
  </r>
  <r>
    <x v="51"/>
    <x v="6"/>
    <x v="9"/>
    <m/>
    <n v="22619"/>
    <n v="1368"/>
    <n v="380.59"/>
    <m/>
    <n v="101"/>
    <x v="2"/>
    <s v="bella cucina near me"/>
    <s v="Phrase"/>
    <s v="8"/>
  </r>
  <r>
    <x v="51"/>
    <x v="7"/>
    <x v="10"/>
    <m/>
    <n v="42635"/>
    <n v="3004"/>
    <n v="588.37"/>
    <m/>
    <n v="252"/>
    <x v="2"/>
    <s v="italian food near me"/>
    <s v="Phrase"/>
    <s v="7"/>
  </r>
  <r>
    <x v="51"/>
    <x v="7"/>
    <x v="11"/>
    <m/>
    <n v="61794"/>
    <n v="3147"/>
    <n v="717.9"/>
    <m/>
    <n v="210"/>
    <x v="2"/>
    <s v="competitor italian chain"/>
    <s v="Broad"/>
    <s v="4"/>
  </r>
  <r>
    <x v="51"/>
    <x v="8"/>
    <x v="12"/>
    <m/>
    <n v="192137"/>
    <n v="2966"/>
    <n v="790.04"/>
    <m/>
    <n v="188"/>
    <x v="2"/>
    <s v="N/A"/>
    <s v="N/A"/>
    <s v="N/A"/>
  </r>
  <r>
    <x v="51"/>
    <x v="8"/>
    <x v="13"/>
    <m/>
    <n v="146721"/>
    <n v="1787"/>
    <n v="399.24"/>
    <m/>
    <n v="99"/>
    <x v="2"/>
    <s v="N/A"/>
    <s v="N/A"/>
    <s v="N/A"/>
  </r>
  <r>
    <x v="51"/>
    <x v="9"/>
    <x v="14"/>
    <m/>
    <n v="39331"/>
    <n v="2439"/>
    <n v="535.55999999999995"/>
    <m/>
    <n v="157"/>
    <x v="2"/>
    <s v="weekend italian dinner"/>
    <s v="Phrase"/>
    <s v="8"/>
  </r>
  <r>
    <x v="51"/>
    <x v="9"/>
    <x v="14"/>
    <m/>
    <n v="17852"/>
    <n v="1105"/>
    <n v="275.23"/>
    <m/>
    <n v="91"/>
    <x v="2"/>
    <s v="endless pasta deal"/>
    <s v="Exact"/>
    <s v="8"/>
  </r>
  <r>
    <x v="52"/>
    <x v="6"/>
    <x v="9"/>
    <m/>
    <n v="28219"/>
    <n v="1606"/>
    <n v="303.45"/>
    <m/>
    <n v="98"/>
    <x v="2"/>
    <s v="bella cucina restaurant"/>
    <s v="Exact"/>
    <s v="9"/>
  </r>
  <r>
    <x v="52"/>
    <x v="6"/>
    <x v="9"/>
    <m/>
    <n v="22386"/>
    <n v="1443"/>
    <n v="308.57"/>
    <m/>
    <n v="135"/>
    <x v="2"/>
    <s v="bella cucina near me"/>
    <s v="Phrase"/>
    <s v="8"/>
  </r>
  <r>
    <x v="52"/>
    <x v="7"/>
    <x v="10"/>
    <m/>
    <n v="19509"/>
    <n v="964"/>
    <n v="235.66"/>
    <m/>
    <n v="80"/>
    <x v="2"/>
    <s v="italian food near me"/>
    <s v="Phrase"/>
    <s v="7"/>
  </r>
  <r>
    <x v="52"/>
    <x v="7"/>
    <x v="11"/>
    <m/>
    <n v="23853"/>
    <n v="1216"/>
    <n v="247.17"/>
    <m/>
    <n v="114"/>
    <x v="2"/>
    <s v="competitor italian chain"/>
    <s v="Broad"/>
    <s v="4"/>
  </r>
  <r>
    <x v="52"/>
    <x v="8"/>
    <x v="12"/>
    <m/>
    <n v="189732"/>
    <n v="2851"/>
    <n v="638.26"/>
    <m/>
    <n v="178"/>
    <x v="2"/>
    <s v="N/A"/>
    <s v="N/A"/>
    <s v="N/A"/>
  </r>
  <r>
    <x v="52"/>
    <x v="8"/>
    <x v="13"/>
    <m/>
    <n v="195319"/>
    <n v="2498"/>
    <n v="483.3"/>
    <m/>
    <n v="227"/>
    <x v="2"/>
    <s v="N/A"/>
    <s v="N/A"/>
    <s v="N/A"/>
  </r>
  <r>
    <x v="52"/>
    <x v="9"/>
    <x v="14"/>
    <m/>
    <n v="58525"/>
    <n v="3801"/>
    <n v="896.67"/>
    <m/>
    <n v="291"/>
    <x v="2"/>
    <s v="weekend italian dinner"/>
    <s v="Phrase"/>
    <s v="8"/>
  </r>
  <r>
    <x v="52"/>
    <x v="9"/>
    <x v="14"/>
    <m/>
    <n v="58965"/>
    <n v="3098"/>
    <n v="615.46"/>
    <m/>
    <n v="213"/>
    <x v="2"/>
    <s v="endless pasta deal"/>
    <s v="Exact"/>
    <s v="8"/>
  </r>
  <r>
    <x v="53"/>
    <x v="6"/>
    <x v="9"/>
    <m/>
    <n v="40696"/>
    <n v="2222"/>
    <n v="584.69000000000005"/>
    <m/>
    <n v="203"/>
    <x v="2"/>
    <s v="bella cucina restaurant"/>
    <s v="Exact"/>
    <s v="9"/>
  </r>
  <r>
    <x v="53"/>
    <x v="6"/>
    <x v="9"/>
    <m/>
    <n v="20508"/>
    <n v="1018"/>
    <n v="199.02"/>
    <m/>
    <n v="68"/>
    <x v="2"/>
    <s v="bella cucina near me"/>
    <s v="Phrase"/>
    <s v="8"/>
  </r>
  <r>
    <x v="53"/>
    <x v="7"/>
    <x v="10"/>
    <m/>
    <n v="27258"/>
    <n v="1662"/>
    <n v="374.63"/>
    <m/>
    <n v="142"/>
    <x v="2"/>
    <s v="italian food near me"/>
    <s v="Phrase"/>
    <s v="7"/>
  </r>
  <r>
    <x v="53"/>
    <x v="7"/>
    <x v="11"/>
    <m/>
    <n v="43158"/>
    <n v="2464"/>
    <n v="489.24"/>
    <m/>
    <n v="137"/>
    <x v="2"/>
    <s v="competitor italian chain"/>
    <s v="Broad"/>
    <s v="4"/>
  </r>
  <r>
    <x v="53"/>
    <x v="8"/>
    <x v="12"/>
    <m/>
    <n v="137720"/>
    <n v="2049"/>
    <n v="417.75"/>
    <m/>
    <n v="171"/>
    <x v="2"/>
    <s v="N/A"/>
    <s v="N/A"/>
    <s v="N/A"/>
  </r>
  <r>
    <x v="53"/>
    <x v="8"/>
    <x v="13"/>
    <m/>
    <n v="160642"/>
    <n v="2424"/>
    <n v="482.34"/>
    <m/>
    <n v="199"/>
    <x v="2"/>
    <s v="N/A"/>
    <s v="N/A"/>
    <s v="N/A"/>
  </r>
  <r>
    <x v="53"/>
    <x v="9"/>
    <x v="14"/>
    <m/>
    <n v="20101"/>
    <n v="1260"/>
    <n v="267.45"/>
    <m/>
    <n v="101"/>
    <x v="2"/>
    <s v="weekend italian dinner"/>
    <s v="Phrase"/>
    <s v="8"/>
  </r>
  <r>
    <x v="53"/>
    <x v="9"/>
    <x v="14"/>
    <m/>
    <n v="17239"/>
    <n v="867"/>
    <n v="213.19"/>
    <m/>
    <n v="49"/>
    <x v="2"/>
    <s v="endless pasta deal"/>
    <s v="Exact"/>
    <s v="8"/>
  </r>
  <r>
    <x v="54"/>
    <x v="6"/>
    <x v="9"/>
    <m/>
    <n v="18504"/>
    <n v="967"/>
    <n v="177.08"/>
    <m/>
    <n v="57"/>
    <x v="2"/>
    <s v="bella cucina restaurant"/>
    <s v="Exact"/>
    <s v="9"/>
  </r>
  <r>
    <x v="54"/>
    <x v="6"/>
    <x v="9"/>
    <m/>
    <n v="22557"/>
    <n v="1136"/>
    <n v="269.35000000000002"/>
    <m/>
    <n v="100"/>
    <x v="2"/>
    <s v="bella cucina near me"/>
    <s v="Phrase"/>
    <s v="8"/>
  </r>
  <r>
    <x v="54"/>
    <x v="7"/>
    <x v="10"/>
    <m/>
    <n v="42106"/>
    <n v="2552"/>
    <n v="638.34"/>
    <m/>
    <n v="166"/>
    <x v="2"/>
    <s v="italian food near me"/>
    <s v="Phrase"/>
    <s v="7"/>
  </r>
  <r>
    <x v="54"/>
    <x v="7"/>
    <x v="11"/>
    <m/>
    <n v="34009"/>
    <n v="1812"/>
    <n v="456.23"/>
    <m/>
    <n v="100"/>
    <x v="2"/>
    <s v="competitor italian chain"/>
    <s v="Broad"/>
    <s v="4"/>
  </r>
  <r>
    <x v="54"/>
    <x v="8"/>
    <x v="12"/>
    <m/>
    <n v="117359"/>
    <n v="1675"/>
    <n v="457.01"/>
    <m/>
    <n v="147"/>
    <x v="2"/>
    <s v="N/A"/>
    <s v="N/A"/>
    <s v="N/A"/>
  </r>
  <r>
    <x v="54"/>
    <x v="8"/>
    <x v="13"/>
    <m/>
    <n v="151349"/>
    <n v="2271"/>
    <n v="422.57"/>
    <m/>
    <n v="175"/>
    <x v="2"/>
    <s v="N/A"/>
    <s v="N/A"/>
    <s v="N/A"/>
  </r>
  <r>
    <x v="54"/>
    <x v="9"/>
    <x v="14"/>
    <m/>
    <n v="37259"/>
    <n v="2523"/>
    <n v="654.53"/>
    <m/>
    <n v="144"/>
    <x v="2"/>
    <s v="weekend italian dinner"/>
    <s v="Phrase"/>
    <s v="8"/>
  </r>
  <r>
    <x v="54"/>
    <x v="9"/>
    <x v="14"/>
    <m/>
    <n v="27420"/>
    <n v="1664"/>
    <n v="421.71"/>
    <m/>
    <n v="147"/>
    <x v="2"/>
    <s v="endless pasta deal"/>
    <s v="Exact"/>
    <s v="8"/>
  </r>
  <r>
    <x v="55"/>
    <x v="6"/>
    <x v="9"/>
    <m/>
    <n v="15107"/>
    <n v="1067"/>
    <n v="294.55"/>
    <m/>
    <n v="62"/>
    <x v="2"/>
    <s v="bella cucina restaurant"/>
    <s v="Exact"/>
    <s v="9"/>
  </r>
  <r>
    <x v="55"/>
    <x v="6"/>
    <x v="9"/>
    <m/>
    <n v="25139"/>
    <n v="1527"/>
    <n v="303.79000000000002"/>
    <m/>
    <n v="116"/>
    <x v="2"/>
    <s v="bella cucina near me"/>
    <s v="Phrase"/>
    <s v="8"/>
  </r>
  <r>
    <x v="55"/>
    <x v="7"/>
    <x v="10"/>
    <m/>
    <n v="26302"/>
    <n v="1622"/>
    <n v="445.65"/>
    <m/>
    <n v="125"/>
    <x v="2"/>
    <s v="italian food near me"/>
    <s v="Phrase"/>
    <s v="7"/>
  </r>
  <r>
    <x v="55"/>
    <x v="7"/>
    <x v="11"/>
    <m/>
    <n v="37209"/>
    <n v="2452"/>
    <n v="629.25"/>
    <m/>
    <n v="191"/>
    <x v="2"/>
    <s v="competitor italian chain"/>
    <s v="Broad"/>
    <s v="4"/>
  </r>
  <r>
    <x v="55"/>
    <x v="8"/>
    <x v="12"/>
    <m/>
    <n v="150125"/>
    <n v="2178"/>
    <n v="485.06"/>
    <m/>
    <n v="128"/>
    <x v="2"/>
    <s v="N/A"/>
    <s v="N/A"/>
    <s v="N/A"/>
  </r>
  <r>
    <x v="55"/>
    <x v="8"/>
    <x v="13"/>
    <m/>
    <n v="113644"/>
    <n v="1562"/>
    <n v="359.99"/>
    <m/>
    <n v="126"/>
    <x v="2"/>
    <s v="N/A"/>
    <s v="N/A"/>
    <s v="N/A"/>
  </r>
  <r>
    <x v="55"/>
    <x v="9"/>
    <x v="14"/>
    <m/>
    <n v="44989"/>
    <n v="3237"/>
    <n v="726.06"/>
    <m/>
    <n v="223"/>
    <x v="2"/>
    <s v="weekend italian dinner"/>
    <s v="Phrase"/>
    <s v="8"/>
  </r>
  <r>
    <x v="55"/>
    <x v="9"/>
    <x v="14"/>
    <m/>
    <n v="30653"/>
    <n v="1876"/>
    <n v="524.69000000000005"/>
    <m/>
    <n v="166"/>
    <x v="2"/>
    <s v="endless pasta deal"/>
    <s v="Exact"/>
    <s v="8"/>
  </r>
  <r>
    <x v="56"/>
    <x v="6"/>
    <x v="9"/>
    <m/>
    <n v="37023"/>
    <n v="2456"/>
    <n v="547.83000000000004"/>
    <m/>
    <n v="206"/>
    <x v="2"/>
    <s v="bella cucina restaurant"/>
    <s v="Exact"/>
    <s v="9"/>
  </r>
  <r>
    <x v="56"/>
    <x v="6"/>
    <x v="9"/>
    <m/>
    <n v="25775"/>
    <n v="1585"/>
    <n v="319.20999999999998"/>
    <m/>
    <n v="135"/>
    <x v="2"/>
    <s v="bella cucina near me"/>
    <s v="Phrase"/>
    <s v="8"/>
  </r>
  <r>
    <x v="56"/>
    <x v="7"/>
    <x v="10"/>
    <m/>
    <n v="26651"/>
    <n v="1509"/>
    <n v="339.89"/>
    <m/>
    <n v="140"/>
    <x v="2"/>
    <s v="italian food near me"/>
    <s v="Phrase"/>
    <s v="7"/>
  </r>
  <r>
    <x v="56"/>
    <x v="7"/>
    <x v="11"/>
    <m/>
    <n v="10012"/>
    <n v="655"/>
    <n v="182.28"/>
    <m/>
    <n v="51"/>
    <x v="2"/>
    <s v="competitor italian chain"/>
    <s v="Broad"/>
    <s v="4"/>
  </r>
  <r>
    <x v="56"/>
    <x v="8"/>
    <x v="12"/>
    <m/>
    <n v="157844"/>
    <n v="1842"/>
    <n v="495.56"/>
    <m/>
    <n v="101"/>
    <x v="2"/>
    <s v="N/A"/>
    <s v="N/A"/>
    <s v="N/A"/>
  </r>
  <r>
    <x v="56"/>
    <x v="8"/>
    <x v="13"/>
    <m/>
    <n v="119083"/>
    <n v="1437"/>
    <n v="303.91000000000003"/>
    <m/>
    <n v="123"/>
    <x v="2"/>
    <s v="N/A"/>
    <s v="N/A"/>
    <s v="N/A"/>
  </r>
  <r>
    <x v="56"/>
    <x v="9"/>
    <x v="14"/>
    <m/>
    <n v="28085"/>
    <n v="1967"/>
    <n v="454.63"/>
    <m/>
    <n v="153"/>
    <x v="2"/>
    <s v="weekend italian dinner"/>
    <s v="Phrase"/>
    <s v="8"/>
  </r>
  <r>
    <x v="56"/>
    <x v="9"/>
    <x v="14"/>
    <m/>
    <n v="20139"/>
    <n v="1012"/>
    <n v="228.75"/>
    <m/>
    <n v="61"/>
    <x v="2"/>
    <s v="endless pasta deal"/>
    <s v="Exact"/>
    <s v="8"/>
  </r>
  <r>
    <x v="57"/>
    <x v="6"/>
    <x v="9"/>
    <m/>
    <n v="27366"/>
    <n v="1554"/>
    <n v="370.19"/>
    <m/>
    <n v="99"/>
    <x v="2"/>
    <s v="bella cucina restaurant"/>
    <s v="Exact"/>
    <s v="9"/>
  </r>
  <r>
    <x v="57"/>
    <x v="6"/>
    <x v="9"/>
    <m/>
    <n v="29680"/>
    <n v="1490"/>
    <n v="327.77"/>
    <m/>
    <n v="136"/>
    <x v="2"/>
    <s v="bella cucina near me"/>
    <s v="Phrase"/>
    <s v="8"/>
  </r>
  <r>
    <x v="57"/>
    <x v="7"/>
    <x v="10"/>
    <m/>
    <n v="15059"/>
    <n v="984"/>
    <n v="255.14"/>
    <m/>
    <n v="60"/>
    <x v="2"/>
    <s v="italian food near me"/>
    <s v="Phrase"/>
    <s v="7"/>
  </r>
  <r>
    <x v="57"/>
    <x v="7"/>
    <x v="11"/>
    <m/>
    <n v="16249"/>
    <n v="1012"/>
    <n v="212.56"/>
    <m/>
    <n v="85"/>
    <x v="2"/>
    <s v="competitor italian chain"/>
    <s v="Broad"/>
    <s v="4"/>
  </r>
  <r>
    <x v="57"/>
    <x v="8"/>
    <x v="12"/>
    <m/>
    <n v="165534"/>
    <n v="2136"/>
    <n v="551.11"/>
    <m/>
    <n v="196"/>
    <x v="2"/>
    <s v="N/A"/>
    <s v="N/A"/>
    <s v="N/A"/>
  </r>
  <r>
    <x v="57"/>
    <x v="8"/>
    <x v="13"/>
    <m/>
    <n v="133829"/>
    <n v="1704"/>
    <n v="445.96"/>
    <m/>
    <n v="122"/>
    <x v="2"/>
    <s v="N/A"/>
    <s v="N/A"/>
    <s v="N/A"/>
  </r>
  <r>
    <x v="57"/>
    <x v="9"/>
    <x v="14"/>
    <m/>
    <n v="17899"/>
    <n v="1232"/>
    <n v="249.69"/>
    <m/>
    <n v="99"/>
    <x v="2"/>
    <s v="weekend italian dinner"/>
    <s v="Phrase"/>
    <s v="8"/>
  </r>
  <r>
    <x v="57"/>
    <x v="9"/>
    <x v="14"/>
    <m/>
    <n v="10749"/>
    <n v="679"/>
    <n v="165.15"/>
    <m/>
    <n v="38"/>
    <x v="2"/>
    <s v="endless pasta deal"/>
    <s v="Exact"/>
    <s v="8"/>
  </r>
  <r>
    <x v="58"/>
    <x v="6"/>
    <x v="9"/>
    <m/>
    <n v="62110"/>
    <n v="3042"/>
    <n v="711.81"/>
    <m/>
    <n v="185"/>
    <x v="2"/>
    <s v="bella cucina restaurant"/>
    <s v="Exact"/>
    <s v="9"/>
  </r>
  <r>
    <x v="58"/>
    <x v="6"/>
    <x v="9"/>
    <m/>
    <n v="60094"/>
    <n v="3890"/>
    <n v="759.79"/>
    <m/>
    <n v="318"/>
    <x v="2"/>
    <s v="bella cucina near me"/>
    <s v="Phrase"/>
    <s v="8"/>
  </r>
  <r>
    <x v="58"/>
    <x v="7"/>
    <x v="10"/>
    <m/>
    <n v="50045"/>
    <n v="3568"/>
    <n v="910.85"/>
    <m/>
    <n v="278"/>
    <x v="2"/>
    <s v="italian food near me"/>
    <s v="Phrase"/>
    <s v="7"/>
  </r>
  <r>
    <x v="58"/>
    <x v="7"/>
    <x v="11"/>
    <m/>
    <n v="22264"/>
    <n v="1187"/>
    <n v="248.06"/>
    <m/>
    <n v="84"/>
    <x v="2"/>
    <s v="competitor italian chain"/>
    <s v="Broad"/>
    <s v="4"/>
  </r>
  <r>
    <x v="58"/>
    <x v="8"/>
    <x v="12"/>
    <m/>
    <n v="150256"/>
    <n v="1905"/>
    <n v="433.55"/>
    <m/>
    <n v="161"/>
    <x v="2"/>
    <s v="N/A"/>
    <s v="N/A"/>
    <s v="N/A"/>
  </r>
  <r>
    <x v="58"/>
    <x v="8"/>
    <x v="13"/>
    <m/>
    <n v="226585"/>
    <n v="2944"/>
    <n v="554.97"/>
    <m/>
    <n v="221"/>
    <x v="2"/>
    <s v="N/A"/>
    <s v="N/A"/>
    <s v="N/A"/>
  </r>
  <r>
    <x v="58"/>
    <x v="9"/>
    <x v="14"/>
    <m/>
    <n v="25961"/>
    <n v="1720"/>
    <n v="392.32"/>
    <m/>
    <n v="108"/>
    <x v="2"/>
    <s v="weekend italian dinner"/>
    <s v="Phrase"/>
    <s v="8"/>
  </r>
  <r>
    <x v="58"/>
    <x v="9"/>
    <x v="14"/>
    <m/>
    <n v="50269"/>
    <n v="3199"/>
    <n v="638.54999999999995"/>
    <m/>
    <n v="254"/>
    <x v="2"/>
    <s v="endless pasta deal"/>
    <s v="Exact"/>
    <s v="8"/>
  </r>
  <r>
    <x v="59"/>
    <x v="6"/>
    <x v="9"/>
    <m/>
    <n v="57664"/>
    <n v="3108"/>
    <n v="581.71"/>
    <m/>
    <n v="267"/>
    <x v="2"/>
    <s v="bella cucina restaurant"/>
    <s v="Exact"/>
    <s v="9"/>
  </r>
  <r>
    <x v="59"/>
    <x v="6"/>
    <x v="9"/>
    <m/>
    <n v="40553"/>
    <n v="2612"/>
    <n v="620.62"/>
    <m/>
    <n v="155"/>
    <x v="2"/>
    <s v="bella cucina near me"/>
    <s v="Phrase"/>
    <s v="8"/>
  </r>
  <r>
    <x v="59"/>
    <x v="7"/>
    <x v="10"/>
    <m/>
    <n v="48235"/>
    <n v="2805"/>
    <n v="602.6"/>
    <m/>
    <n v="190"/>
    <x v="2"/>
    <s v="italian food near me"/>
    <s v="Phrase"/>
    <s v="7"/>
  </r>
  <r>
    <x v="59"/>
    <x v="7"/>
    <x v="11"/>
    <m/>
    <n v="15061"/>
    <n v="1001"/>
    <n v="197.12"/>
    <m/>
    <n v="69"/>
    <x v="2"/>
    <s v="competitor italian chain"/>
    <s v="Broad"/>
    <s v="4"/>
  </r>
  <r>
    <x v="59"/>
    <x v="8"/>
    <x v="12"/>
    <m/>
    <n v="192349"/>
    <n v="2715"/>
    <n v="608.29"/>
    <m/>
    <n v="249"/>
    <x v="2"/>
    <s v="N/A"/>
    <s v="N/A"/>
    <s v="N/A"/>
  </r>
  <r>
    <x v="59"/>
    <x v="8"/>
    <x v="13"/>
    <m/>
    <n v="156783"/>
    <n v="1881"/>
    <n v="408.9"/>
    <m/>
    <n v="160"/>
    <x v="2"/>
    <s v="N/A"/>
    <s v="N/A"/>
    <s v="N/A"/>
  </r>
  <r>
    <x v="59"/>
    <x v="9"/>
    <x v="14"/>
    <m/>
    <n v="20309"/>
    <n v="1029"/>
    <n v="190.83"/>
    <m/>
    <n v="95"/>
    <x v="2"/>
    <s v="weekend italian dinner"/>
    <s v="Phrase"/>
    <s v="8"/>
  </r>
  <r>
    <x v="59"/>
    <x v="9"/>
    <x v="14"/>
    <m/>
    <n v="25581"/>
    <n v="1761"/>
    <n v="461.41"/>
    <m/>
    <n v="97"/>
    <x v="2"/>
    <s v="endless pasta deal"/>
    <s v="Exact"/>
    <s v="8"/>
  </r>
  <r>
    <x v="60"/>
    <x v="6"/>
    <x v="9"/>
    <m/>
    <n v="22479"/>
    <n v="1243"/>
    <n v="282.31"/>
    <m/>
    <n v="84"/>
    <x v="2"/>
    <s v="bella cucina restaurant"/>
    <s v="Exact"/>
    <s v="9"/>
  </r>
  <r>
    <x v="60"/>
    <x v="6"/>
    <x v="9"/>
    <m/>
    <n v="31050"/>
    <n v="1642"/>
    <n v="381.48"/>
    <m/>
    <n v="107"/>
    <x v="2"/>
    <s v="bella cucina near me"/>
    <s v="Phrase"/>
    <s v="8"/>
  </r>
  <r>
    <x v="60"/>
    <x v="7"/>
    <x v="10"/>
    <m/>
    <n v="54151"/>
    <n v="3408"/>
    <n v="951.62"/>
    <m/>
    <n v="282"/>
    <x v="2"/>
    <s v="italian food near me"/>
    <s v="Phrase"/>
    <s v="7"/>
  </r>
  <r>
    <x v="60"/>
    <x v="7"/>
    <x v="11"/>
    <m/>
    <n v="14566"/>
    <n v="830"/>
    <n v="224.6"/>
    <m/>
    <n v="63"/>
    <x v="2"/>
    <s v="competitor italian chain"/>
    <s v="Broad"/>
    <s v="4"/>
  </r>
  <r>
    <x v="60"/>
    <x v="8"/>
    <x v="12"/>
    <m/>
    <n v="160527"/>
    <n v="1902"/>
    <n v="396.38"/>
    <m/>
    <n v="164"/>
    <x v="2"/>
    <s v="N/A"/>
    <s v="N/A"/>
    <s v="N/A"/>
  </r>
  <r>
    <x v="60"/>
    <x v="8"/>
    <x v="13"/>
    <m/>
    <n v="163224"/>
    <n v="1838"/>
    <n v="451.18"/>
    <m/>
    <n v="101"/>
    <x v="2"/>
    <s v="N/A"/>
    <s v="N/A"/>
    <s v="N/A"/>
  </r>
  <r>
    <x v="60"/>
    <x v="9"/>
    <x v="14"/>
    <m/>
    <n v="46111"/>
    <n v="2944"/>
    <n v="725.1"/>
    <m/>
    <n v="269"/>
    <x v="2"/>
    <s v="weekend italian dinner"/>
    <s v="Phrase"/>
    <s v="8"/>
  </r>
  <r>
    <x v="60"/>
    <x v="9"/>
    <x v="14"/>
    <m/>
    <n v="43689"/>
    <n v="3003"/>
    <n v="546.27"/>
    <m/>
    <n v="269"/>
    <x v="2"/>
    <s v="endless pasta deal"/>
    <s v="Exact"/>
    <s v="8"/>
  </r>
  <r>
    <x v="61"/>
    <x v="6"/>
    <x v="9"/>
    <m/>
    <n v="45930"/>
    <n v="2459"/>
    <n v="536.23"/>
    <m/>
    <n v="231"/>
    <x v="2"/>
    <s v="bella cucina restaurant"/>
    <s v="Exact"/>
    <s v="9"/>
  </r>
  <r>
    <x v="61"/>
    <x v="6"/>
    <x v="9"/>
    <m/>
    <n v="21485"/>
    <n v="1497"/>
    <n v="342.01"/>
    <m/>
    <n v="118"/>
    <x v="2"/>
    <s v="bella cucina near me"/>
    <s v="Phrase"/>
    <s v="8"/>
  </r>
  <r>
    <x v="61"/>
    <x v="7"/>
    <x v="10"/>
    <m/>
    <n v="20498"/>
    <n v="1075"/>
    <n v="247.32"/>
    <m/>
    <n v="78"/>
    <x v="2"/>
    <s v="italian food near me"/>
    <s v="Phrase"/>
    <s v="7"/>
  </r>
  <r>
    <x v="61"/>
    <x v="7"/>
    <x v="11"/>
    <m/>
    <n v="14830"/>
    <n v="725"/>
    <n v="197.36"/>
    <m/>
    <n v="48"/>
    <x v="2"/>
    <s v="competitor italian chain"/>
    <s v="Broad"/>
    <s v="4"/>
  </r>
  <r>
    <x v="61"/>
    <x v="8"/>
    <x v="12"/>
    <m/>
    <n v="200480"/>
    <n v="2599"/>
    <n v="508.63"/>
    <m/>
    <n v="178"/>
    <x v="2"/>
    <s v="N/A"/>
    <s v="N/A"/>
    <s v="N/A"/>
  </r>
  <r>
    <x v="61"/>
    <x v="8"/>
    <x v="13"/>
    <m/>
    <n v="176962"/>
    <n v="2261"/>
    <n v="475.34"/>
    <m/>
    <n v="214"/>
    <x v="2"/>
    <s v="N/A"/>
    <s v="N/A"/>
    <s v="N/A"/>
  </r>
  <r>
    <x v="61"/>
    <x v="9"/>
    <x v="14"/>
    <m/>
    <n v="55705"/>
    <n v="3042"/>
    <n v="566.41999999999996"/>
    <m/>
    <n v="198"/>
    <x v="2"/>
    <s v="weekend italian dinner"/>
    <s v="Phrase"/>
    <s v="8"/>
  </r>
  <r>
    <x v="61"/>
    <x v="9"/>
    <x v="14"/>
    <m/>
    <n v="45984"/>
    <n v="3189"/>
    <n v="833.88"/>
    <m/>
    <n v="179"/>
    <x v="2"/>
    <s v="endless pasta deal"/>
    <s v="Exact"/>
    <s v="8"/>
  </r>
  <r>
    <x v="62"/>
    <x v="6"/>
    <x v="9"/>
    <m/>
    <n v="36870"/>
    <n v="1969"/>
    <n v="421.72"/>
    <m/>
    <n v="139"/>
    <x v="2"/>
    <s v="bella cucina restaurant"/>
    <s v="Exact"/>
    <s v="9"/>
  </r>
  <r>
    <x v="62"/>
    <x v="6"/>
    <x v="9"/>
    <m/>
    <n v="24693"/>
    <n v="1237"/>
    <n v="269.94"/>
    <m/>
    <n v="115"/>
    <x v="2"/>
    <s v="bella cucina near me"/>
    <s v="Phrase"/>
    <s v="8"/>
  </r>
  <r>
    <x v="62"/>
    <x v="7"/>
    <x v="10"/>
    <m/>
    <n v="32375"/>
    <n v="1878"/>
    <n v="445.63"/>
    <m/>
    <n v="135"/>
    <x v="2"/>
    <s v="italian food near me"/>
    <s v="Phrase"/>
    <s v="7"/>
  </r>
  <r>
    <x v="62"/>
    <x v="7"/>
    <x v="11"/>
    <m/>
    <n v="39613"/>
    <n v="2766"/>
    <n v="588.96"/>
    <m/>
    <n v="212"/>
    <x v="2"/>
    <s v="competitor italian chain"/>
    <s v="Broad"/>
    <s v="4"/>
  </r>
  <r>
    <x v="62"/>
    <x v="8"/>
    <x v="12"/>
    <m/>
    <n v="152230"/>
    <n v="2171"/>
    <n v="516.91999999999996"/>
    <m/>
    <n v="178"/>
    <x v="2"/>
    <s v="N/A"/>
    <s v="N/A"/>
    <s v="N/A"/>
  </r>
  <r>
    <x v="62"/>
    <x v="8"/>
    <x v="13"/>
    <m/>
    <n v="151472"/>
    <n v="2319"/>
    <n v="489.08"/>
    <m/>
    <n v="192"/>
    <x v="2"/>
    <s v="N/A"/>
    <s v="N/A"/>
    <s v="N/A"/>
  </r>
  <r>
    <x v="62"/>
    <x v="9"/>
    <x v="14"/>
    <m/>
    <n v="57626"/>
    <n v="4023"/>
    <n v="897.15"/>
    <m/>
    <n v="367"/>
    <x v="2"/>
    <s v="weekend italian dinner"/>
    <s v="Phrase"/>
    <s v="8"/>
  </r>
  <r>
    <x v="62"/>
    <x v="9"/>
    <x v="14"/>
    <m/>
    <n v="25365"/>
    <n v="1617"/>
    <n v="382.4"/>
    <m/>
    <n v="99"/>
    <x v="2"/>
    <s v="endless pasta deal"/>
    <s v="Exact"/>
    <s v="8"/>
  </r>
  <r>
    <x v="63"/>
    <x v="6"/>
    <x v="9"/>
    <m/>
    <n v="18777"/>
    <n v="1152"/>
    <n v="316.64"/>
    <m/>
    <n v="68"/>
    <x v="2"/>
    <s v="bella cucina restaurant"/>
    <s v="Exact"/>
    <s v="9"/>
  </r>
  <r>
    <x v="63"/>
    <x v="6"/>
    <x v="9"/>
    <m/>
    <n v="40058"/>
    <n v="2729"/>
    <n v="530.92999999999995"/>
    <m/>
    <n v="153"/>
    <x v="2"/>
    <s v="bella cucina near me"/>
    <s v="Phrase"/>
    <s v="8"/>
  </r>
  <r>
    <x v="63"/>
    <x v="7"/>
    <x v="10"/>
    <m/>
    <n v="40150"/>
    <n v="2775"/>
    <n v="614.4"/>
    <m/>
    <n v="198"/>
    <x v="2"/>
    <s v="italian food near me"/>
    <s v="Phrase"/>
    <s v="7"/>
  </r>
  <r>
    <x v="63"/>
    <x v="7"/>
    <x v="11"/>
    <m/>
    <n v="50741"/>
    <n v="3343"/>
    <n v="876.43"/>
    <m/>
    <n v="269"/>
    <x v="2"/>
    <s v="competitor italian chain"/>
    <s v="Broad"/>
    <s v="4"/>
  </r>
  <r>
    <x v="63"/>
    <x v="8"/>
    <x v="12"/>
    <m/>
    <n v="163653"/>
    <n v="1924"/>
    <n v="382.48"/>
    <m/>
    <n v="115"/>
    <x v="2"/>
    <s v="N/A"/>
    <s v="N/A"/>
    <s v="N/A"/>
  </r>
  <r>
    <x v="63"/>
    <x v="8"/>
    <x v="13"/>
    <m/>
    <n v="121462"/>
    <n v="1799"/>
    <n v="433.92"/>
    <m/>
    <n v="118"/>
    <x v="2"/>
    <s v="N/A"/>
    <s v="N/A"/>
    <s v="N/A"/>
  </r>
  <r>
    <x v="63"/>
    <x v="9"/>
    <x v="14"/>
    <m/>
    <n v="32672"/>
    <n v="2035"/>
    <n v="413.29"/>
    <m/>
    <n v="114"/>
    <x v="2"/>
    <s v="weekend italian dinner"/>
    <s v="Phrase"/>
    <s v="8"/>
  </r>
  <r>
    <x v="63"/>
    <x v="9"/>
    <x v="14"/>
    <m/>
    <n v="19770"/>
    <n v="1275"/>
    <n v="290.27"/>
    <m/>
    <n v="95"/>
    <x v="2"/>
    <s v="endless pasta deal"/>
    <s v="Exact"/>
    <s v="8"/>
  </r>
  <r>
    <x v="64"/>
    <x v="6"/>
    <x v="9"/>
    <m/>
    <n v="52936"/>
    <n v="3445"/>
    <n v="748.93"/>
    <m/>
    <n v="306"/>
    <x v="2"/>
    <s v="bella cucina restaurant"/>
    <s v="Exact"/>
    <s v="9"/>
  </r>
  <r>
    <x v="64"/>
    <x v="6"/>
    <x v="9"/>
    <m/>
    <n v="54869"/>
    <n v="3257"/>
    <n v="639.61"/>
    <m/>
    <n v="208"/>
    <x v="2"/>
    <s v="bella cucina near me"/>
    <s v="Phrase"/>
    <s v="8"/>
  </r>
  <r>
    <x v="64"/>
    <x v="7"/>
    <x v="10"/>
    <m/>
    <n v="47810"/>
    <n v="3172"/>
    <n v="575.72"/>
    <m/>
    <n v="208"/>
    <x v="2"/>
    <s v="italian food near me"/>
    <s v="Phrase"/>
    <s v="7"/>
  </r>
  <r>
    <x v="64"/>
    <x v="7"/>
    <x v="11"/>
    <m/>
    <n v="48189"/>
    <n v="2570"/>
    <n v="635.13"/>
    <m/>
    <n v="162"/>
    <x v="2"/>
    <s v="competitor italian chain"/>
    <s v="Broad"/>
    <s v="4"/>
  </r>
  <r>
    <x v="64"/>
    <x v="8"/>
    <x v="12"/>
    <m/>
    <n v="151855"/>
    <n v="1720"/>
    <n v="469.06"/>
    <m/>
    <n v="162"/>
    <x v="2"/>
    <s v="N/A"/>
    <s v="N/A"/>
    <s v="N/A"/>
  </r>
  <r>
    <x v="64"/>
    <x v="8"/>
    <x v="13"/>
    <m/>
    <n v="200482"/>
    <n v="2894"/>
    <n v="771.76"/>
    <m/>
    <n v="261"/>
    <x v="2"/>
    <s v="N/A"/>
    <s v="N/A"/>
    <s v="N/A"/>
  </r>
  <r>
    <x v="64"/>
    <x v="9"/>
    <x v="14"/>
    <m/>
    <n v="49426"/>
    <n v="2852"/>
    <n v="525.29"/>
    <m/>
    <n v="240"/>
    <x v="2"/>
    <s v="weekend italian dinner"/>
    <s v="Phrase"/>
    <s v="8"/>
  </r>
  <r>
    <x v="64"/>
    <x v="9"/>
    <x v="14"/>
    <m/>
    <n v="45406"/>
    <n v="2964"/>
    <n v="650.35"/>
    <m/>
    <n v="274"/>
    <x v="2"/>
    <s v="endless pasta deal"/>
    <s v="Exact"/>
    <s v="8"/>
  </r>
  <r>
    <x v="65"/>
    <x v="6"/>
    <x v="9"/>
    <m/>
    <n v="57747"/>
    <n v="3660"/>
    <n v="916.51"/>
    <m/>
    <n v="206"/>
    <x v="2"/>
    <s v="bella cucina restaurant"/>
    <s v="Exact"/>
    <s v="9"/>
  </r>
  <r>
    <x v="65"/>
    <x v="6"/>
    <x v="9"/>
    <m/>
    <n v="22313"/>
    <n v="1312"/>
    <n v="344.66"/>
    <m/>
    <n v="74"/>
    <x v="2"/>
    <s v="bella cucina near me"/>
    <s v="Phrase"/>
    <s v="8"/>
  </r>
  <r>
    <x v="65"/>
    <x v="7"/>
    <x v="10"/>
    <m/>
    <n v="33933"/>
    <n v="2051"/>
    <n v="450.32"/>
    <m/>
    <n v="173"/>
    <x v="2"/>
    <s v="italian food near me"/>
    <s v="Phrase"/>
    <s v="7"/>
  </r>
  <r>
    <x v="65"/>
    <x v="7"/>
    <x v="11"/>
    <m/>
    <n v="46004"/>
    <n v="2778"/>
    <n v="675.23"/>
    <m/>
    <n v="158"/>
    <x v="2"/>
    <s v="competitor italian chain"/>
    <s v="Broad"/>
    <s v="4"/>
  </r>
  <r>
    <x v="65"/>
    <x v="8"/>
    <x v="12"/>
    <m/>
    <n v="166614"/>
    <n v="2198"/>
    <n v="590.03"/>
    <m/>
    <n v="188"/>
    <x v="2"/>
    <s v="N/A"/>
    <s v="N/A"/>
    <s v="N/A"/>
  </r>
  <r>
    <x v="65"/>
    <x v="8"/>
    <x v="13"/>
    <m/>
    <n v="165717"/>
    <n v="2205"/>
    <n v="490.05"/>
    <m/>
    <n v="175"/>
    <x v="2"/>
    <s v="N/A"/>
    <s v="N/A"/>
    <s v="N/A"/>
  </r>
  <r>
    <x v="65"/>
    <x v="9"/>
    <x v="14"/>
    <m/>
    <n v="17646"/>
    <n v="1139"/>
    <n v="307.95"/>
    <m/>
    <n v="83"/>
    <x v="2"/>
    <s v="weekend italian dinner"/>
    <s v="Phrase"/>
    <s v="8"/>
  </r>
  <r>
    <x v="65"/>
    <x v="9"/>
    <x v="14"/>
    <m/>
    <n v="51482"/>
    <n v="2582"/>
    <n v="594.03"/>
    <m/>
    <n v="160"/>
    <x v="2"/>
    <s v="endless pasta deal"/>
    <s v="Exact"/>
    <s v="8"/>
  </r>
  <r>
    <x v="66"/>
    <x v="6"/>
    <x v="9"/>
    <m/>
    <n v="24527"/>
    <n v="1408"/>
    <n v="298.98"/>
    <m/>
    <n v="78"/>
    <x v="2"/>
    <s v="bella cucina restaurant"/>
    <s v="Exact"/>
    <s v="9"/>
  </r>
  <r>
    <x v="66"/>
    <x v="6"/>
    <x v="9"/>
    <m/>
    <n v="51651"/>
    <n v="3211"/>
    <n v="806.81"/>
    <m/>
    <n v="202"/>
    <x v="2"/>
    <s v="bella cucina near me"/>
    <s v="Phrase"/>
    <s v="8"/>
  </r>
  <r>
    <x v="66"/>
    <x v="7"/>
    <x v="10"/>
    <m/>
    <n v="51737"/>
    <n v="2595"/>
    <n v="551.20000000000005"/>
    <m/>
    <n v="210"/>
    <x v="2"/>
    <s v="italian food near me"/>
    <s v="Phrase"/>
    <s v="7"/>
  </r>
  <r>
    <x v="66"/>
    <x v="7"/>
    <x v="11"/>
    <m/>
    <n v="26971"/>
    <n v="1759"/>
    <n v="338.35"/>
    <m/>
    <n v="104"/>
    <x v="2"/>
    <s v="competitor italian chain"/>
    <s v="Broad"/>
    <s v="4"/>
  </r>
  <r>
    <x v="66"/>
    <x v="8"/>
    <x v="12"/>
    <m/>
    <n v="193573"/>
    <n v="2742"/>
    <n v="516.95000000000005"/>
    <m/>
    <n v="228"/>
    <x v="2"/>
    <s v="N/A"/>
    <s v="N/A"/>
    <s v="N/A"/>
  </r>
  <r>
    <x v="66"/>
    <x v="8"/>
    <x v="13"/>
    <m/>
    <n v="204184"/>
    <n v="2870"/>
    <n v="562.49"/>
    <m/>
    <n v="221"/>
    <x v="2"/>
    <s v="N/A"/>
    <s v="N/A"/>
    <s v="N/A"/>
  </r>
  <r>
    <x v="66"/>
    <x v="9"/>
    <x v="14"/>
    <m/>
    <n v="16740"/>
    <n v="1112"/>
    <n v="301.60000000000002"/>
    <m/>
    <n v="86"/>
    <x v="2"/>
    <s v="weekend italian dinner"/>
    <s v="Phrase"/>
    <s v="8"/>
  </r>
  <r>
    <x v="66"/>
    <x v="9"/>
    <x v="14"/>
    <m/>
    <n v="25786"/>
    <n v="1338"/>
    <n v="260.19"/>
    <m/>
    <n v="114"/>
    <x v="2"/>
    <s v="endless pasta deal"/>
    <s v="Exact"/>
    <s v="8"/>
  </r>
  <r>
    <x v="67"/>
    <x v="6"/>
    <x v="9"/>
    <m/>
    <n v="17370"/>
    <n v="1008"/>
    <n v="212.64"/>
    <m/>
    <n v="86"/>
    <x v="2"/>
    <s v="bella cucina restaurant"/>
    <s v="Exact"/>
    <s v="9"/>
  </r>
  <r>
    <x v="67"/>
    <x v="6"/>
    <x v="9"/>
    <m/>
    <n v="51018"/>
    <n v="2802"/>
    <n v="554.99"/>
    <m/>
    <n v="254"/>
    <x v="2"/>
    <s v="bella cucina near me"/>
    <s v="Phrase"/>
    <s v="8"/>
  </r>
  <r>
    <x v="67"/>
    <x v="7"/>
    <x v="10"/>
    <m/>
    <n v="30282"/>
    <n v="1456"/>
    <n v="373.52"/>
    <m/>
    <n v="80"/>
    <x v="2"/>
    <s v="italian food near me"/>
    <s v="Phrase"/>
    <s v="7"/>
  </r>
  <r>
    <x v="67"/>
    <x v="7"/>
    <x v="11"/>
    <m/>
    <n v="55395"/>
    <n v="3796"/>
    <n v="889.59"/>
    <m/>
    <n v="209"/>
    <x v="2"/>
    <s v="competitor italian chain"/>
    <s v="Broad"/>
    <s v="4"/>
  </r>
  <r>
    <x v="67"/>
    <x v="8"/>
    <x v="12"/>
    <m/>
    <n v="201082"/>
    <n v="2451"/>
    <n v="585.51"/>
    <m/>
    <n v="181"/>
    <x v="2"/>
    <s v="N/A"/>
    <s v="N/A"/>
    <s v="N/A"/>
  </r>
  <r>
    <x v="67"/>
    <x v="8"/>
    <x v="13"/>
    <m/>
    <n v="186886"/>
    <n v="2468"/>
    <n v="592.62"/>
    <m/>
    <n v="136"/>
    <x v="2"/>
    <s v="N/A"/>
    <s v="N/A"/>
    <s v="N/A"/>
  </r>
  <r>
    <x v="67"/>
    <x v="9"/>
    <x v="14"/>
    <m/>
    <n v="36693"/>
    <n v="2307"/>
    <n v="543.89"/>
    <m/>
    <n v="203"/>
    <x v="2"/>
    <s v="weekend italian dinner"/>
    <s v="Phrase"/>
    <s v="8"/>
  </r>
  <r>
    <x v="67"/>
    <x v="9"/>
    <x v="14"/>
    <m/>
    <n v="17166"/>
    <n v="900"/>
    <n v="166.96"/>
    <m/>
    <n v="62"/>
    <x v="2"/>
    <s v="endless pasta deal"/>
    <s v="Exact"/>
    <s v="8"/>
  </r>
  <r>
    <x v="68"/>
    <x v="6"/>
    <x v="9"/>
    <m/>
    <n v="25385"/>
    <n v="1738"/>
    <n v="428.76"/>
    <m/>
    <n v="153"/>
    <x v="2"/>
    <s v="bella cucina restaurant"/>
    <s v="Exact"/>
    <s v="9"/>
  </r>
  <r>
    <x v="68"/>
    <x v="6"/>
    <x v="9"/>
    <m/>
    <n v="38425"/>
    <n v="2149"/>
    <n v="405.67"/>
    <m/>
    <n v="127"/>
    <x v="2"/>
    <s v="bella cucina near me"/>
    <s v="Phrase"/>
    <s v="8"/>
  </r>
  <r>
    <x v="68"/>
    <x v="7"/>
    <x v="10"/>
    <m/>
    <n v="28185"/>
    <n v="1462"/>
    <n v="304.74"/>
    <m/>
    <n v="119"/>
    <x v="2"/>
    <s v="italian food near me"/>
    <s v="Phrase"/>
    <s v="7"/>
  </r>
  <r>
    <x v="68"/>
    <x v="7"/>
    <x v="11"/>
    <m/>
    <n v="28115"/>
    <n v="2001"/>
    <n v="510.12"/>
    <m/>
    <n v="138"/>
    <x v="2"/>
    <s v="competitor italian chain"/>
    <s v="Broad"/>
    <s v="4"/>
  </r>
  <r>
    <x v="68"/>
    <x v="8"/>
    <x v="12"/>
    <m/>
    <n v="123106"/>
    <n v="1411"/>
    <n v="296.20999999999998"/>
    <m/>
    <n v="98"/>
    <x v="2"/>
    <s v="N/A"/>
    <s v="N/A"/>
    <s v="N/A"/>
  </r>
  <r>
    <x v="68"/>
    <x v="8"/>
    <x v="13"/>
    <m/>
    <n v="181568"/>
    <n v="2741"/>
    <n v="701.27"/>
    <m/>
    <n v="243"/>
    <x v="2"/>
    <s v="N/A"/>
    <s v="N/A"/>
    <s v="N/A"/>
  </r>
  <r>
    <x v="68"/>
    <x v="9"/>
    <x v="14"/>
    <m/>
    <n v="18530"/>
    <n v="1019"/>
    <n v="197.13"/>
    <m/>
    <n v="84"/>
    <x v="2"/>
    <s v="weekend italian dinner"/>
    <s v="Phrase"/>
    <s v="8"/>
  </r>
  <r>
    <x v="68"/>
    <x v="9"/>
    <x v="14"/>
    <m/>
    <n v="36379"/>
    <n v="2033"/>
    <n v="450.06"/>
    <m/>
    <n v="128"/>
    <x v="2"/>
    <s v="endless pasta deal"/>
    <s v="Exact"/>
    <s v="8"/>
  </r>
  <r>
    <x v="69"/>
    <x v="6"/>
    <x v="9"/>
    <m/>
    <n v="30810"/>
    <n v="1931"/>
    <n v="368.69"/>
    <m/>
    <n v="162"/>
    <x v="2"/>
    <s v="bella cucina restaurant"/>
    <s v="Exact"/>
    <s v="9"/>
  </r>
  <r>
    <x v="69"/>
    <x v="6"/>
    <x v="9"/>
    <m/>
    <n v="58064"/>
    <n v="4162"/>
    <n v="950.46"/>
    <m/>
    <n v="343"/>
    <x v="2"/>
    <s v="bella cucina near me"/>
    <s v="Phrase"/>
    <s v="8"/>
  </r>
  <r>
    <x v="69"/>
    <x v="7"/>
    <x v="10"/>
    <m/>
    <n v="37467"/>
    <n v="2182"/>
    <n v="577.75"/>
    <m/>
    <n v="142"/>
    <x v="2"/>
    <s v="italian food near me"/>
    <s v="Phrase"/>
    <s v="7"/>
  </r>
  <r>
    <x v="69"/>
    <x v="7"/>
    <x v="11"/>
    <m/>
    <n v="43147"/>
    <n v="3031"/>
    <n v="731.77"/>
    <m/>
    <n v="226"/>
    <x v="2"/>
    <s v="competitor italian chain"/>
    <s v="Broad"/>
    <s v="4"/>
  </r>
  <r>
    <x v="69"/>
    <x v="8"/>
    <x v="12"/>
    <m/>
    <n v="201810"/>
    <n v="2716"/>
    <n v="537.74"/>
    <m/>
    <n v="215"/>
    <x v="2"/>
    <s v="N/A"/>
    <s v="N/A"/>
    <s v="N/A"/>
  </r>
  <r>
    <x v="69"/>
    <x v="8"/>
    <x v="13"/>
    <m/>
    <n v="166496"/>
    <n v="2646"/>
    <n v="476.7"/>
    <m/>
    <n v="148"/>
    <x v="2"/>
    <s v="N/A"/>
    <s v="N/A"/>
    <s v="N/A"/>
  </r>
  <r>
    <x v="69"/>
    <x v="9"/>
    <x v="14"/>
    <m/>
    <n v="23046"/>
    <n v="1514"/>
    <n v="303.91000000000003"/>
    <m/>
    <n v="120"/>
    <x v="2"/>
    <s v="weekend italian dinner"/>
    <s v="Phrase"/>
    <s v="8"/>
  </r>
  <r>
    <x v="69"/>
    <x v="9"/>
    <x v="14"/>
    <m/>
    <n v="48324"/>
    <n v="2799"/>
    <n v="597.25"/>
    <m/>
    <n v="216"/>
    <x v="2"/>
    <s v="endless pasta deal"/>
    <s v="Exact"/>
    <s v="8"/>
  </r>
  <r>
    <x v="70"/>
    <x v="6"/>
    <x v="9"/>
    <m/>
    <n v="31089"/>
    <n v="1500"/>
    <n v="300.18"/>
    <m/>
    <n v="99"/>
    <x v="2"/>
    <s v="bella cucina restaurant"/>
    <s v="Exact"/>
    <s v="9"/>
  </r>
  <r>
    <x v="70"/>
    <x v="6"/>
    <x v="9"/>
    <m/>
    <n v="18778"/>
    <n v="1040"/>
    <n v="239.9"/>
    <m/>
    <n v="70"/>
    <x v="2"/>
    <s v="bella cucina near me"/>
    <s v="Phrase"/>
    <s v="8"/>
  </r>
  <r>
    <x v="70"/>
    <x v="7"/>
    <x v="10"/>
    <m/>
    <n v="13521"/>
    <n v="685"/>
    <n v="146.13"/>
    <m/>
    <n v="48"/>
    <x v="2"/>
    <s v="italian food near me"/>
    <s v="Phrase"/>
    <s v="7"/>
  </r>
  <r>
    <x v="70"/>
    <x v="7"/>
    <x v="11"/>
    <m/>
    <n v="15480"/>
    <n v="1052"/>
    <n v="209.77"/>
    <m/>
    <n v="92"/>
    <x v="2"/>
    <s v="competitor italian chain"/>
    <s v="Broad"/>
    <s v="4"/>
  </r>
  <r>
    <x v="70"/>
    <x v="8"/>
    <x v="12"/>
    <m/>
    <n v="198636"/>
    <n v="3094"/>
    <n v="803.59"/>
    <m/>
    <n v="250"/>
    <x v="2"/>
    <s v="N/A"/>
    <s v="N/A"/>
    <s v="N/A"/>
  </r>
  <r>
    <x v="70"/>
    <x v="8"/>
    <x v="13"/>
    <m/>
    <n v="199043"/>
    <n v="2344"/>
    <n v="529.89"/>
    <m/>
    <n v="210"/>
    <x v="2"/>
    <s v="N/A"/>
    <s v="N/A"/>
    <s v="N/A"/>
  </r>
  <r>
    <x v="70"/>
    <x v="9"/>
    <x v="14"/>
    <m/>
    <n v="41549"/>
    <n v="2455"/>
    <n v="641.78"/>
    <m/>
    <n v="226"/>
    <x v="2"/>
    <s v="weekend italian dinner"/>
    <s v="Phrase"/>
    <s v="8"/>
  </r>
  <r>
    <x v="70"/>
    <x v="9"/>
    <x v="14"/>
    <m/>
    <n v="17772"/>
    <n v="1209"/>
    <n v="253.81"/>
    <m/>
    <n v="101"/>
    <x v="2"/>
    <s v="endless pasta deal"/>
    <s v="Exact"/>
    <s v="8"/>
  </r>
  <r>
    <x v="71"/>
    <x v="6"/>
    <x v="9"/>
    <m/>
    <n v="39878"/>
    <n v="2445"/>
    <n v="444.68"/>
    <m/>
    <n v="190"/>
    <x v="2"/>
    <s v="bella cucina restaurant"/>
    <s v="Exact"/>
    <s v="9"/>
  </r>
  <r>
    <x v="71"/>
    <x v="6"/>
    <x v="9"/>
    <m/>
    <n v="41260"/>
    <n v="2772"/>
    <n v="745.12"/>
    <m/>
    <n v="191"/>
    <x v="2"/>
    <s v="bella cucina near me"/>
    <s v="Phrase"/>
    <s v="8"/>
  </r>
  <r>
    <x v="71"/>
    <x v="7"/>
    <x v="10"/>
    <m/>
    <n v="25719"/>
    <n v="1407"/>
    <n v="257.64999999999998"/>
    <m/>
    <n v="132"/>
    <x v="2"/>
    <s v="italian food near me"/>
    <s v="Phrase"/>
    <s v="7"/>
  </r>
  <r>
    <x v="71"/>
    <x v="7"/>
    <x v="11"/>
    <m/>
    <n v="27138"/>
    <n v="1674"/>
    <n v="366.53"/>
    <m/>
    <n v="131"/>
    <x v="2"/>
    <s v="competitor italian chain"/>
    <s v="Broad"/>
    <s v="4"/>
  </r>
  <r>
    <x v="71"/>
    <x v="8"/>
    <x v="12"/>
    <m/>
    <n v="169529"/>
    <n v="2462"/>
    <n v="520.59"/>
    <m/>
    <n v="138"/>
    <x v="2"/>
    <s v="N/A"/>
    <s v="N/A"/>
    <s v="N/A"/>
  </r>
  <r>
    <x v="71"/>
    <x v="8"/>
    <x v="13"/>
    <m/>
    <n v="187519"/>
    <n v="2144"/>
    <n v="573.96"/>
    <m/>
    <n v="149"/>
    <x v="2"/>
    <s v="N/A"/>
    <s v="N/A"/>
    <s v="N/A"/>
  </r>
  <r>
    <x v="71"/>
    <x v="9"/>
    <x v="14"/>
    <m/>
    <n v="38782"/>
    <n v="2062"/>
    <n v="433.5"/>
    <m/>
    <n v="122"/>
    <x v="2"/>
    <s v="weekend italian dinner"/>
    <s v="Phrase"/>
    <s v="8"/>
  </r>
  <r>
    <x v="71"/>
    <x v="9"/>
    <x v="14"/>
    <m/>
    <n v="16185"/>
    <n v="1079"/>
    <n v="292.77"/>
    <m/>
    <n v="78"/>
    <x v="2"/>
    <s v="endless pasta deal"/>
    <s v="Exact"/>
    <s v="8"/>
  </r>
  <r>
    <x v="72"/>
    <x v="6"/>
    <x v="9"/>
    <m/>
    <n v="15124"/>
    <n v="1015"/>
    <n v="274.55"/>
    <m/>
    <n v="62"/>
    <x v="2"/>
    <s v="bella cucina restaurant"/>
    <s v="Exact"/>
    <s v="9"/>
  </r>
  <r>
    <x v="72"/>
    <x v="6"/>
    <x v="9"/>
    <m/>
    <n v="41975"/>
    <n v="2945"/>
    <n v="745.8"/>
    <m/>
    <n v="223"/>
    <x v="2"/>
    <s v="bella cucina near me"/>
    <s v="Phrase"/>
    <s v="8"/>
  </r>
  <r>
    <x v="72"/>
    <x v="7"/>
    <x v="10"/>
    <m/>
    <n v="40887"/>
    <n v="2103"/>
    <n v="561.88"/>
    <m/>
    <n v="184"/>
    <x v="2"/>
    <s v="italian food near me"/>
    <s v="Phrase"/>
    <s v="7"/>
  </r>
  <r>
    <x v="72"/>
    <x v="7"/>
    <x v="11"/>
    <m/>
    <n v="56973"/>
    <n v="3660"/>
    <n v="707.37"/>
    <m/>
    <n v="307"/>
    <x v="2"/>
    <s v="competitor italian chain"/>
    <s v="Broad"/>
    <s v="4"/>
  </r>
  <r>
    <x v="72"/>
    <x v="8"/>
    <x v="12"/>
    <m/>
    <n v="195273"/>
    <n v="2526"/>
    <n v="673.13"/>
    <m/>
    <n v="150"/>
    <x v="2"/>
    <s v="N/A"/>
    <s v="N/A"/>
    <s v="N/A"/>
  </r>
  <r>
    <x v="72"/>
    <x v="8"/>
    <x v="13"/>
    <m/>
    <n v="169988"/>
    <n v="2662"/>
    <n v="662.05"/>
    <m/>
    <n v="209"/>
    <x v="2"/>
    <s v="N/A"/>
    <s v="N/A"/>
    <s v="N/A"/>
  </r>
  <r>
    <x v="72"/>
    <x v="9"/>
    <x v="14"/>
    <m/>
    <n v="20417"/>
    <n v="1143"/>
    <n v="307.37"/>
    <m/>
    <n v="67"/>
    <x v="2"/>
    <s v="weekend italian dinner"/>
    <s v="Phrase"/>
    <s v="8"/>
  </r>
  <r>
    <x v="72"/>
    <x v="9"/>
    <x v="14"/>
    <m/>
    <n v="39621"/>
    <n v="1923"/>
    <n v="492"/>
    <m/>
    <n v="154"/>
    <x v="2"/>
    <s v="endless pasta deal"/>
    <s v="Exact"/>
    <s v="8"/>
  </r>
  <r>
    <x v="73"/>
    <x v="6"/>
    <x v="9"/>
    <m/>
    <n v="30877"/>
    <n v="1719"/>
    <n v="342.52"/>
    <m/>
    <n v="113"/>
    <x v="2"/>
    <s v="bella cucina restaurant"/>
    <s v="Exact"/>
    <s v="9"/>
  </r>
  <r>
    <x v="73"/>
    <x v="6"/>
    <x v="9"/>
    <m/>
    <n v="40189"/>
    <n v="2674"/>
    <n v="660.78"/>
    <m/>
    <n v="176"/>
    <x v="2"/>
    <s v="bella cucina near me"/>
    <s v="Phrase"/>
    <s v="8"/>
  </r>
  <r>
    <x v="73"/>
    <x v="7"/>
    <x v="10"/>
    <m/>
    <n v="26417"/>
    <n v="1441"/>
    <n v="261.58"/>
    <m/>
    <n v="115"/>
    <x v="2"/>
    <s v="italian food near me"/>
    <s v="Phrase"/>
    <s v="7"/>
  </r>
  <r>
    <x v="73"/>
    <x v="7"/>
    <x v="11"/>
    <m/>
    <n v="56795"/>
    <n v="2865"/>
    <n v="671.13"/>
    <m/>
    <n v="220"/>
    <x v="2"/>
    <s v="competitor italian chain"/>
    <s v="Broad"/>
    <s v="4"/>
  </r>
  <r>
    <x v="73"/>
    <x v="8"/>
    <x v="12"/>
    <m/>
    <n v="163185"/>
    <n v="1910"/>
    <n v="478.33"/>
    <m/>
    <n v="126"/>
    <x v="2"/>
    <s v="N/A"/>
    <s v="N/A"/>
    <s v="N/A"/>
  </r>
  <r>
    <x v="73"/>
    <x v="8"/>
    <x v="13"/>
    <m/>
    <n v="158715"/>
    <n v="1881"/>
    <n v="397.15"/>
    <m/>
    <n v="170"/>
    <x v="2"/>
    <s v="N/A"/>
    <s v="N/A"/>
    <s v="N/A"/>
  </r>
  <r>
    <x v="73"/>
    <x v="9"/>
    <x v="14"/>
    <m/>
    <n v="50796"/>
    <n v="2500"/>
    <n v="457.25"/>
    <m/>
    <n v="227"/>
    <x v="2"/>
    <s v="weekend italian dinner"/>
    <s v="Phrase"/>
    <s v="8"/>
  </r>
  <r>
    <x v="73"/>
    <x v="9"/>
    <x v="14"/>
    <m/>
    <n v="17297"/>
    <n v="874"/>
    <n v="162.02000000000001"/>
    <m/>
    <n v="62"/>
    <x v="2"/>
    <s v="endless pasta deal"/>
    <s v="Exact"/>
    <s v="8"/>
  </r>
  <r>
    <x v="73"/>
    <x v="12"/>
    <x v="17"/>
    <m/>
    <n v="28247"/>
    <n v="1833"/>
    <n v="493.31"/>
    <m/>
    <n v="146"/>
    <x v="2"/>
    <s v="spring dinner specials"/>
    <s v="Phrase"/>
    <s v="8"/>
  </r>
  <r>
    <x v="73"/>
    <x v="12"/>
    <x v="17"/>
    <m/>
    <n v="50983"/>
    <n v="3201"/>
    <n v="676.19"/>
    <m/>
    <n v="280"/>
    <x v="2"/>
    <s v="best spring pasta deal"/>
    <s v="Exact"/>
    <s v="8"/>
  </r>
  <r>
    <x v="74"/>
    <x v="6"/>
    <x v="9"/>
    <m/>
    <n v="58450"/>
    <n v="2915"/>
    <n v="793.69"/>
    <m/>
    <n v="249"/>
    <x v="2"/>
    <s v="bella cucina restaurant"/>
    <s v="Exact"/>
    <s v="9"/>
  </r>
  <r>
    <x v="74"/>
    <x v="6"/>
    <x v="9"/>
    <m/>
    <n v="24228"/>
    <n v="1216"/>
    <n v="316.45"/>
    <m/>
    <n v="100"/>
    <x v="2"/>
    <s v="bella cucina near me"/>
    <s v="Phrase"/>
    <s v="8"/>
  </r>
  <r>
    <x v="74"/>
    <x v="7"/>
    <x v="10"/>
    <m/>
    <n v="21286"/>
    <n v="1254"/>
    <n v="311.55"/>
    <m/>
    <n v="104"/>
    <x v="2"/>
    <s v="italian food near me"/>
    <s v="Phrase"/>
    <s v="7"/>
  </r>
  <r>
    <x v="74"/>
    <x v="7"/>
    <x v="11"/>
    <m/>
    <n v="52650"/>
    <n v="3121"/>
    <n v="857.48"/>
    <m/>
    <n v="189"/>
    <x v="2"/>
    <s v="competitor italian chain"/>
    <s v="Broad"/>
    <s v="4"/>
  </r>
  <r>
    <x v="74"/>
    <x v="8"/>
    <x v="12"/>
    <m/>
    <n v="160969"/>
    <n v="2505"/>
    <n v="549.12"/>
    <m/>
    <n v="207"/>
    <x v="2"/>
    <s v="N/A"/>
    <s v="N/A"/>
    <s v="N/A"/>
  </r>
  <r>
    <x v="74"/>
    <x v="8"/>
    <x v="13"/>
    <m/>
    <n v="173284"/>
    <n v="2589"/>
    <n v="694.47"/>
    <m/>
    <n v="189"/>
    <x v="2"/>
    <s v="N/A"/>
    <s v="N/A"/>
    <s v="N/A"/>
  </r>
  <r>
    <x v="74"/>
    <x v="9"/>
    <x v="14"/>
    <m/>
    <n v="15577"/>
    <n v="772"/>
    <n v="147.66999999999999"/>
    <m/>
    <n v="57"/>
    <x v="2"/>
    <s v="weekend italian dinner"/>
    <s v="Phrase"/>
    <s v="8"/>
  </r>
  <r>
    <x v="74"/>
    <x v="9"/>
    <x v="14"/>
    <m/>
    <n v="27550"/>
    <n v="1509"/>
    <n v="324.23"/>
    <m/>
    <n v="117"/>
    <x v="2"/>
    <s v="endless pasta deal"/>
    <s v="Exact"/>
    <s v="8"/>
  </r>
  <r>
    <x v="74"/>
    <x v="12"/>
    <x v="17"/>
    <m/>
    <n v="56274"/>
    <n v="2840"/>
    <n v="743.39"/>
    <m/>
    <n v="246"/>
    <x v="2"/>
    <s v="spring dinner specials"/>
    <s v="Phrase"/>
    <s v="8"/>
  </r>
  <r>
    <x v="74"/>
    <x v="12"/>
    <x v="17"/>
    <m/>
    <n v="40762"/>
    <n v="2500"/>
    <n v="467.73"/>
    <m/>
    <n v="167"/>
    <x v="2"/>
    <s v="best spring pasta deal"/>
    <s v="Exact"/>
    <s v="8"/>
  </r>
  <r>
    <x v="75"/>
    <x v="6"/>
    <x v="9"/>
    <m/>
    <n v="52273"/>
    <n v="3011"/>
    <n v="666.47"/>
    <m/>
    <n v="240"/>
    <x v="2"/>
    <s v="bella cucina restaurant"/>
    <s v="Exact"/>
    <s v="9"/>
  </r>
  <r>
    <x v="75"/>
    <x v="6"/>
    <x v="9"/>
    <m/>
    <n v="26547"/>
    <n v="1894"/>
    <n v="413.61"/>
    <m/>
    <n v="129"/>
    <x v="2"/>
    <s v="bella cucina near me"/>
    <s v="Phrase"/>
    <s v="8"/>
  </r>
  <r>
    <x v="75"/>
    <x v="7"/>
    <x v="10"/>
    <m/>
    <n v="49731"/>
    <n v="3323"/>
    <n v="742.81"/>
    <m/>
    <n v="287"/>
    <x v="2"/>
    <s v="italian food near me"/>
    <s v="Phrase"/>
    <s v="7"/>
  </r>
  <r>
    <x v="75"/>
    <x v="7"/>
    <x v="11"/>
    <m/>
    <n v="33118"/>
    <n v="1727"/>
    <n v="426.5"/>
    <m/>
    <n v="146"/>
    <x v="2"/>
    <s v="competitor italian chain"/>
    <s v="Broad"/>
    <s v="4"/>
  </r>
  <r>
    <x v="75"/>
    <x v="8"/>
    <x v="12"/>
    <m/>
    <n v="214838"/>
    <n v="3262"/>
    <n v="624.45000000000005"/>
    <m/>
    <n v="257"/>
    <x v="2"/>
    <s v="N/A"/>
    <s v="N/A"/>
    <s v="N/A"/>
  </r>
  <r>
    <x v="75"/>
    <x v="8"/>
    <x v="13"/>
    <m/>
    <n v="172441"/>
    <n v="2375"/>
    <n v="622.73"/>
    <m/>
    <n v="147"/>
    <x v="2"/>
    <s v="N/A"/>
    <s v="N/A"/>
    <s v="N/A"/>
  </r>
  <r>
    <x v="75"/>
    <x v="9"/>
    <x v="14"/>
    <m/>
    <n v="47572"/>
    <n v="2362"/>
    <n v="450.85"/>
    <m/>
    <n v="206"/>
    <x v="2"/>
    <s v="weekend italian dinner"/>
    <s v="Phrase"/>
    <s v="8"/>
  </r>
  <r>
    <x v="75"/>
    <x v="9"/>
    <x v="14"/>
    <m/>
    <n v="45281"/>
    <n v="2529"/>
    <n v="618.34"/>
    <m/>
    <n v="145"/>
    <x v="2"/>
    <s v="endless pasta deal"/>
    <s v="Exact"/>
    <s v="8"/>
  </r>
  <r>
    <x v="75"/>
    <x v="12"/>
    <x v="17"/>
    <m/>
    <n v="31539"/>
    <n v="2132"/>
    <n v="572.91999999999996"/>
    <m/>
    <n v="194"/>
    <x v="2"/>
    <s v="spring dinner specials"/>
    <s v="Phrase"/>
    <s v="8"/>
  </r>
  <r>
    <x v="75"/>
    <x v="12"/>
    <x v="17"/>
    <m/>
    <n v="13015"/>
    <n v="861"/>
    <n v="211.88"/>
    <m/>
    <n v="62"/>
    <x v="2"/>
    <s v="best spring pasta deal"/>
    <s v="Exact"/>
    <s v="8"/>
  </r>
  <r>
    <x v="76"/>
    <x v="6"/>
    <x v="9"/>
    <m/>
    <n v="37833"/>
    <n v="2170"/>
    <n v="516.01"/>
    <m/>
    <n v="136"/>
    <x v="2"/>
    <s v="bella cucina restaurant"/>
    <s v="Exact"/>
    <s v="9"/>
  </r>
  <r>
    <x v="76"/>
    <x v="6"/>
    <x v="9"/>
    <m/>
    <n v="39972"/>
    <n v="2206"/>
    <n v="572.30999999999995"/>
    <m/>
    <n v="181"/>
    <x v="2"/>
    <s v="bella cucina near me"/>
    <s v="Phrase"/>
    <s v="8"/>
  </r>
  <r>
    <x v="76"/>
    <x v="7"/>
    <x v="10"/>
    <m/>
    <n v="50037"/>
    <n v="3263"/>
    <n v="885.94"/>
    <m/>
    <n v="308"/>
    <x v="2"/>
    <s v="italian food near me"/>
    <s v="Phrase"/>
    <s v="7"/>
  </r>
  <r>
    <x v="76"/>
    <x v="7"/>
    <x v="11"/>
    <m/>
    <n v="13691"/>
    <n v="858"/>
    <n v="198.23"/>
    <m/>
    <n v="76"/>
    <x v="2"/>
    <s v="competitor italian chain"/>
    <s v="Broad"/>
    <s v="4"/>
  </r>
  <r>
    <x v="76"/>
    <x v="8"/>
    <x v="12"/>
    <m/>
    <n v="167126"/>
    <n v="1890"/>
    <n v="510.5"/>
    <m/>
    <n v="177"/>
    <x v="2"/>
    <s v="N/A"/>
    <s v="N/A"/>
    <s v="N/A"/>
  </r>
  <r>
    <x v="76"/>
    <x v="8"/>
    <x v="13"/>
    <m/>
    <n v="117143"/>
    <n v="1700"/>
    <n v="445.53"/>
    <m/>
    <n v="117"/>
    <x v="2"/>
    <s v="N/A"/>
    <s v="N/A"/>
    <s v="N/A"/>
  </r>
  <r>
    <x v="76"/>
    <x v="9"/>
    <x v="14"/>
    <m/>
    <n v="37042"/>
    <n v="2547"/>
    <n v="518.38"/>
    <m/>
    <n v="211"/>
    <x v="2"/>
    <s v="weekend italian dinner"/>
    <s v="Phrase"/>
    <s v="8"/>
  </r>
  <r>
    <x v="76"/>
    <x v="9"/>
    <x v="14"/>
    <m/>
    <n v="46589"/>
    <n v="2935"/>
    <n v="737.21"/>
    <m/>
    <n v="209"/>
    <x v="2"/>
    <s v="endless pasta deal"/>
    <s v="Exact"/>
    <s v="8"/>
  </r>
  <r>
    <x v="76"/>
    <x v="12"/>
    <x v="17"/>
    <m/>
    <n v="50076"/>
    <n v="3058"/>
    <n v="753.03"/>
    <m/>
    <n v="226"/>
    <x v="2"/>
    <s v="spring dinner specials"/>
    <s v="Phrase"/>
    <s v="8"/>
  </r>
  <r>
    <x v="76"/>
    <x v="12"/>
    <x v="17"/>
    <m/>
    <n v="29035"/>
    <n v="1780"/>
    <n v="470.51"/>
    <m/>
    <n v="123"/>
    <x v="2"/>
    <s v="best spring pasta deal"/>
    <s v="Exact"/>
    <s v="8"/>
  </r>
  <r>
    <x v="77"/>
    <x v="6"/>
    <x v="9"/>
    <m/>
    <n v="48545"/>
    <n v="2509"/>
    <n v="701.88"/>
    <m/>
    <n v="205"/>
    <x v="2"/>
    <s v="bella cucina restaurant"/>
    <s v="Exact"/>
    <s v="9"/>
  </r>
  <r>
    <x v="77"/>
    <x v="6"/>
    <x v="9"/>
    <m/>
    <n v="24440"/>
    <n v="1179"/>
    <n v="288.67"/>
    <m/>
    <n v="71"/>
    <x v="2"/>
    <s v="bella cucina near me"/>
    <s v="Phrase"/>
    <s v="8"/>
  </r>
  <r>
    <x v="77"/>
    <x v="7"/>
    <x v="10"/>
    <m/>
    <n v="54464"/>
    <n v="3474"/>
    <n v="964.03"/>
    <m/>
    <n v="209"/>
    <x v="2"/>
    <s v="italian food near me"/>
    <s v="Phrase"/>
    <s v="7"/>
  </r>
  <r>
    <x v="77"/>
    <x v="7"/>
    <x v="11"/>
    <m/>
    <n v="24689"/>
    <n v="1565"/>
    <n v="346.78"/>
    <m/>
    <n v="114"/>
    <x v="2"/>
    <s v="competitor italian chain"/>
    <s v="Broad"/>
    <s v="4"/>
  </r>
  <r>
    <x v="77"/>
    <x v="8"/>
    <x v="12"/>
    <m/>
    <n v="219989"/>
    <n v="3443"/>
    <n v="834.32"/>
    <m/>
    <n v="251"/>
    <x v="2"/>
    <s v="N/A"/>
    <s v="N/A"/>
    <s v="N/A"/>
  </r>
  <r>
    <x v="77"/>
    <x v="8"/>
    <x v="13"/>
    <m/>
    <n v="189267"/>
    <n v="2604"/>
    <n v="585.91"/>
    <m/>
    <n v="180"/>
    <x v="2"/>
    <s v="N/A"/>
    <s v="N/A"/>
    <s v="N/A"/>
  </r>
  <r>
    <x v="77"/>
    <x v="9"/>
    <x v="14"/>
    <m/>
    <n v="28828"/>
    <n v="1677"/>
    <n v="303.11"/>
    <m/>
    <n v="125"/>
    <x v="2"/>
    <s v="weekend italian dinner"/>
    <s v="Phrase"/>
    <s v="8"/>
  </r>
  <r>
    <x v="77"/>
    <x v="9"/>
    <x v="14"/>
    <m/>
    <n v="33169"/>
    <n v="2159"/>
    <n v="446.75"/>
    <m/>
    <n v="198"/>
    <x v="2"/>
    <s v="endless pasta deal"/>
    <s v="Exact"/>
    <s v="8"/>
  </r>
  <r>
    <x v="77"/>
    <x v="12"/>
    <x v="17"/>
    <m/>
    <n v="44263"/>
    <n v="2160"/>
    <n v="396.98"/>
    <m/>
    <n v="160"/>
    <x v="2"/>
    <s v="spring dinner specials"/>
    <s v="Phrase"/>
    <s v="8"/>
  </r>
  <r>
    <x v="77"/>
    <x v="12"/>
    <x v="17"/>
    <m/>
    <n v="44401"/>
    <n v="2251"/>
    <n v="513.57000000000005"/>
    <m/>
    <n v="185"/>
    <x v="2"/>
    <s v="best spring pasta deal"/>
    <s v="Exact"/>
    <s v="8"/>
  </r>
  <r>
    <x v="78"/>
    <x v="6"/>
    <x v="9"/>
    <m/>
    <n v="25104"/>
    <n v="1644"/>
    <n v="382.46"/>
    <m/>
    <n v="146"/>
    <x v="2"/>
    <s v="bella cucina restaurant"/>
    <s v="Exact"/>
    <s v="9"/>
  </r>
  <r>
    <x v="78"/>
    <x v="6"/>
    <x v="9"/>
    <m/>
    <n v="36805"/>
    <n v="2177"/>
    <n v="408.89"/>
    <m/>
    <n v="197"/>
    <x v="2"/>
    <s v="bella cucina near me"/>
    <s v="Phrase"/>
    <s v="8"/>
  </r>
  <r>
    <x v="78"/>
    <x v="7"/>
    <x v="10"/>
    <m/>
    <n v="20534"/>
    <n v="1106"/>
    <n v="268.83"/>
    <m/>
    <n v="90"/>
    <x v="2"/>
    <s v="italian food near me"/>
    <s v="Phrase"/>
    <s v="7"/>
  </r>
  <r>
    <x v="78"/>
    <x v="7"/>
    <x v="11"/>
    <m/>
    <n v="19652"/>
    <n v="1265"/>
    <n v="295.91000000000003"/>
    <m/>
    <n v="98"/>
    <x v="2"/>
    <s v="competitor italian chain"/>
    <s v="Broad"/>
    <s v="4"/>
  </r>
  <r>
    <x v="78"/>
    <x v="8"/>
    <x v="12"/>
    <m/>
    <n v="125992"/>
    <n v="1955"/>
    <n v="456.5"/>
    <m/>
    <n v="108"/>
    <x v="2"/>
    <s v="N/A"/>
    <s v="N/A"/>
    <s v="N/A"/>
  </r>
  <r>
    <x v="78"/>
    <x v="8"/>
    <x v="13"/>
    <m/>
    <n v="194364"/>
    <n v="2636"/>
    <n v="598.16999999999996"/>
    <m/>
    <n v="222"/>
    <x v="2"/>
    <s v="N/A"/>
    <s v="N/A"/>
    <s v="N/A"/>
  </r>
  <r>
    <x v="78"/>
    <x v="9"/>
    <x v="14"/>
    <m/>
    <n v="48868"/>
    <n v="2759"/>
    <n v="766.38"/>
    <m/>
    <n v="184"/>
    <x v="2"/>
    <s v="weekend italian dinner"/>
    <s v="Phrase"/>
    <s v="8"/>
  </r>
  <r>
    <x v="78"/>
    <x v="9"/>
    <x v="14"/>
    <m/>
    <n v="27270"/>
    <n v="1332"/>
    <n v="362.69"/>
    <m/>
    <n v="113"/>
    <x v="2"/>
    <s v="endless pasta deal"/>
    <s v="Exact"/>
    <s v="8"/>
  </r>
  <r>
    <x v="78"/>
    <x v="12"/>
    <x v="17"/>
    <m/>
    <n v="35188"/>
    <n v="1740"/>
    <n v="395.53"/>
    <m/>
    <n v="107"/>
    <x v="2"/>
    <s v="spring dinner specials"/>
    <s v="Phrase"/>
    <s v="8"/>
  </r>
  <r>
    <x v="78"/>
    <x v="12"/>
    <x v="17"/>
    <m/>
    <n v="17396"/>
    <n v="1109"/>
    <n v="231.98"/>
    <m/>
    <n v="93"/>
    <x v="2"/>
    <s v="best spring pasta deal"/>
    <s v="Exact"/>
    <s v="8"/>
  </r>
  <r>
    <x v="79"/>
    <x v="6"/>
    <x v="9"/>
    <m/>
    <n v="15325"/>
    <n v="841"/>
    <n v="158.32"/>
    <m/>
    <n v="63"/>
    <x v="2"/>
    <s v="bella cucina restaurant"/>
    <s v="Exact"/>
    <s v="9"/>
  </r>
  <r>
    <x v="79"/>
    <x v="6"/>
    <x v="9"/>
    <m/>
    <n v="36671"/>
    <n v="1982"/>
    <n v="478.81"/>
    <m/>
    <n v="130"/>
    <x v="2"/>
    <s v="bella cucina near me"/>
    <s v="Phrase"/>
    <s v="8"/>
  </r>
  <r>
    <x v="79"/>
    <x v="7"/>
    <x v="10"/>
    <m/>
    <n v="34890"/>
    <n v="1686"/>
    <n v="322.29000000000002"/>
    <m/>
    <n v="104"/>
    <x v="2"/>
    <s v="italian food near me"/>
    <s v="Phrase"/>
    <s v="7"/>
  </r>
  <r>
    <x v="79"/>
    <x v="7"/>
    <x v="11"/>
    <m/>
    <n v="25875"/>
    <n v="1651"/>
    <n v="358.23"/>
    <m/>
    <n v="102"/>
    <x v="2"/>
    <s v="competitor italian chain"/>
    <s v="Broad"/>
    <s v="4"/>
  </r>
  <r>
    <x v="79"/>
    <x v="8"/>
    <x v="12"/>
    <m/>
    <n v="157245"/>
    <n v="2110"/>
    <n v="548.47"/>
    <m/>
    <n v="188"/>
    <x v="2"/>
    <s v="N/A"/>
    <s v="N/A"/>
    <s v="N/A"/>
  </r>
  <r>
    <x v="79"/>
    <x v="8"/>
    <x v="13"/>
    <m/>
    <n v="175418"/>
    <n v="2792"/>
    <n v="772.64"/>
    <m/>
    <n v="220"/>
    <x v="2"/>
    <s v="N/A"/>
    <s v="N/A"/>
    <s v="N/A"/>
  </r>
  <r>
    <x v="79"/>
    <x v="9"/>
    <x v="14"/>
    <m/>
    <n v="26132"/>
    <n v="1779"/>
    <n v="454.14"/>
    <m/>
    <n v="127"/>
    <x v="2"/>
    <s v="weekend italian dinner"/>
    <s v="Phrase"/>
    <s v="8"/>
  </r>
  <r>
    <x v="79"/>
    <x v="9"/>
    <x v="14"/>
    <m/>
    <n v="45644"/>
    <n v="2451"/>
    <n v="549.07000000000005"/>
    <m/>
    <n v="197"/>
    <x v="2"/>
    <s v="endless pasta deal"/>
    <s v="Exact"/>
    <s v="8"/>
  </r>
  <r>
    <x v="79"/>
    <x v="12"/>
    <x v="17"/>
    <m/>
    <n v="30963"/>
    <n v="1915"/>
    <n v="505.91"/>
    <m/>
    <n v="109"/>
    <x v="2"/>
    <s v="spring dinner specials"/>
    <s v="Phrase"/>
    <s v="8"/>
  </r>
  <r>
    <x v="79"/>
    <x v="12"/>
    <x v="17"/>
    <m/>
    <n v="35525"/>
    <n v="2349"/>
    <n v="450.07"/>
    <m/>
    <n v="144"/>
    <x v="2"/>
    <s v="best spring pasta deal"/>
    <s v="Exact"/>
    <s v="8"/>
  </r>
  <r>
    <x v="80"/>
    <x v="6"/>
    <x v="9"/>
    <m/>
    <n v="46971"/>
    <n v="2791"/>
    <n v="635.30999999999995"/>
    <m/>
    <n v="259"/>
    <x v="2"/>
    <s v="bella cucina restaurant"/>
    <s v="Exact"/>
    <s v="9"/>
  </r>
  <r>
    <x v="80"/>
    <x v="6"/>
    <x v="9"/>
    <m/>
    <n v="58368"/>
    <n v="3128"/>
    <n v="776.84"/>
    <m/>
    <n v="220"/>
    <x v="2"/>
    <s v="bella cucina near me"/>
    <s v="Phrase"/>
    <s v="8"/>
  </r>
  <r>
    <x v="80"/>
    <x v="7"/>
    <x v="10"/>
    <m/>
    <n v="35374"/>
    <n v="1821"/>
    <n v="486.26"/>
    <m/>
    <n v="101"/>
    <x v="2"/>
    <s v="italian food near me"/>
    <s v="Phrase"/>
    <s v="7"/>
  </r>
  <r>
    <x v="80"/>
    <x v="7"/>
    <x v="11"/>
    <m/>
    <n v="51236"/>
    <n v="2929"/>
    <n v="619.69000000000005"/>
    <m/>
    <n v="223"/>
    <x v="2"/>
    <s v="competitor italian chain"/>
    <s v="Broad"/>
    <s v="4"/>
  </r>
  <r>
    <x v="80"/>
    <x v="8"/>
    <x v="12"/>
    <m/>
    <n v="123988"/>
    <n v="1424"/>
    <n v="331.98"/>
    <m/>
    <n v="98"/>
    <x v="2"/>
    <s v="N/A"/>
    <s v="N/A"/>
    <s v="N/A"/>
  </r>
  <r>
    <x v="80"/>
    <x v="8"/>
    <x v="13"/>
    <m/>
    <n v="190573"/>
    <n v="2678"/>
    <n v="656.66"/>
    <m/>
    <n v="176"/>
    <x v="2"/>
    <s v="N/A"/>
    <s v="N/A"/>
    <s v="N/A"/>
  </r>
  <r>
    <x v="80"/>
    <x v="9"/>
    <x v="14"/>
    <m/>
    <n v="36030"/>
    <n v="1960"/>
    <n v="372.06"/>
    <m/>
    <n v="159"/>
    <x v="2"/>
    <s v="weekend italian dinner"/>
    <s v="Phrase"/>
    <s v="8"/>
  </r>
  <r>
    <x v="80"/>
    <x v="9"/>
    <x v="14"/>
    <m/>
    <n v="46324"/>
    <n v="2736"/>
    <n v="677.24"/>
    <m/>
    <n v="176"/>
    <x v="2"/>
    <s v="endless pasta deal"/>
    <s v="Exact"/>
    <s v="8"/>
  </r>
  <r>
    <x v="80"/>
    <x v="12"/>
    <x v="17"/>
    <m/>
    <n v="29606"/>
    <n v="1790"/>
    <n v="443.51"/>
    <m/>
    <n v="169"/>
    <x v="2"/>
    <s v="spring dinner specials"/>
    <s v="Phrase"/>
    <s v="8"/>
  </r>
  <r>
    <x v="80"/>
    <x v="12"/>
    <x v="17"/>
    <m/>
    <n v="39689"/>
    <n v="2426"/>
    <n v="599.9"/>
    <m/>
    <n v="214"/>
    <x v="2"/>
    <s v="best spring pasta deal"/>
    <s v="Exact"/>
    <s v="8"/>
  </r>
  <r>
    <x v="81"/>
    <x v="6"/>
    <x v="9"/>
    <m/>
    <n v="14017"/>
    <n v="811"/>
    <n v="188.58"/>
    <m/>
    <n v="66"/>
    <x v="2"/>
    <s v="bella cucina restaurant"/>
    <s v="Exact"/>
    <s v="9"/>
  </r>
  <r>
    <x v="81"/>
    <x v="6"/>
    <x v="9"/>
    <m/>
    <n v="42946"/>
    <n v="2287"/>
    <n v="476.45"/>
    <m/>
    <n v="143"/>
    <x v="2"/>
    <s v="bella cucina near me"/>
    <s v="Phrase"/>
    <s v="8"/>
  </r>
  <r>
    <x v="81"/>
    <x v="7"/>
    <x v="10"/>
    <m/>
    <n v="15018"/>
    <n v="944"/>
    <n v="175.29"/>
    <m/>
    <n v="74"/>
    <x v="2"/>
    <s v="italian food near me"/>
    <s v="Phrase"/>
    <s v="7"/>
  </r>
  <r>
    <x v="81"/>
    <x v="7"/>
    <x v="11"/>
    <m/>
    <n v="31471"/>
    <n v="2228"/>
    <n v="543.20000000000005"/>
    <m/>
    <n v="185"/>
    <x v="2"/>
    <s v="competitor italian chain"/>
    <s v="Broad"/>
    <s v="4"/>
  </r>
  <r>
    <x v="81"/>
    <x v="8"/>
    <x v="12"/>
    <m/>
    <n v="137442"/>
    <n v="1571"/>
    <n v="377.78"/>
    <m/>
    <n v="110"/>
    <x v="2"/>
    <s v="N/A"/>
    <s v="N/A"/>
    <s v="N/A"/>
  </r>
  <r>
    <x v="81"/>
    <x v="8"/>
    <x v="13"/>
    <m/>
    <n v="213453"/>
    <n v="3205"/>
    <n v="636.12"/>
    <m/>
    <n v="190"/>
    <x v="2"/>
    <s v="N/A"/>
    <s v="N/A"/>
    <s v="N/A"/>
  </r>
  <r>
    <x v="81"/>
    <x v="9"/>
    <x v="14"/>
    <m/>
    <n v="28697"/>
    <n v="1551"/>
    <n v="351.6"/>
    <m/>
    <n v="143"/>
    <x v="2"/>
    <s v="weekend italian dinner"/>
    <s v="Phrase"/>
    <s v="8"/>
  </r>
  <r>
    <x v="81"/>
    <x v="9"/>
    <x v="14"/>
    <m/>
    <n v="51630"/>
    <n v="3621"/>
    <n v="751.86"/>
    <m/>
    <n v="260"/>
    <x v="2"/>
    <s v="endless pasta deal"/>
    <s v="Exact"/>
    <s v="8"/>
  </r>
  <r>
    <x v="81"/>
    <x v="12"/>
    <x v="17"/>
    <m/>
    <n v="40552"/>
    <n v="2196"/>
    <n v="566.73"/>
    <m/>
    <n v="145"/>
    <x v="2"/>
    <s v="spring dinner specials"/>
    <s v="Phrase"/>
    <s v="8"/>
  </r>
  <r>
    <x v="81"/>
    <x v="12"/>
    <x v="17"/>
    <m/>
    <n v="18314"/>
    <n v="1047"/>
    <n v="223.29"/>
    <m/>
    <n v="60"/>
    <x v="2"/>
    <s v="best spring pasta deal"/>
    <s v="Exact"/>
    <s v="8"/>
  </r>
  <r>
    <x v="82"/>
    <x v="6"/>
    <x v="9"/>
    <m/>
    <n v="35548"/>
    <n v="1858"/>
    <n v="347.33"/>
    <m/>
    <n v="174"/>
    <x v="2"/>
    <s v="bella cucina restaurant"/>
    <s v="Exact"/>
    <s v="9"/>
  </r>
  <r>
    <x v="82"/>
    <x v="6"/>
    <x v="9"/>
    <m/>
    <n v="30096"/>
    <n v="1885"/>
    <n v="372.94"/>
    <m/>
    <n v="140"/>
    <x v="2"/>
    <s v="bella cucina near me"/>
    <s v="Phrase"/>
    <s v="8"/>
  </r>
  <r>
    <x v="82"/>
    <x v="7"/>
    <x v="10"/>
    <m/>
    <n v="25256"/>
    <n v="1539"/>
    <n v="343.39"/>
    <m/>
    <n v="122"/>
    <x v="2"/>
    <s v="italian food near me"/>
    <s v="Phrase"/>
    <s v="7"/>
  </r>
  <r>
    <x v="82"/>
    <x v="7"/>
    <x v="11"/>
    <m/>
    <n v="22051"/>
    <n v="1541"/>
    <n v="387.62"/>
    <m/>
    <n v="91"/>
    <x v="2"/>
    <s v="competitor italian chain"/>
    <s v="Broad"/>
    <s v="4"/>
  </r>
  <r>
    <x v="82"/>
    <x v="8"/>
    <x v="12"/>
    <m/>
    <n v="129424"/>
    <n v="1469"/>
    <n v="371.3"/>
    <m/>
    <n v="126"/>
    <x v="2"/>
    <s v="N/A"/>
    <s v="N/A"/>
    <s v="N/A"/>
  </r>
  <r>
    <x v="82"/>
    <x v="8"/>
    <x v="13"/>
    <m/>
    <n v="120196"/>
    <n v="1860"/>
    <n v="362.49"/>
    <m/>
    <n v="149"/>
    <x v="2"/>
    <s v="N/A"/>
    <s v="N/A"/>
    <s v="N/A"/>
  </r>
  <r>
    <x v="82"/>
    <x v="9"/>
    <x v="14"/>
    <m/>
    <n v="16222"/>
    <n v="1037"/>
    <n v="214.29"/>
    <m/>
    <n v="86"/>
    <x v="2"/>
    <s v="weekend italian dinner"/>
    <s v="Phrase"/>
    <s v="8"/>
  </r>
  <r>
    <x v="82"/>
    <x v="9"/>
    <x v="14"/>
    <m/>
    <n v="46339"/>
    <n v="2863"/>
    <n v="662.89"/>
    <m/>
    <n v="265"/>
    <x v="2"/>
    <s v="endless pasta deal"/>
    <s v="Exact"/>
    <s v="8"/>
  </r>
  <r>
    <x v="82"/>
    <x v="12"/>
    <x v="17"/>
    <m/>
    <n v="54804"/>
    <n v="3259"/>
    <n v="718.26"/>
    <m/>
    <n v="274"/>
    <x v="2"/>
    <s v="spring dinner specials"/>
    <s v="Phrase"/>
    <s v="8"/>
  </r>
  <r>
    <x v="82"/>
    <x v="12"/>
    <x v="17"/>
    <m/>
    <n v="18972"/>
    <n v="1156"/>
    <n v="208.46"/>
    <m/>
    <n v="107"/>
    <x v="2"/>
    <s v="best spring pasta deal"/>
    <s v="Exact"/>
    <s v="8"/>
  </r>
  <r>
    <x v="83"/>
    <x v="6"/>
    <x v="9"/>
    <m/>
    <n v="54069"/>
    <n v="2752"/>
    <n v="642.67999999999995"/>
    <m/>
    <n v="260"/>
    <x v="2"/>
    <s v="bella cucina restaurant"/>
    <s v="Exact"/>
    <s v="9"/>
  </r>
  <r>
    <x v="83"/>
    <x v="6"/>
    <x v="9"/>
    <m/>
    <n v="41407"/>
    <n v="2665"/>
    <n v="586.46"/>
    <m/>
    <n v="213"/>
    <x v="2"/>
    <s v="bella cucina near me"/>
    <s v="Phrase"/>
    <s v="8"/>
  </r>
  <r>
    <x v="83"/>
    <x v="7"/>
    <x v="10"/>
    <m/>
    <n v="20723"/>
    <n v="1176"/>
    <n v="312.02999999999997"/>
    <m/>
    <n v="80"/>
    <x v="2"/>
    <s v="italian food near me"/>
    <s v="Phrase"/>
    <s v="7"/>
  </r>
  <r>
    <x v="83"/>
    <x v="7"/>
    <x v="11"/>
    <m/>
    <n v="52158"/>
    <n v="3455"/>
    <n v="722.08"/>
    <m/>
    <n v="218"/>
    <x v="2"/>
    <s v="competitor italian chain"/>
    <s v="Broad"/>
    <s v="4"/>
  </r>
  <r>
    <x v="83"/>
    <x v="8"/>
    <x v="12"/>
    <m/>
    <n v="211478"/>
    <n v="2367"/>
    <n v="516.99"/>
    <m/>
    <n v="148"/>
    <x v="2"/>
    <s v="N/A"/>
    <s v="N/A"/>
    <s v="N/A"/>
  </r>
  <r>
    <x v="83"/>
    <x v="8"/>
    <x v="13"/>
    <m/>
    <n v="183470"/>
    <n v="2840"/>
    <n v="690.3"/>
    <m/>
    <n v="197"/>
    <x v="2"/>
    <s v="N/A"/>
    <s v="N/A"/>
    <s v="N/A"/>
  </r>
  <r>
    <x v="83"/>
    <x v="9"/>
    <x v="14"/>
    <m/>
    <n v="20229"/>
    <n v="1400"/>
    <n v="313.32"/>
    <m/>
    <n v="87"/>
    <x v="2"/>
    <s v="weekend italian dinner"/>
    <s v="Phrase"/>
    <s v="8"/>
  </r>
  <r>
    <x v="83"/>
    <x v="9"/>
    <x v="14"/>
    <m/>
    <n v="16040"/>
    <n v="844"/>
    <n v="212.67"/>
    <m/>
    <n v="66"/>
    <x v="2"/>
    <s v="endless pasta deal"/>
    <s v="Exact"/>
    <s v="8"/>
  </r>
  <r>
    <x v="83"/>
    <x v="12"/>
    <x v="17"/>
    <m/>
    <n v="54680"/>
    <n v="3134"/>
    <n v="812.56"/>
    <m/>
    <n v="253"/>
    <x v="2"/>
    <s v="spring dinner specials"/>
    <s v="Phrase"/>
    <s v="8"/>
  </r>
  <r>
    <x v="83"/>
    <x v="12"/>
    <x v="17"/>
    <m/>
    <n v="55571"/>
    <n v="3379"/>
    <n v="890.11"/>
    <m/>
    <n v="246"/>
    <x v="2"/>
    <s v="best spring pasta deal"/>
    <s v="Exact"/>
    <s v="8"/>
  </r>
  <r>
    <x v="84"/>
    <x v="6"/>
    <x v="9"/>
    <m/>
    <n v="14397"/>
    <n v="703"/>
    <n v="130.47999999999999"/>
    <m/>
    <n v="60"/>
    <x v="2"/>
    <s v="bella cucina restaurant"/>
    <s v="Exact"/>
    <s v="9"/>
  </r>
  <r>
    <x v="84"/>
    <x v="6"/>
    <x v="9"/>
    <m/>
    <n v="16646"/>
    <n v="961"/>
    <n v="193.32"/>
    <m/>
    <n v="77"/>
    <x v="2"/>
    <s v="bella cucina near me"/>
    <s v="Phrase"/>
    <s v="8"/>
  </r>
  <r>
    <x v="84"/>
    <x v="7"/>
    <x v="10"/>
    <m/>
    <n v="57567"/>
    <n v="3396"/>
    <n v="841.56"/>
    <m/>
    <n v="305"/>
    <x v="2"/>
    <s v="italian food near me"/>
    <s v="Phrase"/>
    <s v="7"/>
  </r>
  <r>
    <x v="84"/>
    <x v="7"/>
    <x v="11"/>
    <m/>
    <n v="25689"/>
    <n v="1689"/>
    <n v="343.37"/>
    <m/>
    <n v="97"/>
    <x v="2"/>
    <s v="competitor italian chain"/>
    <s v="Broad"/>
    <s v="4"/>
  </r>
  <r>
    <x v="84"/>
    <x v="8"/>
    <x v="12"/>
    <m/>
    <n v="141125"/>
    <n v="1897"/>
    <n v="345.08"/>
    <m/>
    <n v="173"/>
    <x v="2"/>
    <s v="N/A"/>
    <s v="N/A"/>
    <s v="N/A"/>
  </r>
  <r>
    <x v="84"/>
    <x v="8"/>
    <x v="13"/>
    <m/>
    <n v="124803"/>
    <n v="1524"/>
    <n v="373.2"/>
    <m/>
    <n v="84"/>
    <x v="2"/>
    <s v="N/A"/>
    <s v="N/A"/>
    <s v="N/A"/>
  </r>
  <r>
    <x v="84"/>
    <x v="9"/>
    <x v="14"/>
    <m/>
    <n v="17256"/>
    <n v="1202"/>
    <n v="315.01"/>
    <m/>
    <n v="70"/>
    <x v="2"/>
    <s v="weekend italian dinner"/>
    <s v="Phrase"/>
    <s v="8"/>
  </r>
  <r>
    <x v="84"/>
    <x v="9"/>
    <x v="14"/>
    <m/>
    <n v="27541"/>
    <n v="1874"/>
    <n v="349.31"/>
    <m/>
    <n v="164"/>
    <x v="2"/>
    <s v="endless pasta deal"/>
    <s v="Exact"/>
    <s v="8"/>
  </r>
  <r>
    <x v="84"/>
    <x v="12"/>
    <x v="17"/>
    <m/>
    <n v="22726"/>
    <n v="1362"/>
    <n v="354.01"/>
    <m/>
    <n v="86"/>
    <x v="2"/>
    <s v="spring dinner specials"/>
    <s v="Phrase"/>
    <s v="8"/>
  </r>
  <r>
    <x v="84"/>
    <x v="12"/>
    <x v="17"/>
    <m/>
    <n v="30264"/>
    <n v="1762"/>
    <n v="460.15"/>
    <m/>
    <n v="166"/>
    <x v="2"/>
    <s v="best spring pasta deal"/>
    <s v="Exact"/>
    <s v="8"/>
  </r>
  <r>
    <x v="85"/>
    <x v="6"/>
    <x v="9"/>
    <m/>
    <n v="47249"/>
    <n v="2635"/>
    <n v="731.44"/>
    <m/>
    <n v="205"/>
    <x v="2"/>
    <s v="bella cucina restaurant"/>
    <s v="Exact"/>
    <s v="9"/>
  </r>
  <r>
    <x v="85"/>
    <x v="6"/>
    <x v="9"/>
    <m/>
    <n v="24700"/>
    <n v="1376"/>
    <n v="380.42"/>
    <m/>
    <n v="87"/>
    <x v="2"/>
    <s v="bella cucina near me"/>
    <s v="Phrase"/>
    <s v="8"/>
  </r>
  <r>
    <x v="85"/>
    <x v="7"/>
    <x v="10"/>
    <m/>
    <n v="16883"/>
    <n v="1050"/>
    <n v="224.23"/>
    <m/>
    <n v="62"/>
    <x v="2"/>
    <s v="italian food near me"/>
    <s v="Phrase"/>
    <s v="7"/>
  </r>
  <r>
    <x v="85"/>
    <x v="7"/>
    <x v="11"/>
    <m/>
    <n v="25032"/>
    <n v="1656"/>
    <n v="325.91000000000003"/>
    <m/>
    <n v="115"/>
    <x v="2"/>
    <s v="competitor italian chain"/>
    <s v="Broad"/>
    <s v="4"/>
  </r>
  <r>
    <x v="85"/>
    <x v="8"/>
    <x v="12"/>
    <m/>
    <n v="145115"/>
    <n v="1914"/>
    <n v="521.69000000000005"/>
    <m/>
    <n v="108"/>
    <x v="2"/>
    <s v="N/A"/>
    <s v="N/A"/>
    <s v="N/A"/>
  </r>
  <r>
    <x v="85"/>
    <x v="8"/>
    <x v="13"/>
    <m/>
    <n v="134032"/>
    <n v="2004"/>
    <n v="487.41"/>
    <m/>
    <n v="140"/>
    <x v="2"/>
    <s v="N/A"/>
    <s v="N/A"/>
    <s v="N/A"/>
  </r>
  <r>
    <x v="85"/>
    <x v="9"/>
    <x v="14"/>
    <m/>
    <n v="26439"/>
    <n v="1278"/>
    <n v="292.27"/>
    <m/>
    <n v="70"/>
    <x v="2"/>
    <s v="weekend italian dinner"/>
    <s v="Phrase"/>
    <s v="8"/>
  </r>
  <r>
    <x v="85"/>
    <x v="9"/>
    <x v="14"/>
    <m/>
    <n v="28285"/>
    <n v="1986"/>
    <n v="497.84"/>
    <m/>
    <n v="156"/>
    <x v="2"/>
    <s v="endless pasta deal"/>
    <s v="Exact"/>
    <s v="8"/>
  </r>
  <r>
    <x v="85"/>
    <x v="12"/>
    <x v="17"/>
    <m/>
    <n v="37172"/>
    <n v="2155"/>
    <n v="561.9"/>
    <m/>
    <n v="185"/>
    <x v="2"/>
    <s v="spring dinner specials"/>
    <s v="Phrase"/>
    <s v="8"/>
  </r>
  <r>
    <x v="85"/>
    <x v="12"/>
    <x v="17"/>
    <m/>
    <n v="23810"/>
    <n v="1260"/>
    <n v="307.42"/>
    <m/>
    <n v="95"/>
    <x v="2"/>
    <s v="best spring pasta deal"/>
    <s v="Exact"/>
    <s v="8"/>
  </r>
  <r>
    <x v="86"/>
    <x v="6"/>
    <x v="9"/>
    <m/>
    <n v="48102"/>
    <n v="2585"/>
    <n v="510.42"/>
    <m/>
    <n v="213"/>
    <x v="2"/>
    <s v="bella cucina restaurant"/>
    <s v="Exact"/>
    <s v="9"/>
  </r>
  <r>
    <x v="86"/>
    <x v="6"/>
    <x v="9"/>
    <m/>
    <n v="28334"/>
    <n v="1847"/>
    <n v="445.51"/>
    <m/>
    <n v="108"/>
    <x v="2"/>
    <s v="bella cucina near me"/>
    <s v="Phrase"/>
    <s v="8"/>
  </r>
  <r>
    <x v="86"/>
    <x v="7"/>
    <x v="10"/>
    <m/>
    <n v="38660"/>
    <n v="2178"/>
    <n v="393.04"/>
    <m/>
    <n v="140"/>
    <x v="2"/>
    <s v="italian food near me"/>
    <s v="Phrase"/>
    <s v="7"/>
  </r>
  <r>
    <x v="86"/>
    <x v="7"/>
    <x v="11"/>
    <m/>
    <n v="23010"/>
    <n v="1649"/>
    <n v="457.89"/>
    <m/>
    <n v="131"/>
    <x v="2"/>
    <s v="competitor italian chain"/>
    <s v="Broad"/>
    <s v="4"/>
  </r>
  <r>
    <x v="86"/>
    <x v="8"/>
    <x v="12"/>
    <m/>
    <n v="208964"/>
    <n v="2828"/>
    <n v="640.32000000000005"/>
    <m/>
    <n v="226"/>
    <x v="2"/>
    <s v="N/A"/>
    <s v="N/A"/>
    <s v="N/A"/>
  </r>
  <r>
    <x v="86"/>
    <x v="8"/>
    <x v="13"/>
    <m/>
    <n v="152460"/>
    <n v="1887"/>
    <n v="376.21"/>
    <m/>
    <n v="163"/>
    <x v="2"/>
    <s v="N/A"/>
    <s v="N/A"/>
    <s v="N/A"/>
  </r>
  <r>
    <x v="86"/>
    <x v="9"/>
    <x v="14"/>
    <m/>
    <n v="53418"/>
    <n v="3201"/>
    <n v="627.32000000000005"/>
    <m/>
    <n v="294"/>
    <x v="2"/>
    <s v="weekend italian dinner"/>
    <s v="Phrase"/>
    <s v="8"/>
  </r>
  <r>
    <x v="86"/>
    <x v="9"/>
    <x v="14"/>
    <m/>
    <n v="17602"/>
    <n v="1117"/>
    <n v="232.9"/>
    <m/>
    <n v="80"/>
    <x v="2"/>
    <s v="endless pasta deal"/>
    <s v="Exact"/>
    <s v="8"/>
  </r>
  <r>
    <x v="86"/>
    <x v="12"/>
    <x v="17"/>
    <m/>
    <n v="41480"/>
    <n v="2605"/>
    <n v="700.77"/>
    <m/>
    <n v="190"/>
    <x v="2"/>
    <s v="spring dinner specials"/>
    <s v="Phrase"/>
    <s v="8"/>
  </r>
  <r>
    <x v="86"/>
    <x v="12"/>
    <x v="17"/>
    <m/>
    <n v="21895"/>
    <n v="1440"/>
    <n v="392.38"/>
    <m/>
    <n v="89"/>
    <x v="2"/>
    <s v="best spring pasta deal"/>
    <s v="Exact"/>
    <s v="8"/>
  </r>
  <r>
    <x v="87"/>
    <x v="6"/>
    <x v="9"/>
    <m/>
    <n v="15475"/>
    <n v="922"/>
    <n v="176.66"/>
    <m/>
    <n v="83"/>
    <x v="2"/>
    <s v="bella cucina restaurant"/>
    <s v="Exact"/>
    <s v="9"/>
  </r>
  <r>
    <x v="87"/>
    <x v="6"/>
    <x v="9"/>
    <m/>
    <n v="50896"/>
    <n v="3167"/>
    <n v="673.3"/>
    <m/>
    <n v="199"/>
    <x v="2"/>
    <s v="bella cucina near me"/>
    <s v="Phrase"/>
    <s v="8"/>
  </r>
  <r>
    <x v="87"/>
    <x v="7"/>
    <x v="10"/>
    <m/>
    <n v="40747"/>
    <n v="2180"/>
    <n v="416.41"/>
    <m/>
    <n v="139"/>
    <x v="2"/>
    <s v="italian food near me"/>
    <s v="Phrase"/>
    <s v="7"/>
  </r>
  <r>
    <x v="87"/>
    <x v="7"/>
    <x v="11"/>
    <m/>
    <n v="33200"/>
    <n v="2181"/>
    <n v="582.29999999999995"/>
    <m/>
    <n v="152"/>
    <x v="2"/>
    <s v="competitor italian chain"/>
    <s v="Broad"/>
    <s v="4"/>
  </r>
  <r>
    <x v="87"/>
    <x v="8"/>
    <x v="12"/>
    <m/>
    <n v="154598"/>
    <n v="1757"/>
    <n v="419.06"/>
    <m/>
    <n v="100"/>
    <x v="2"/>
    <s v="N/A"/>
    <s v="N/A"/>
    <s v="N/A"/>
  </r>
  <r>
    <x v="87"/>
    <x v="8"/>
    <x v="13"/>
    <m/>
    <n v="191267"/>
    <n v="2242"/>
    <n v="611.59"/>
    <m/>
    <n v="164"/>
    <x v="2"/>
    <s v="N/A"/>
    <s v="N/A"/>
    <s v="N/A"/>
  </r>
  <r>
    <x v="87"/>
    <x v="9"/>
    <x v="14"/>
    <m/>
    <n v="45999"/>
    <n v="2620"/>
    <n v="591.53"/>
    <m/>
    <n v="164"/>
    <x v="2"/>
    <s v="weekend italian dinner"/>
    <s v="Phrase"/>
    <s v="8"/>
  </r>
  <r>
    <x v="87"/>
    <x v="9"/>
    <x v="14"/>
    <m/>
    <n v="43550"/>
    <n v="3110"/>
    <n v="622.69000000000005"/>
    <m/>
    <n v="186"/>
    <x v="2"/>
    <s v="endless pasta deal"/>
    <s v="Exact"/>
    <s v="8"/>
  </r>
  <r>
    <x v="87"/>
    <x v="12"/>
    <x v="17"/>
    <m/>
    <n v="18081"/>
    <n v="989"/>
    <n v="189.01"/>
    <m/>
    <n v="72"/>
    <x v="2"/>
    <s v="spring dinner specials"/>
    <s v="Phrase"/>
    <s v="8"/>
  </r>
  <r>
    <x v="87"/>
    <x v="12"/>
    <x v="17"/>
    <m/>
    <n v="48630"/>
    <n v="2534"/>
    <n v="543.17999999999995"/>
    <m/>
    <n v="229"/>
    <x v="2"/>
    <s v="best spring pasta deal"/>
    <s v="Exact"/>
    <s v="8"/>
  </r>
  <r>
    <x v="88"/>
    <x v="6"/>
    <x v="9"/>
    <m/>
    <n v="26357"/>
    <n v="1764"/>
    <n v="430.06"/>
    <m/>
    <n v="140"/>
    <x v="2"/>
    <s v="bella cucina restaurant"/>
    <s v="Exact"/>
    <s v="9"/>
  </r>
  <r>
    <x v="88"/>
    <x v="6"/>
    <x v="9"/>
    <m/>
    <n v="27476"/>
    <n v="1700"/>
    <n v="399.97"/>
    <m/>
    <n v="109"/>
    <x v="2"/>
    <s v="bella cucina near me"/>
    <s v="Phrase"/>
    <s v="8"/>
  </r>
  <r>
    <x v="88"/>
    <x v="7"/>
    <x v="10"/>
    <m/>
    <n v="48074"/>
    <n v="3296"/>
    <n v="754.52"/>
    <m/>
    <n v="312"/>
    <x v="2"/>
    <s v="italian food near me"/>
    <s v="Phrase"/>
    <s v="7"/>
  </r>
  <r>
    <x v="88"/>
    <x v="7"/>
    <x v="11"/>
    <m/>
    <n v="53339"/>
    <n v="3631"/>
    <n v="754.95"/>
    <m/>
    <n v="305"/>
    <x v="2"/>
    <s v="competitor italian chain"/>
    <s v="Broad"/>
    <s v="4"/>
  </r>
  <r>
    <x v="88"/>
    <x v="8"/>
    <x v="12"/>
    <m/>
    <n v="159027"/>
    <n v="1946"/>
    <n v="434.78"/>
    <m/>
    <n v="124"/>
    <x v="2"/>
    <s v="N/A"/>
    <s v="N/A"/>
    <s v="N/A"/>
  </r>
  <r>
    <x v="88"/>
    <x v="8"/>
    <x v="13"/>
    <m/>
    <n v="217833"/>
    <n v="3426"/>
    <n v="929.73"/>
    <m/>
    <n v="311"/>
    <x v="2"/>
    <s v="N/A"/>
    <s v="N/A"/>
    <s v="N/A"/>
  </r>
  <r>
    <x v="88"/>
    <x v="9"/>
    <x v="14"/>
    <m/>
    <n v="48592"/>
    <n v="3475"/>
    <n v="639.41999999999996"/>
    <m/>
    <n v="256"/>
    <x v="2"/>
    <s v="weekend italian dinner"/>
    <s v="Phrase"/>
    <s v="8"/>
  </r>
  <r>
    <x v="88"/>
    <x v="9"/>
    <x v="14"/>
    <m/>
    <n v="55957"/>
    <n v="2731"/>
    <n v="636.63"/>
    <m/>
    <n v="202"/>
    <x v="2"/>
    <s v="endless pasta deal"/>
    <s v="Exact"/>
    <s v="8"/>
  </r>
  <r>
    <x v="88"/>
    <x v="12"/>
    <x v="17"/>
    <m/>
    <n v="21348"/>
    <n v="1256"/>
    <n v="256.29000000000002"/>
    <m/>
    <n v="97"/>
    <x v="2"/>
    <s v="spring dinner specials"/>
    <s v="Phrase"/>
    <s v="8"/>
  </r>
  <r>
    <x v="88"/>
    <x v="12"/>
    <x v="17"/>
    <m/>
    <n v="14058"/>
    <n v="908"/>
    <n v="200.36"/>
    <m/>
    <n v="57"/>
    <x v="2"/>
    <s v="best spring pasta deal"/>
    <s v="Exact"/>
    <s v="8"/>
  </r>
  <r>
    <x v="89"/>
    <x v="6"/>
    <x v="9"/>
    <m/>
    <n v="43534"/>
    <n v="2398"/>
    <n v="586.94000000000005"/>
    <m/>
    <n v="140"/>
    <x v="2"/>
    <s v="bella cucina restaurant"/>
    <s v="Exact"/>
    <s v="9"/>
  </r>
  <r>
    <x v="89"/>
    <x v="6"/>
    <x v="9"/>
    <m/>
    <n v="53875"/>
    <n v="3451"/>
    <n v="677.02"/>
    <m/>
    <n v="253"/>
    <x v="2"/>
    <s v="bella cucina near me"/>
    <s v="Phrase"/>
    <s v="8"/>
  </r>
  <r>
    <x v="89"/>
    <x v="7"/>
    <x v="10"/>
    <m/>
    <n v="15078"/>
    <n v="1077"/>
    <n v="243.81"/>
    <m/>
    <n v="65"/>
    <x v="2"/>
    <s v="italian food near me"/>
    <s v="Phrase"/>
    <s v="7"/>
  </r>
  <r>
    <x v="89"/>
    <x v="7"/>
    <x v="11"/>
    <m/>
    <n v="47534"/>
    <n v="2492"/>
    <n v="665.75"/>
    <m/>
    <n v="199"/>
    <x v="2"/>
    <s v="competitor italian chain"/>
    <s v="Broad"/>
    <s v="4"/>
  </r>
  <r>
    <x v="89"/>
    <x v="8"/>
    <x v="12"/>
    <m/>
    <n v="117231"/>
    <n v="1793"/>
    <n v="335.42"/>
    <m/>
    <n v="162"/>
    <x v="2"/>
    <s v="N/A"/>
    <s v="N/A"/>
    <s v="N/A"/>
  </r>
  <r>
    <x v="89"/>
    <x v="8"/>
    <x v="13"/>
    <m/>
    <n v="173724"/>
    <n v="2372"/>
    <n v="497.31"/>
    <m/>
    <n v="201"/>
    <x v="2"/>
    <s v="N/A"/>
    <s v="N/A"/>
    <s v="N/A"/>
  </r>
  <r>
    <x v="89"/>
    <x v="9"/>
    <x v="14"/>
    <m/>
    <n v="30647"/>
    <n v="2050"/>
    <n v="385.6"/>
    <m/>
    <n v="184"/>
    <x v="2"/>
    <s v="weekend italian dinner"/>
    <s v="Phrase"/>
    <s v="8"/>
  </r>
  <r>
    <x v="89"/>
    <x v="9"/>
    <x v="14"/>
    <m/>
    <n v="17669"/>
    <n v="1066"/>
    <n v="288.89"/>
    <m/>
    <n v="74"/>
    <x v="2"/>
    <s v="endless pasta deal"/>
    <s v="Exact"/>
    <s v="8"/>
  </r>
  <r>
    <x v="89"/>
    <x v="12"/>
    <x v="17"/>
    <m/>
    <n v="17392"/>
    <n v="881"/>
    <n v="190.79"/>
    <m/>
    <n v="70"/>
    <x v="2"/>
    <s v="spring dinner specials"/>
    <s v="Phrase"/>
    <s v="8"/>
  </r>
  <r>
    <x v="89"/>
    <x v="12"/>
    <x v="17"/>
    <m/>
    <n v="44145"/>
    <n v="2507"/>
    <n v="613.76"/>
    <m/>
    <n v="208"/>
    <x v="2"/>
    <s v="best spring pasta deal"/>
    <s v="Exact"/>
    <s v="8"/>
  </r>
  <r>
    <x v="0"/>
    <x v="0"/>
    <x v="5"/>
    <s v="Single Image"/>
    <n v="56832"/>
    <n v="1701"/>
    <n v="340.36"/>
    <n v="43985"/>
    <n v="80"/>
    <x v="3"/>
    <m/>
    <m/>
    <m/>
  </r>
  <r>
    <x v="0"/>
    <x v="0"/>
    <x v="18"/>
    <s v="Carousel"/>
    <n v="59548"/>
    <n v="1934"/>
    <n v="452.32"/>
    <n v="45873"/>
    <n v="78"/>
    <x v="3"/>
    <m/>
    <m/>
    <m/>
  </r>
  <r>
    <x v="0"/>
    <x v="1"/>
    <x v="2"/>
    <s v="Dynamic"/>
    <n v="38305"/>
    <n v="1272"/>
    <n v="263.49"/>
    <n v="29500"/>
    <n v="67"/>
    <x v="3"/>
    <m/>
    <m/>
    <m/>
  </r>
  <r>
    <x v="0"/>
    <x v="1"/>
    <x v="19"/>
    <s v="Carousel"/>
    <n v="99717"/>
    <n v="3739"/>
    <n v="792.56"/>
    <n v="74710"/>
    <n v="174"/>
    <x v="3"/>
    <m/>
    <m/>
    <m/>
  </r>
  <r>
    <x v="0"/>
    <x v="2"/>
    <x v="5"/>
    <s v="Video"/>
    <n v="54687"/>
    <n v="2214"/>
    <n v="459.34"/>
    <n v="39813"/>
    <n v="121"/>
    <x v="3"/>
    <m/>
    <m/>
    <m/>
  </r>
  <r>
    <x v="0"/>
    <x v="2"/>
    <x v="18"/>
    <s v="Carousel"/>
    <n v="40085"/>
    <n v="1183"/>
    <n v="232.53"/>
    <n v="31655"/>
    <n v="50"/>
    <x v="3"/>
    <m/>
    <m/>
    <m/>
  </r>
  <r>
    <x v="1"/>
    <x v="0"/>
    <x v="5"/>
    <s v="Carousel"/>
    <n v="98247"/>
    <n v="4060"/>
    <n v="736.33"/>
    <n v="74830"/>
    <n v="196"/>
    <x v="3"/>
    <m/>
    <m/>
    <m/>
  </r>
  <r>
    <x v="1"/>
    <x v="0"/>
    <x v="18"/>
    <s v="Carousel"/>
    <n v="92115"/>
    <n v="3026"/>
    <n v="625.27"/>
    <n v="72261"/>
    <n v="111"/>
    <x v="3"/>
    <m/>
    <m/>
    <m/>
  </r>
  <r>
    <x v="1"/>
    <x v="1"/>
    <x v="2"/>
    <s v="Dynamic"/>
    <n v="32888"/>
    <n v="1322"/>
    <n v="256.39"/>
    <n v="26795"/>
    <n v="62"/>
    <x v="3"/>
    <m/>
    <m/>
    <m/>
  </r>
  <r>
    <x v="1"/>
    <x v="1"/>
    <x v="19"/>
    <s v="Carousel"/>
    <n v="105851"/>
    <n v="3471"/>
    <n v="759.33"/>
    <n v="79666"/>
    <n v="158"/>
    <x v="3"/>
    <m/>
    <m/>
    <m/>
  </r>
  <r>
    <x v="1"/>
    <x v="2"/>
    <x v="5"/>
    <s v="Video"/>
    <n v="90031"/>
    <n v="2904"/>
    <n v="545.71"/>
    <n v="71928"/>
    <n v="96"/>
    <x v="3"/>
    <m/>
    <m/>
    <m/>
  </r>
  <r>
    <x v="1"/>
    <x v="2"/>
    <x v="18"/>
    <s v="Carousel"/>
    <n v="59724"/>
    <n v="2077"/>
    <n v="494.83"/>
    <n v="47598"/>
    <n v="61"/>
    <x v="3"/>
    <m/>
    <m/>
    <m/>
  </r>
  <r>
    <x v="2"/>
    <x v="0"/>
    <x v="5"/>
    <s v="Video"/>
    <n v="94183"/>
    <n v="3238"/>
    <n v="615.16"/>
    <n v="76515"/>
    <n v="159"/>
    <x v="3"/>
    <m/>
    <m/>
    <m/>
  </r>
  <r>
    <x v="2"/>
    <x v="0"/>
    <x v="18"/>
    <s v="Single Image"/>
    <n v="75447"/>
    <n v="3140"/>
    <n v="723.33"/>
    <n v="59549"/>
    <n v="150"/>
    <x v="3"/>
    <m/>
    <m/>
    <m/>
  </r>
  <r>
    <x v="2"/>
    <x v="1"/>
    <x v="2"/>
    <s v="Dynamic"/>
    <n v="71589"/>
    <n v="2242"/>
    <n v="409.1"/>
    <n v="53810"/>
    <n v="71"/>
    <x v="3"/>
    <m/>
    <m/>
    <m/>
  </r>
  <r>
    <x v="2"/>
    <x v="1"/>
    <x v="19"/>
    <s v="Carousel"/>
    <n v="109834"/>
    <n v="3359"/>
    <n v="717.98"/>
    <n v="79461"/>
    <n v="125"/>
    <x v="3"/>
    <m/>
    <m/>
    <m/>
  </r>
  <r>
    <x v="2"/>
    <x v="3"/>
    <x v="5"/>
    <s v="Carousel"/>
    <n v="69147"/>
    <n v="2297"/>
    <n v="487.86"/>
    <n v="50910"/>
    <n v="85"/>
    <x v="3"/>
    <m/>
    <m/>
    <m/>
  </r>
  <r>
    <x v="2"/>
    <x v="3"/>
    <x v="18"/>
    <s v="Video"/>
    <n v="116236"/>
    <n v="4769"/>
    <n v="1078.32"/>
    <n v="94706"/>
    <n v="266"/>
    <x v="3"/>
    <m/>
    <m/>
    <m/>
  </r>
  <r>
    <x v="2"/>
    <x v="2"/>
    <x v="5"/>
    <s v="Video"/>
    <n v="42786"/>
    <n v="1779"/>
    <n v="378.52"/>
    <n v="32976"/>
    <n v="84"/>
    <x v="3"/>
    <m/>
    <m/>
    <m/>
  </r>
  <r>
    <x v="2"/>
    <x v="2"/>
    <x v="18"/>
    <s v="Carousel"/>
    <n v="128962"/>
    <n v="5228"/>
    <n v="1245.19"/>
    <n v="102578"/>
    <n v="302"/>
    <x v="3"/>
    <m/>
    <m/>
    <m/>
  </r>
  <r>
    <x v="3"/>
    <x v="0"/>
    <x v="5"/>
    <s v="Single Image"/>
    <n v="68989"/>
    <n v="2703"/>
    <n v="604.70000000000005"/>
    <n v="56034"/>
    <n v="103"/>
    <x v="3"/>
    <m/>
    <m/>
    <m/>
  </r>
  <r>
    <x v="3"/>
    <x v="0"/>
    <x v="18"/>
    <s v="Carousel"/>
    <n v="129893"/>
    <n v="5273"/>
    <n v="993.25"/>
    <n v="100679"/>
    <n v="196"/>
    <x v="3"/>
    <m/>
    <m/>
    <m/>
  </r>
  <r>
    <x v="3"/>
    <x v="1"/>
    <x v="2"/>
    <s v="Carousel"/>
    <n v="82436"/>
    <n v="2822"/>
    <n v="523.62"/>
    <n v="59807"/>
    <n v="133"/>
    <x v="3"/>
    <m/>
    <m/>
    <m/>
  </r>
  <r>
    <x v="3"/>
    <x v="1"/>
    <x v="19"/>
    <s v="Dynamic"/>
    <n v="92999"/>
    <n v="2858"/>
    <n v="528.77"/>
    <n v="74859"/>
    <n v="138"/>
    <x v="3"/>
    <m/>
    <m/>
    <m/>
  </r>
  <r>
    <x v="3"/>
    <x v="3"/>
    <x v="5"/>
    <s v="Video"/>
    <n v="135913"/>
    <n v="4556"/>
    <n v="954.15"/>
    <n v="106055"/>
    <n v="197"/>
    <x v="3"/>
    <m/>
    <m/>
    <m/>
  </r>
  <r>
    <x v="3"/>
    <x v="3"/>
    <x v="18"/>
    <s v="Video"/>
    <n v="108255"/>
    <n v="3633"/>
    <n v="810.01"/>
    <n v="82573"/>
    <n v="143"/>
    <x v="3"/>
    <m/>
    <m/>
    <m/>
  </r>
  <r>
    <x v="3"/>
    <x v="2"/>
    <x v="5"/>
    <s v="Video"/>
    <n v="94232"/>
    <n v="3093"/>
    <n v="613.91"/>
    <n v="72045"/>
    <n v="138"/>
    <x v="3"/>
    <m/>
    <m/>
    <m/>
  </r>
  <r>
    <x v="3"/>
    <x v="2"/>
    <x v="18"/>
    <s v="Carousel"/>
    <n v="123513"/>
    <n v="4740"/>
    <n v="971.4"/>
    <n v="94394"/>
    <n v="156"/>
    <x v="3"/>
    <m/>
    <m/>
    <m/>
  </r>
  <r>
    <x v="4"/>
    <x v="0"/>
    <x v="5"/>
    <s v="Single Image"/>
    <n v="85552"/>
    <n v="3268"/>
    <n v="669.46"/>
    <n v="68745"/>
    <n v="150"/>
    <x v="3"/>
    <m/>
    <m/>
    <m/>
  </r>
  <r>
    <x v="4"/>
    <x v="0"/>
    <x v="18"/>
    <s v="Carousel"/>
    <n v="57234"/>
    <n v="1845"/>
    <n v="441.51"/>
    <n v="44214"/>
    <n v="70"/>
    <x v="3"/>
    <m/>
    <m/>
    <m/>
  </r>
  <r>
    <x v="4"/>
    <x v="1"/>
    <x v="2"/>
    <s v="Carousel"/>
    <n v="41593"/>
    <n v="1168"/>
    <n v="255.01"/>
    <n v="31083"/>
    <n v="38"/>
    <x v="3"/>
    <m/>
    <m/>
    <m/>
  </r>
  <r>
    <x v="4"/>
    <x v="1"/>
    <x v="19"/>
    <s v="Carousel"/>
    <n v="104437"/>
    <n v="4028"/>
    <n v="758.13"/>
    <n v="77137"/>
    <n v="158"/>
    <x v="3"/>
    <m/>
    <m/>
    <m/>
  </r>
  <r>
    <x v="4"/>
    <x v="2"/>
    <x v="5"/>
    <s v="Video"/>
    <n v="35535"/>
    <n v="1404"/>
    <n v="278.16000000000003"/>
    <n v="27664"/>
    <n v="60"/>
    <x v="3"/>
    <m/>
    <m/>
    <m/>
  </r>
  <r>
    <x v="4"/>
    <x v="2"/>
    <x v="18"/>
    <s v="Carousel"/>
    <n v="59428"/>
    <n v="1686"/>
    <n v="303.73"/>
    <n v="44349"/>
    <n v="95"/>
    <x v="3"/>
    <m/>
    <m/>
    <m/>
  </r>
  <r>
    <x v="5"/>
    <x v="0"/>
    <x v="5"/>
    <s v="Single Image"/>
    <n v="91936"/>
    <n v="2734"/>
    <n v="601.36"/>
    <n v="68838"/>
    <n v="91"/>
    <x v="3"/>
    <m/>
    <m/>
    <m/>
  </r>
  <r>
    <x v="5"/>
    <x v="0"/>
    <x v="18"/>
    <s v="Carousel"/>
    <n v="33728"/>
    <n v="1000"/>
    <n v="196.63"/>
    <n v="27637"/>
    <n v="30"/>
    <x v="3"/>
    <m/>
    <m/>
    <m/>
  </r>
  <r>
    <x v="5"/>
    <x v="1"/>
    <x v="2"/>
    <s v="Carousel"/>
    <n v="106161"/>
    <n v="3686"/>
    <n v="759.92"/>
    <n v="79173"/>
    <n v="179"/>
    <x v="3"/>
    <m/>
    <m/>
    <m/>
  </r>
  <r>
    <x v="5"/>
    <x v="1"/>
    <x v="19"/>
    <s v="Dynamic"/>
    <n v="78916"/>
    <n v="2775"/>
    <n v="595.28"/>
    <n v="63490"/>
    <n v="91"/>
    <x v="3"/>
    <m/>
    <m/>
    <m/>
  </r>
  <r>
    <x v="5"/>
    <x v="2"/>
    <x v="5"/>
    <s v="Video"/>
    <n v="49154"/>
    <n v="1596"/>
    <n v="371.39"/>
    <n v="36056"/>
    <n v="52"/>
    <x v="3"/>
    <m/>
    <m/>
    <m/>
  </r>
  <r>
    <x v="5"/>
    <x v="2"/>
    <x v="18"/>
    <s v="Carousel"/>
    <n v="77338"/>
    <n v="2619"/>
    <n v="614.75"/>
    <n v="58436"/>
    <n v="96"/>
    <x v="3"/>
    <m/>
    <m/>
    <m/>
  </r>
  <r>
    <x v="6"/>
    <x v="0"/>
    <x v="5"/>
    <s v="Single Image"/>
    <n v="40069"/>
    <n v="1410"/>
    <n v="318.64"/>
    <n v="29583"/>
    <n v="43"/>
    <x v="3"/>
    <m/>
    <m/>
    <m/>
  </r>
  <r>
    <x v="6"/>
    <x v="0"/>
    <x v="18"/>
    <s v="Carousel"/>
    <n v="101265"/>
    <n v="3292"/>
    <n v="655.02"/>
    <n v="81467"/>
    <n v="171"/>
    <x v="3"/>
    <m/>
    <m/>
    <m/>
  </r>
  <r>
    <x v="6"/>
    <x v="1"/>
    <x v="2"/>
    <s v="Carousel"/>
    <n v="77516"/>
    <n v="2274"/>
    <n v="488.46"/>
    <n v="62193"/>
    <n v="64"/>
    <x v="3"/>
    <m/>
    <m/>
    <m/>
  </r>
  <r>
    <x v="6"/>
    <x v="1"/>
    <x v="19"/>
    <s v="Carousel"/>
    <n v="78891"/>
    <n v="3069"/>
    <n v="628.28"/>
    <n v="64066"/>
    <n v="100"/>
    <x v="3"/>
    <m/>
    <m/>
    <m/>
  </r>
  <r>
    <x v="6"/>
    <x v="2"/>
    <x v="5"/>
    <s v="Video"/>
    <n v="50257"/>
    <n v="1761"/>
    <n v="404.84"/>
    <n v="40181"/>
    <n v="78"/>
    <x v="3"/>
    <m/>
    <m/>
    <m/>
  </r>
  <r>
    <x v="6"/>
    <x v="2"/>
    <x v="18"/>
    <s v="Carousel"/>
    <n v="84702"/>
    <n v="2917"/>
    <n v="538.42999999999995"/>
    <n v="67921"/>
    <n v="162"/>
    <x v="3"/>
    <m/>
    <m/>
    <m/>
  </r>
  <r>
    <x v="7"/>
    <x v="0"/>
    <x v="5"/>
    <s v="Video"/>
    <n v="75640"/>
    <n v="2447"/>
    <n v="493.69"/>
    <n v="60640"/>
    <n v="133"/>
    <x v="3"/>
    <m/>
    <m/>
    <m/>
  </r>
  <r>
    <x v="7"/>
    <x v="0"/>
    <x v="18"/>
    <s v="Single Image"/>
    <n v="52571"/>
    <n v="1994"/>
    <n v="362.36"/>
    <n v="42133"/>
    <n v="69"/>
    <x v="3"/>
    <m/>
    <m/>
    <m/>
  </r>
  <r>
    <x v="7"/>
    <x v="1"/>
    <x v="2"/>
    <s v="Dynamic"/>
    <n v="59697"/>
    <n v="1928"/>
    <n v="371.31"/>
    <n v="48838"/>
    <n v="78"/>
    <x v="3"/>
    <m/>
    <m/>
    <m/>
  </r>
  <r>
    <x v="7"/>
    <x v="1"/>
    <x v="19"/>
    <s v="Dynamic"/>
    <n v="40188"/>
    <n v="1135"/>
    <n v="237.28"/>
    <n v="30668"/>
    <n v="38"/>
    <x v="3"/>
    <m/>
    <m/>
    <m/>
  </r>
  <r>
    <x v="7"/>
    <x v="2"/>
    <x v="5"/>
    <s v="Video"/>
    <n v="97302"/>
    <n v="3532"/>
    <n v="735.17"/>
    <n v="78897"/>
    <n v="103"/>
    <x v="3"/>
    <m/>
    <m/>
    <m/>
  </r>
  <r>
    <x v="7"/>
    <x v="2"/>
    <x v="18"/>
    <s v="Carousel"/>
    <n v="31346"/>
    <n v="1208"/>
    <n v="274.14999999999998"/>
    <n v="25453"/>
    <n v="41"/>
    <x v="3"/>
    <m/>
    <m/>
    <m/>
  </r>
  <r>
    <x v="8"/>
    <x v="0"/>
    <x v="5"/>
    <s v="Carousel"/>
    <n v="54219"/>
    <n v="2027"/>
    <n v="368.42"/>
    <n v="39826"/>
    <n v="102"/>
    <x v="3"/>
    <m/>
    <m/>
    <m/>
  </r>
  <r>
    <x v="8"/>
    <x v="0"/>
    <x v="18"/>
    <s v="Single Image"/>
    <n v="105989"/>
    <n v="3483"/>
    <n v="660.49"/>
    <n v="81618"/>
    <n v="173"/>
    <x v="3"/>
    <m/>
    <m/>
    <m/>
  </r>
  <r>
    <x v="8"/>
    <x v="1"/>
    <x v="2"/>
    <s v="Dynamic"/>
    <n v="96179"/>
    <n v="3460"/>
    <n v="643.37"/>
    <n v="74809"/>
    <n v="98"/>
    <x v="3"/>
    <m/>
    <m/>
    <m/>
  </r>
  <r>
    <x v="8"/>
    <x v="1"/>
    <x v="19"/>
    <s v="Dynamic"/>
    <n v="55106"/>
    <n v="2286"/>
    <n v="435.04"/>
    <n v="43831"/>
    <n v="64"/>
    <x v="3"/>
    <m/>
    <m/>
    <m/>
  </r>
  <r>
    <x v="8"/>
    <x v="2"/>
    <x v="5"/>
    <s v="Video"/>
    <n v="58051"/>
    <n v="2373"/>
    <n v="548.35"/>
    <n v="44552"/>
    <n v="116"/>
    <x v="3"/>
    <m/>
    <m/>
    <m/>
  </r>
  <r>
    <x v="8"/>
    <x v="2"/>
    <x v="18"/>
    <s v="Carousel"/>
    <n v="87627"/>
    <n v="3279"/>
    <n v="611.34"/>
    <n v="70406"/>
    <n v="188"/>
    <x v="3"/>
    <m/>
    <m/>
    <m/>
  </r>
  <r>
    <x v="9"/>
    <x v="0"/>
    <x v="5"/>
    <s v="Video"/>
    <n v="81319"/>
    <n v="2862"/>
    <n v="585.15"/>
    <n v="64741"/>
    <n v="107"/>
    <x v="3"/>
    <m/>
    <m/>
    <m/>
  </r>
  <r>
    <x v="9"/>
    <x v="0"/>
    <x v="18"/>
    <s v="Single Image"/>
    <n v="62242"/>
    <n v="2195"/>
    <n v="460.4"/>
    <n v="47062"/>
    <n v="80"/>
    <x v="3"/>
    <m/>
    <m/>
    <m/>
  </r>
  <r>
    <x v="9"/>
    <x v="1"/>
    <x v="2"/>
    <s v="Dynamic"/>
    <n v="57092"/>
    <n v="1860"/>
    <n v="347.71"/>
    <n v="42725"/>
    <n v="85"/>
    <x v="3"/>
    <m/>
    <m/>
    <m/>
  </r>
  <r>
    <x v="9"/>
    <x v="1"/>
    <x v="19"/>
    <s v="Carousel"/>
    <n v="123465"/>
    <n v="3847"/>
    <n v="786.47"/>
    <n v="101055"/>
    <n v="157"/>
    <x v="3"/>
    <m/>
    <m/>
    <m/>
  </r>
  <r>
    <x v="9"/>
    <x v="3"/>
    <x v="5"/>
    <s v="Video"/>
    <n v="129285"/>
    <n v="5319"/>
    <n v="1074.69"/>
    <n v="93250"/>
    <n v="256"/>
    <x v="3"/>
    <m/>
    <m/>
    <m/>
  </r>
  <r>
    <x v="9"/>
    <x v="3"/>
    <x v="18"/>
    <s v="Video"/>
    <n v="114732"/>
    <n v="3916"/>
    <n v="859.61"/>
    <n v="83582"/>
    <n v="126"/>
    <x v="3"/>
    <m/>
    <m/>
    <m/>
  </r>
  <r>
    <x v="9"/>
    <x v="2"/>
    <x v="5"/>
    <s v="Video"/>
    <n v="150367"/>
    <n v="6268"/>
    <n v="1407.08"/>
    <n v="121683"/>
    <n v="207"/>
    <x v="3"/>
    <m/>
    <m/>
    <m/>
  </r>
  <r>
    <x v="9"/>
    <x v="2"/>
    <x v="18"/>
    <s v="Carousel"/>
    <n v="78531"/>
    <n v="2571"/>
    <n v="554.55999999999995"/>
    <n v="64322"/>
    <n v="81"/>
    <x v="3"/>
    <m/>
    <m/>
    <m/>
  </r>
  <r>
    <x v="10"/>
    <x v="0"/>
    <x v="5"/>
    <s v="Video"/>
    <n v="133586"/>
    <n v="4261"/>
    <n v="949.39"/>
    <n v="103955"/>
    <n v="154"/>
    <x v="3"/>
    <m/>
    <m/>
    <m/>
  </r>
  <r>
    <x v="10"/>
    <x v="0"/>
    <x v="18"/>
    <s v="Single Image"/>
    <n v="107343"/>
    <n v="3720"/>
    <n v="804.23"/>
    <n v="81628"/>
    <n v="158"/>
    <x v="3"/>
    <m/>
    <m/>
    <m/>
  </r>
  <r>
    <x v="10"/>
    <x v="1"/>
    <x v="2"/>
    <s v="Carousel"/>
    <n v="69042"/>
    <n v="2675"/>
    <n v="498.84"/>
    <n v="51441"/>
    <n v="114"/>
    <x v="3"/>
    <m/>
    <m/>
    <m/>
  </r>
  <r>
    <x v="10"/>
    <x v="1"/>
    <x v="19"/>
    <s v="Dynamic"/>
    <n v="47453"/>
    <n v="1394"/>
    <n v="255.34"/>
    <n v="34489"/>
    <n v="67"/>
    <x v="3"/>
    <m/>
    <m/>
    <m/>
  </r>
  <r>
    <x v="10"/>
    <x v="3"/>
    <x v="5"/>
    <s v="Video"/>
    <n v="112212"/>
    <n v="4091"/>
    <n v="816.63"/>
    <n v="84189"/>
    <n v="191"/>
    <x v="3"/>
    <m/>
    <m/>
    <m/>
  </r>
  <r>
    <x v="10"/>
    <x v="3"/>
    <x v="18"/>
    <s v="Video"/>
    <n v="137410"/>
    <n v="5324"/>
    <n v="1211.55"/>
    <n v="101709"/>
    <n v="254"/>
    <x v="3"/>
    <m/>
    <m/>
    <m/>
  </r>
  <r>
    <x v="10"/>
    <x v="2"/>
    <x v="5"/>
    <s v="Video"/>
    <n v="134629"/>
    <n v="4262"/>
    <n v="855.03"/>
    <n v="108506"/>
    <n v="189"/>
    <x v="3"/>
    <m/>
    <m/>
    <m/>
  </r>
  <r>
    <x v="10"/>
    <x v="2"/>
    <x v="18"/>
    <s v="Carousel"/>
    <n v="120979"/>
    <n v="4878"/>
    <n v="912.91"/>
    <n v="92550"/>
    <n v="261"/>
    <x v="3"/>
    <m/>
    <m/>
    <m/>
  </r>
  <r>
    <x v="11"/>
    <x v="0"/>
    <x v="5"/>
    <s v="Video"/>
    <n v="90248"/>
    <n v="2572"/>
    <n v="490.25"/>
    <n v="70929"/>
    <n v="132"/>
    <x v="3"/>
    <m/>
    <m/>
    <m/>
  </r>
  <r>
    <x v="11"/>
    <x v="0"/>
    <x v="18"/>
    <s v="Carousel"/>
    <n v="94419"/>
    <n v="3213"/>
    <n v="638.58000000000004"/>
    <n v="71655"/>
    <n v="163"/>
    <x v="3"/>
    <m/>
    <m/>
    <m/>
  </r>
  <r>
    <x v="11"/>
    <x v="1"/>
    <x v="2"/>
    <s v="Carousel"/>
    <n v="102585"/>
    <n v="3856"/>
    <n v="826.47"/>
    <n v="78743"/>
    <n v="206"/>
    <x v="3"/>
    <m/>
    <m/>
    <m/>
  </r>
  <r>
    <x v="11"/>
    <x v="1"/>
    <x v="19"/>
    <s v="Dynamic"/>
    <n v="81299"/>
    <n v="2576"/>
    <n v="555.03"/>
    <n v="61606"/>
    <n v="124"/>
    <x v="3"/>
    <m/>
    <m/>
    <m/>
  </r>
  <r>
    <x v="11"/>
    <x v="2"/>
    <x v="5"/>
    <s v="Video"/>
    <n v="72006"/>
    <n v="2078"/>
    <n v="447.66"/>
    <n v="52767"/>
    <n v="81"/>
    <x v="3"/>
    <m/>
    <m/>
    <m/>
  </r>
  <r>
    <x v="11"/>
    <x v="2"/>
    <x v="18"/>
    <s v="Carousel"/>
    <n v="74729"/>
    <n v="2490"/>
    <n v="512.16999999999996"/>
    <n v="61217"/>
    <n v="100"/>
    <x v="3"/>
    <m/>
    <m/>
    <m/>
  </r>
  <r>
    <x v="12"/>
    <x v="0"/>
    <x v="5"/>
    <s v="Carousel"/>
    <n v="62011"/>
    <n v="1951"/>
    <n v="427.04"/>
    <n v="48322"/>
    <n v="107"/>
    <x v="3"/>
    <m/>
    <m/>
    <m/>
  </r>
  <r>
    <x v="12"/>
    <x v="0"/>
    <x v="18"/>
    <s v="Carousel"/>
    <n v="69965"/>
    <n v="2071"/>
    <n v="393.88"/>
    <n v="54141"/>
    <n v="60"/>
    <x v="3"/>
    <m/>
    <m/>
    <m/>
  </r>
  <r>
    <x v="12"/>
    <x v="1"/>
    <x v="2"/>
    <s v="Carousel"/>
    <n v="104455"/>
    <n v="3677"/>
    <n v="754.78"/>
    <n v="75420"/>
    <n v="154"/>
    <x v="3"/>
    <m/>
    <m/>
    <m/>
  </r>
  <r>
    <x v="12"/>
    <x v="1"/>
    <x v="19"/>
    <s v="Dynamic"/>
    <n v="71486"/>
    <n v="2379"/>
    <n v="483.93"/>
    <n v="55562"/>
    <n v="124"/>
    <x v="3"/>
    <m/>
    <m/>
    <m/>
  </r>
  <r>
    <x v="12"/>
    <x v="2"/>
    <x v="5"/>
    <s v="Video"/>
    <n v="56988"/>
    <n v="1863"/>
    <n v="391.54"/>
    <n v="45390"/>
    <n v="71"/>
    <x v="3"/>
    <m/>
    <m/>
    <m/>
  </r>
  <r>
    <x v="12"/>
    <x v="2"/>
    <x v="18"/>
    <s v="Carousel"/>
    <n v="77622"/>
    <n v="3226"/>
    <n v="619.73"/>
    <n v="60820"/>
    <n v="184"/>
    <x v="3"/>
    <m/>
    <m/>
    <m/>
  </r>
  <r>
    <x v="13"/>
    <x v="0"/>
    <x v="5"/>
    <s v="Carousel"/>
    <n v="100232"/>
    <n v="3106"/>
    <n v="608.49"/>
    <n v="75147"/>
    <n v="140"/>
    <x v="3"/>
    <m/>
    <m/>
    <m/>
  </r>
  <r>
    <x v="13"/>
    <x v="0"/>
    <x v="18"/>
    <s v="Carousel"/>
    <n v="42053"/>
    <n v="1600"/>
    <n v="343.51"/>
    <n v="32767"/>
    <n v="57"/>
    <x v="3"/>
    <m/>
    <m/>
    <m/>
  </r>
  <r>
    <x v="13"/>
    <x v="1"/>
    <x v="2"/>
    <s v="Carousel"/>
    <n v="85981"/>
    <n v="2659"/>
    <n v="605.55999999999995"/>
    <n v="67508"/>
    <n v="98"/>
    <x v="3"/>
    <m/>
    <m/>
    <m/>
  </r>
  <r>
    <x v="13"/>
    <x v="1"/>
    <x v="19"/>
    <s v="Carousel"/>
    <n v="86742"/>
    <n v="3234"/>
    <n v="642.91999999999996"/>
    <n v="66048"/>
    <n v="114"/>
    <x v="3"/>
    <m/>
    <m/>
    <m/>
  </r>
  <r>
    <x v="13"/>
    <x v="2"/>
    <x v="5"/>
    <s v="Video"/>
    <n v="101770"/>
    <n v="3106"/>
    <n v="562.54999999999995"/>
    <n v="80432"/>
    <n v="167"/>
    <x v="3"/>
    <m/>
    <m/>
    <m/>
  </r>
  <r>
    <x v="13"/>
    <x v="2"/>
    <x v="18"/>
    <s v="Carousel"/>
    <n v="57912"/>
    <n v="2157"/>
    <n v="494.89"/>
    <n v="47129"/>
    <n v="77"/>
    <x v="3"/>
    <m/>
    <m/>
    <m/>
  </r>
  <r>
    <x v="14"/>
    <x v="0"/>
    <x v="5"/>
    <s v="Single Image"/>
    <n v="99824"/>
    <n v="3925"/>
    <n v="907.33"/>
    <n v="80925"/>
    <n v="219"/>
    <x v="3"/>
    <m/>
    <m/>
    <m/>
  </r>
  <r>
    <x v="14"/>
    <x v="0"/>
    <x v="18"/>
    <s v="Carousel"/>
    <n v="98454"/>
    <n v="3033"/>
    <n v="630.1"/>
    <n v="73253"/>
    <n v="152"/>
    <x v="3"/>
    <m/>
    <m/>
    <m/>
  </r>
  <r>
    <x v="14"/>
    <x v="1"/>
    <x v="2"/>
    <s v="Carousel"/>
    <n v="87067"/>
    <n v="2937"/>
    <n v="680.24"/>
    <n v="70621"/>
    <n v="138"/>
    <x v="3"/>
    <m/>
    <m/>
    <m/>
  </r>
  <r>
    <x v="14"/>
    <x v="1"/>
    <x v="19"/>
    <s v="Carousel"/>
    <n v="64987"/>
    <n v="2569"/>
    <n v="562"/>
    <n v="48457"/>
    <n v="118"/>
    <x v="3"/>
    <m/>
    <m/>
    <m/>
  </r>
  <r>
    <x v="14"/>
    <x v="2"/>
    <x v="5"/>
    <s v="Video"/>
    <n v="61258"/>
    <n v="1812"/>
    <n v="347.03"/>
    <n v="45610"/>
    <n v="95"/>
    <x v="3"/>
    <m/>
    <m/>
    <m/>
  </r>
  <r>
    <x v="14"/>
    <x v="2"/>
    <x v="18"/>
    <s v="Carousel"/>
    <n v="93620"/>
    <n v="3355"/>
    <n v="691.69"/>
    <n v="73462"/>
    <n v="97"/>
    <x v="3"/>
    <m/>
    <m/>
    <m/>
  </r>
  <r>
    <x v="15"/>
    <x v="0"/>
    <x v="5"/>
    <s v="Carousel"/>
    <n v="65744"/>
    <n v="1966"/>
    <n v="384.36"/>
    <n v="52618"/>
    <n v="93"/>
    <x v="3"/>
    <m/>
    <m/>
    <m/>
  </r>
  <r>
    <x v="15"/>
    <x v="0"/>
    <x v="18"/>
    <s v="Carousel"/>
    <n v="35535"/>
    <n v="1474"/>
    <n v="308.29000000000002"/>
    <n v="25655"/>
    <n v="79"/>
    <x v="3"/>
    <m/>
    <m/>
    <m/>
  </r>
  <r>
    <x v="15"/>
    <x v="1"/>
    <x v="2"/>
    <s v="Dynamic"/>
    <n v="71144"/>
    <n v="2591"/>
    <n v="601.19000000000005"/>
    <n v="57630"/>
    <n v="104"/>
    <x v="3"/>
    <m/>
    <m/>
    <m/>
  </r>
  <r>
    <x v="15"/>
    <x v="1"/>
    <x v="19"/>
    <s v="Carousel"/>
    <n v="41836"/>
    <n v="1403"/>
    <n v="323.24"/>
    <n v="33647"/>
    <n v="49"/>
    <x v="3"/>
    <m/>
    <m/>
    <m/>
  </r>
  <r>
    <x v="15"/>
    <x v="2"/>
    <x v="5"/>
    <s v="Video"/>
    <n v="98414"/>
    <n v="3670"/>
    <n v="788.41"/>
    <n v="78486"/>
    <n v="160"/>
    <x v="3"/>
    <m/>
    <m/>
    <m/>
  </r>
  <r>
    <x v="15"/>
    <x v="2"/>
    <x v="18"/>
    <s v="Carousel"/>
    <n v="41829"/>
    <n v="1310"/>
    <n v="245.41"/>
    <n v="33491"/>
    <n v="49"/>
    <x v="3"/>
    <m/>
    <m/>
    <m/>
  </r>
  <r>
    <x v="16"/>
    <x v="0"/>
    <x v="5"/>
    <s v="Single Image"/>
    <n v="113555"/>
    <n v="4460"/>
    <n v="1001.88"/>
    <n v="92382"/>
    <n v="154"/>
    <x v="3"/>
    <m/>
    <m/>
    <m/>
  </r>
  <r>
    <x v="16"/>
    <x v="0"/>
    <x v="18"/>
    <s v="Carousel"/>
    <n v="74139"/>
    <n v="2298"/>
    <n v="451.49"/>
    <n v="56407"/>
    <n v="123"/>
    <x v="3"/>
    <m/>
    <m/>
    <m/>
  </r>
  <r>
    <x v="16"/>
    <x v="1"/>
    <x v="2"/>
    <s v="Dynamic"/>
    <n v="131980"/>
    <n v="4681"/>
    <n v="1039.07"/>
    <n v="96516"/>
    <n v="207"/>
    <x v="3"/>
    <m/>
    <m/>
    <m/>
  </r>
  <r>
    <x v="16"/>
    <x v="1"/>
    <x v="19"/>
    <s v="Carousel"/>
    <n v="87204"/>
    <n v="3617"/>
    <n v="841.91"/>
    <n v="70957"/>
    <n v="140"/>
    <x v="3"/>
    <m/>
    <m/>
    <m/>
  </r>
  <r>
    <x v="16"/>
    <x v="3"/>
    <x v="5"/>
    <s v="Carousel"/>
    <n v="98548"/>
    <n v="2788"/>
    <n v="663.57"/>
    <n v="76924"/>
    <n v="148"/>
    <x v="3"/>
    <m/>
    <m/>
    <m/>
  </r>
  <r>
    <x v="16"/>
    <x v="3"/>
    <x v="18"/>
    <s v="Video"/>
    <n v="85979"/>
    <n v="2711"/>
    <n v="550.54999999999995"/>
    <n v="67398"/>
    <n v="132"/>
    <x v="3"/>
    <m/>
    <m/>
    <m/>
  </r>
  <r>
    <x v="16"/>
    <x v="2"/>
    <x v="5"/>
    <s v="Video"/>
    <n v="140155"/>
    <n v="5625"/>
    <n v="1301.96"/>
    <n v="106356"/>
    <n v="311"/>
    <x v="3"/>
    <m/>
    <m/>
    <m/>
  </r>
  <r>
    <x v="16"/>
    <x v="2"/>
    <x v="18"/>
    <s v="Carousel"/>
    <n v="88890"/>
    <n v="2863"/>
    <n v="676.18"/>
    <n v="70726"/>
    <n v="105"/>
    <x v="3"/>
    <m/>
    <m/>
    <m/>
  </r>
  <r>
    <x v="17"/>
    <x v="0"/>
    <x v="5"/>
    <s v="Carousel"/>
    <n v="122527"/>
    <n v="4513"/>
    <n v="1050.48"/>
    <n v="97614"/>
    <n v="181"/>
    <x v="3"/>
    <m/>
    <m/>
    <m/>
  </r>
  <r>
    <x v="17"/>
    <x v="0"/>
    <x v="18"/>
    <s v="Carousel"/>
    <n v="92285"/>
    <n v="3703"/>
    <n v="849.44"/>
    <n v="75124"/>
    <n v="156"/>
    <x v="3"/>
    <m/>
    <m/>
    <m/>
  </r>
  <r>
    <x v="17"/>
    <x v="1"/>
    <x v="2"/>
    <s v="Carousel"/>
    <n v="103054"/>
    <n v="3920"/>
    <n v="911.81"/>
    <n v="82651"/>
    <n v="206"/>
    <x v="3"/>
    <m/>
    <m/>
    <m/>
  </r>
  <r>
    <x v="17"/>
    <x v="1"/>
    <x v="19"/>
    <s v="Carousel"/>
    <n v="134912"/>
    <n v="3902"/>
    <n v="800.89"/>
    <n v="106974"/>
    <n v="173"/>
    <x v="3"/>
    <m/>
    <m/>
    <m/>
  </r>
  <r>
    <x v="17"/>
    <x v="3"/>
    <x v="5"/>
    <s v="Carousel"/>
    <n v="125172"/>
    <n v="4723"/>
    <n v="1066.07"/>
    <n v="98152"/>
    <n v="158"/>
    <x v="3"/>
    <m/>
    <m/>
    <m/>
  </r>
  <r>
    <x v="17"/>
    <x v="3"/>
    <x v="18"/>
    <s v="Carousel"/>
    <n v="66971"/>
    <n v="1878"/>
    <n v="360.58"/>
    <n v="50265"/>
    <n v="85"/>
    <x v="3"/>
    <m/>
    <m/>
    <m/>
  </r>
  <r>
    <x v="17"/>
    <x v="2"/>
    <x v="5"/>
    <s v="Video"/>
    <n v="70960"/>
    <n v="2234"/>
    <n v="497.77"/>
    <n v="56538"/>
    <n v="106"/>
    <x v="3"/>
    <m/>
    <m/>
    <m/>
  </r>
  <r>
    <x v="17"/>
    <x v="2"/>
    <x v="18"/>
    <s v="Carousel"/>
    <n v="151001"/>
    <n v="5677"/>
    <n v="1291.8499999999999"/>
    <n v="113543"/>
    <n v="240"/>
    <x v="3"/>
    <m/>
    <m/>
    <m/>
  </r>
  <r>
    <x v="18"/>
    <x v="0"/>
    <x v="5"/>
    <s v="Single Image"/>
    <n v="47499"/>
    <n v="1503"/>
    <n v="332.54"/>
    <n v="38126"/>
    <n v="78"/>
    <x v="3"/>
    <m/>
    <m/>
    <m/>
  </r>
  <r>
    <x v="18"/>
    <x v="0"/>
    <x v="18"/>
    <s v="Carousel"/>
    <n v="41062"/>
    <n v="1388"/>
    <n v="264.99"/>
    <n v="33163"/>
    <n v="78"/>
    <x v="3"/>
    <m/>
    <m/>
    <m/>
  </r>
  <r>
    <x v="18"/>
    <x v="1"/>
    <x v="2"/>
    <s v="Dynamic"/>
    <n v="32717"/>
    <n v="1350"/>
    <n v="317.77"/>
    <n v="25673"/>
    <n v="63"/>
    <x v="3"/>
    <m/>
    <m/>
    <m/>
  </r>
  <r>
    <x v="18"/>
    <x v="1"/>
    <x v="19"/>
    <s v="Dynamic"/>
    <n v="90610"/>
    <n v="2788"/>
    <n v="619.15"/>
    <n v="66768"/>
    <n v="111"/>
    <x v="3"/>
    <m/>
    <m/>
    <m/>
  </r>
  <r>
    <x v="18"/>
    <x v="2"/>
    <x v="5"/>
    <s v="Video"/>
    <n v="108694"/>
    <n v="3439"/>
    <n v="637.4"/>
    <n v="82258"/>
    <n v="194"/>
    <x v="3"/>
    <m/>
    <m/>
    <m/>
  </r>
  <r>
    <x v="18"/>
    <x v="2"/>
    <x v="18"/>
    <s v="Carousel"/>
    <n v="31850"/>
    <n v="1212"/>
    <n v="249.8"/>
    <n v="25862"/>
    <n v="50"/>
    <x v="3"/>
    <m/>
    <m/>
    <m/>
  </r>
  <r>
    <x v="19"/>
    <x v="0"/>
    <x v="5"/>
    <s v="Single Image"/>
    <n v="94769"/>
    <n v="2810"/>
    <n v="626.11"/>
    <n v="70039"/>
    <n v="151"/>
    <x v="3"/>
    <m/>
    <m/>
    <m/>
  </r>
  <r>
    <x v="19"/>
    <x v="0"/>
    <x v="18"/>
    <s v="Single Image"/>
    <n v="67743"/>
    <n v="2604"/>
    <n v="528.41999999999996"/>
    <n v="51696"/>
    <n v="89"/>
    <x v="3"/>
    <m/>
    <m/>
    <m/>
  </r>
  <r>
    <x v="19"/>
    <x v="1"/>
    <x v="2"/>
    <s v="Dynamic"/>
    <n v="67089"/>
    <n v="2561"/>
    <n v="490.08"/>
    <n v="49514"/>
    <n v="132"/>
    <x v="3"/>
    <m/>
    <m/>
    <m/>
  </r>
  <r>
    <x v="19"/>
    <x v="1"/>
    <x v="19"/>
    <s v="Dynamic"/>
    <n v="68036"/>
    <n v="2834"/>
    <n v="550.16"/>
    <n v="52054"/>
    <n v="100"/>
    <x v="3"/>
    <m/>
    <m/>
    <m/>
  </r>
  <r>
    <x v="19"/>
    <x v="2"/>
    <x v="5"/>
    <s v="Video"/>
    <n v="41237"/>
    <n v="1160"/>
    <n v="218.07"/>
    <n v="31023"/>
    <n v="56"/>
    <x v="3"/>
    <m/>
    <m/>
    <m/>
  </r>
  <r>
    <x v="19"/>
    <x v="2"/>
    <x v="18"/>
    <s v="Carousel"/>
    <n v="80265"/>
    <n v="3043"/>
    <n v="682.14"/>
    <n v="59847"/>
    <n v="93"/>
    <x v="3"/>
    <m/>
    <m/>
    <m/>
  </r>
  <r>
    <x v="20"/>
    <x v="0"/>
    <x v="5"/>
    <s v="Carousel"/>
    <n v="36830"/>
    <n v="1202"/>
    <n v="233.3"/>
    <n v="29862"/>
    <n v="69"/>
    <x v="3"/>
    <m/>
    <m/>
    <m/>
  </r>
  <r>
    <x v="20"/>
    <x v="0"/>
    <x v="18"/>
    <s v="Carousel"/>
    <n v="30702"/>
    <n v="968"/>
    <n v="210.23"/>
    <n v="23034"/>
    <n v="38"/>
    <x v="3"/>
    <m/>
    <m/>
    <m/>
  </r>
  <r>
    <x v="20"/>
    <x v="1"/>
    <x v="2"/>
    <s v="Carousel"/>
    <n v="47332"/>
    <n v="1966"/>
    <n v="419.89"/>
    <n v="36826"/>
    <n v="70"/>
    <x v="3"/>
    <m/>
    <m/>
    <m/>
  </r>
  <r>
    <x v="20"/>
    <x v="1"/>
    <x v="19"/>
    <s v="Carousel"/>
    <n v="74456"/>
    <n v="2999"/>
    <n v="563.55999999999995"/>
    <n v="55970"/>
    <n v="131"/>
    <x v="3"/>
    <m/>
    <m/>
    <m/>
  </r>
  <r>
    <x v="20"/>
    <x v="2"/>
    <x v="5"/>
    <s v="Video"/>
    <n v="64131"/>
    <n v="1900"/>
    <n v="347.03"/>
    <n v="46994"/>
    <n v="102"/>
    <x v="3"/>
    <m/>
    <m/>
    <m/>
  </r>
  <r>
    <x v="20"/>
    <x v="2"/>
    <x v="18"/>
    <s v="Carousel"/>
    <n v="77263"/>
    <n v="3165"/>
    <n v="623.42999999999995"/>
    <n v="62404"/>
    <n v="146"/>
    <x v="3"/>
    <m/>
    <m/>
    <m/>
  </r>
  <r>
    <x v="21"/>
    <x v="0"/>
    <x v="5"/>
    <s v="Video"/>
    <n v="97760"/>
    <n v="3165"/>
    <n v="739.22"/>
    <n v="73471"/>
    <n v="183"/>
    <x v="3"/>
    <m/>
    <m/>
    <m/>
  </r>
  <r>
    <x v="21"/>
    <x v="0"/>
    <x v="18"/>
    <s v="Carousel"/>
    <n v="102833"/>
    <n v="4107"/>
    <n v="901.26"/>
    <n v="82248"/>
    <n v="121"/>
    <x v="3"/>
    <m/>
    <m/>
    <m/>
  </r>
  <r>
    <x v="21"/>
    <x v="1"/>
    <x v="2"/>
    <s v="Dynamic"/>
    <n v="37152"/>
    <n v="1159"/>
    <n v="211.11"/>
    <n v="27716"/>
    <n v="56"/>
    <x v="3"/>
    <m/>
    <m/>
    <m/>
  </r>
  <r>
    <x v="21"/>
    <x v="1"/>
    <x v="19"/>
    <s v="Carousel"/>
    <n v="45207"/>
    <n v="1895"/>
    <n v="446.52"/>
    <n v="32733"/>
    <n v="73"/>
    <x v="3"/>
    <m/>
    <m/>
    <m/>
  </r>
  <r>
    <x v="21"/>
    <x v="2"/>
    <x v="5"/>
    <s v="Video"/>
    <n v="89999"/>
    <n v="3141"/>
    <n v="724.79"/>
    <n v="72601"/>
    <n v="99"/>
    <x v="3"/>
    <m/>
    <m/>
    <m/>
  </r>
  <r>
    <x v="21"/>
    <x v="2"/>
    <x v="18"/>
    <s v="Carousel"/>
    <n v="56703"/>
    <n v="2276"/>
    <n v="434.35"/>
    <n v="41780"/>
    <n v="98"/>
    <x v="3"/>
    <m/>
    <m/>
    <m/>
  </r>
  <r>
    <x v="22"/>
    <x v="0"/>
    <x v="5"/>
    <s v="Video"/>
    <n v="103825"/>
    <n v="4202"/>
    <n v="904.02"/>
    <n v="80812"/>
    <n v="240"/>
    <x v="3"/>
    <m/>
    <m/>
    <m/>
  </r>
  <r>
    <x v="22"/>
    <x v="0"/>
    <x v="18"/>
    <s v="Carousel"/>
    <n v="84580"/>
    <n v="3458"/>
    <n v="673.51"/>
    <n v="65110"/>
    <n v="106"/>
    <x v="3"/>
    <m/>
    <m/>
    <m/>
  </r>
  <r>
    <x v="22"/>
    <x v="1"/>
    <x v="2"/>
    <s v="Carousel"/>
    <n v="33402"/>
    <n v="1068"/>
    <n v="255.12"/>
    <n v="24456"/>
    <n v="41"/>
    <x v="3"/>
    <m/>
    <m/>
    <m/>
  </r>
  <r>
    <x v="22"/>
    <x v="1"/>
    <x v="19"/>
    <s v="Dynamic"/>
    <n v="72406"/>
    <n v="2183"/>
    <n v="403.56"/>
    <n v="58147"/>
    <n v="104"/>
    <x v="3"/>
    <m/>
    <m/>
    <m/>
  </r>
  <r>
    <x v="22"/>
    <x v="2"/>
    <x v="5"/>
    <s v="Video"/>
    <n v="65300"/>
    <n v="2371"/>
    <n v="427.61"/>
    <n v="53348"/>
    <n v="113"/>
    <x v="3"/>
    <m/>
    <m/>
    <m/>
  </r>
  <r>
    <x v="22"/>
    <x v="2"/>
    <x v="18"/>
    <s v="Carousel"/>
    <n v="72587"/>
    <n v="2995"/>
    <n v="718.77"/>
    <n v="58845"/>
    <n v="155"/>
    <x v="3"/>
    <m/>
    <m/>
    <m/>
  </r>
  <r>
    <x v="23"/>
    <x v="0"/>
    <x v="5"/>
    <s v="Carousel"/>
    <n v="80785"/>
    <n v="3238"/>
    <n v="738.57"/>
    <n v="60451"/>
    <n v="168"/>
    <x v="3"/>
    <m/>
    <m/>
    <m/>
  </r>
  <r>
    <x v="23"/>
    <x v="0"/>
    <x v="18"/>
    <s v="Carousel"/>
    <n v="142402"/>
    <n v="5884"/>
    <n v="1193.77"/>
    <n v="108209"/>
    <n v="196"/>
    <x v="3"/>
    <m/>
    <m/>
    <m/>
  </r>
  <r>
    <x v="23"/>
    <x v="1"/>
    <x v="2"/>
    <s v="Carousel"/>
    <n v="58365"/>
    <n v="1650"/>
    <n v="317.61"/>
    <n v="44290"/>
    <n v="66"/>
    <x v="3"/>
    <m/>
    <m/>
    <m/>
  </r>
  <r>
    <x v="23"/>
    <x v="1"/>
    <x v="19"/>
    <s v="Dynamic"/>
    <n v="64129"/>
    <n v="2063"/>
    <n v="470.5"/>
    <n v="50892"/>
    <n v="114"/>
    <x v="3"/>
    <m/>
    <m/>
    <m/>
  </r>
  <r>
    <x v="23"/>
    <x v="3"/>
    <x v="5"/>
    <s v="Video"/>
    <n v="107884"/>
    <n v="4025"/>
    <n v="925.44"/>
    <n v="83207"/>
    <n v="171"/>
    <x v="3"/>
    <m/>
    <m/>
    <m/>
  </r>
  <r>
    <x v="23"/>
    <x v="3"/>
    <x v="18"/>
    <s v="Carousel"/>
    <n v="129425"/>
    <n v="4110"/>
    <n v="887.84"/>
    <n v="94353"/>
    <n v="167"/>
    <x v="3"/>
    <m/>
    <m/>
    <m/>
  </r>
  <r>
    <x v="23"/>
    <x v="2"/>
    <x v="5"/>
    <s v="Video"/>
    <n v="76196"/>
    <n v="2596"/>
    <n v="533.64"/>
    <n v="55169"/>
    <n v="99"/>
    <x v="3"/>
    <m/>
    <m/>
    <m/>
  </r>
  <r>
    <x v="23"/>
    <x v="2"/>
    <x v="18"/>
    <s v="Carousel"/>
    <n v="83146"/>
    <n v="3081"/>
    <n v="686.5"/>
    <n v="67603"/>
    <n v="135"/>
    <x v="3"/>
    <m/>
    <m/>
    <m/>
  </r>
  <r>
    <x v="24"/>
    <x v="0"/>
    <x v="5"/>
    <s v="Single Image"/>
    <n v="138278"/>
    <n v="4034"/>
    <n v="839.45"/>
    <n v="100655"/>
    <n v="209"/>
    <x v="3"/>
    <m/>
    <m/>
    <m/>
  </r>
  <r>
    <x v="24"/>
    <x v="0"/>
    <x v="18"/>
    <s v="Single Image"/>
    <n v="69269"/>
    <n v="2893"/>
    <n v="639.52"/>
    <n v="51954"/>
    <n v="102"/>
    <x v="3"/>
    <m/>
    <m/>
    <m/>
  </r>
  <r>
    <x v="24"/>
    <x v="1"/>
    <x v="2"/>
    <s v="Carousel"/>
    <n v="96220"/>
    <n v="3460"/>
    <n v="737.19"/>
    <n v="78104"/>
    <n v="150"/>
    <x v="3"/>
    <m/>
    <m/>
    <m/>
  </r>
  <r>
    <x v="24"/>
    <x v="1"/>
    <x v="19"/>
    <s v="Carousel"/>
    <n v="117788"/>
    <n v="3453"/>
    <n v="758.46"/>
    <n v="91503"/>
    <n v="122"/>
    <x v="3"/>
    <m/>
    <m/>
    <m/>
  </r>
  <r>
    <x v="24"/>
    <x v="3"/>
    <x v="5"/>
    <s v="Carousel"/>
    <n v="149451"/>
    <n v="4355"/>
    <n v="915.45"/>
    <n v="109307"/>
    <n v="208"/>
    <x v="3"/>
    <m/>
    <m/>
    <m/>
  </r>
  <r>
    <x v="24"/>
    <x v="3"/>
    <x v="18"/>
    <s v="Video"/>
    <n v="75434"/>
    <n v="3002"/>
    <n v="548.51"/>
    <n v="57452"/>
    <n v="147"/>
    <x v="3"/>
    <m/>
    <m/>
    <m/>
  </r>
  <r>
    <x v="24"/>
    <x v="2"/>
    <x v="5"/>
    <s v="Video"/>
    <n v="149752"/>
    <n v="5711"/>
    <n v="1287.5"/>
    <n v="114559"/>
    <n v="298"/>
    <x v="3"/>
    <m/>
    <m/>
    <m/>
  </r>
  <r>
    <x v="24"/>
    <x v="2"/>
    <x v="18"/>
    <s v="Carousel"/>
    <n v="76349"/>
    <n v="2363"/>
    <n v="436.43"/>
    <n v="62470"/>
    <n v="84"/>
    <x v="3"/>
    <m/>
    <m/>
    <m/>
  </r>
  <r>
    <x v="25"/>
    <x v="0"/>
    <x v="5"/>
    <s v="Single Image"/>
    <n v="43936"/>
    <n v="1497"/>
    <n v="271.07"/>
    <n v="33369"/>
    <n v="42"/>
    <x v="3"/>
    <m/>
    <m/>
    <m/>
  </r>
  <r>
    <x v="25"/>
    <x v="0"/>
    <x v="18"/>
    <s v="Single Image"/>
    <n v="90314"/>
    <n v="3403"/>
    <n v="789.93"/>
    <n v="73748"/>
    <n v="156"/>
    <x v="3"/>
    <m/>
    <m/>
    <m/>
  </r>
  <r>
    <x v="25"/>
    <x v="1"/>
    <x v="2"/>
    <s v="Carousel"/>
    <n v="69688"/>
    <n v="2554"/>
    <n v="608.96"/>
    <n v="52689"/>
    <n v="123"/>
    <x v="3"/>
    <m/>
    <m/>
    <m/>
  </r>
  <r>
    <x v="25"/>
    <x v="1"/>
    <x v="19"/>
    <s v="Carousel"/>
    <n v="69669"/>
    <n v="2036"/>
    <n v="382.99"/>
    <n v="51490"/>
    <n v="106"/>
    <x v="3"/>
    <m/>
    <m/>
    <m/>
  </r>
  <r>
    <x v="25"/>
    <x v="2"/>
    <x v="5"/>
    <s v="Video"/>
    <n v="33514"/>
    <n v="1036"/>
    <n v="226.8"/>
    <n v="26307"/>
    <n v="42"/>
    <x v="3"/>
    <m/>
    <m/>
    <m/>
  </r>
  <r>
    <x v="25"/>
    <x v="2"/>
    <x v="18"/>
    <s v="Carousel"/>
    <n v="41284"/>
    <n v="1329"/>
    <n v="276.17"/>
    <n v="31681"/>
    <n v="38"/>
    <x v="3"/>
    <m/>
    <m/>
    <m/>
  </r>
  <r>
    <x v="26"/>
    <x v="0"/>
    <x v="5"/>
    <s v="Carousel"/>
    <n v="49978"/>
    <n v="1916"/>
    <n v="396.07"/>
    <n v="38408"/>
    <n v="54"/>
    <x v="3"/>
    <m/>
    <m/>
    <m/>
  </r>
  <r>
    <x v="26"/>
    <x v="0"/>
    <x v="18"/>
    <s v="Single Image"/>
    <n v="106706"/>
    <n v="3350"/>
    <n v="662.26"/>
    <n v="85679"/>
    <n v="133"/>
    <x v="3"/>
    <m/>
    <m/>
    <m/>
  </r>
  <r>
    <x v="26"/>
    <x v="1"/>
    <x v="2"/>
    <s v="Carousel"/>
    <n v="31032"/>
    <n v="913"/>
    <n v="210.77"/>
    <n v="23682"/>
    <n v="36"/>
    <x v="3"/>
    <m/>
    <m/>
    <m/>
  </r>
  <r>
    <x v="26"/>
    <x v="1"/>
    <x v="19"/>
    <s v="Carousel"/>
    <n v="105846"/>
    <n v="3846"/>
    <n v="820.19"/>
    <n v="79286"/>
    <n v="163"/>
    <x v="3"/>
    <m/>
    <m/>
    <m/>
  </r>
  <r>
    <x v="26"/>
    <x v="2"/>
    <x v="5"/>
    <s v="Video"/>
    <n v="97286"/>
    <n v="3529"/>
    <n v="764.7"/>
    <n v="76648"/>
    <n v="185"/>
    <x v="3"/>
    <m/>
    <m/>
    <m/>
  </r>
  <r>
    <x v="26"/>
    <x v="2"/>
    <x v="18"/>
    <s v="Carousel"/>
    <n v="60396"/>
    <n v="2295"/>
    <n v="485.85"/>
    <n v="46033"/>
    <n v="86"/>
    <x v="3"/>
    <m/>
    <m/>
    <m/>
  </r>
  <r>
    <x v="27"/>
    <x v="0"/>
    <x v="5"/>
    <s v="Carousel"/>
    <n v="65107"/>
    <n v="2636"/>
    <n v="540.45000000000005"/>
    <n v="49958"/>
    <n v="112"/>
    <x v="3"/>
    <m/>
    <m/>
    <m/>
  </r>
  <r>
    <x v="27"/>
    <x v="0"/>
    <x v="18"/>
    <s v="Single Image"/>
    <n v="88762"/>
    <n v="3352"/>
    <n v="607.54"/>
    <n v="66465"/>
    <n v="113"/>
    <x v="3"/>
    <m/>
    <m/>
    <m/>
  </r>
  <r>
    <x v="27"/>
    <x v="1"/>
    <x v="2"/>
    <s v="Carousel"/>
    <n v="87424"/>
    <n v="2731"/>
    <n v="527.58000000000004"/>
    <n v="70892"/>
    <n v="104"/>
    <x v="3"/>
    <m/>
    <m/>
    <m/>
  </r>
  <r>
    <x v="27"/>
    <x v="1"/>
    <x v="19"/>
    <s v="Carousel"/>
    <n v="47191"/>
    <n v="1904"/>
    <n v="425.31"/>
    <n v="35819"/>
    <n v="77"/>
    <x v="3"/>
    <m/>
    <m/>
    <m/>
  </r>
  <r>
    <x v="27"/>
    <x v="2"/>
    <x v="5"/>
    <s v="Video"/>
    <n v="91908"/>
    <n v="3602"/>
    <n v="830.88"/>
    <n v="71888"/>
    <n v="131"/>
    <x v="3"/>
    <m/>
    <m/>
    <m/>
  </r>
  <r>
    <x v="27"/>
    <x v="2"/>
    <x v="18"/>
    <s v="Carousel"/>
    <n v="93293"/>
    <n v="2780"/>
    <n v="533.66999999999996"/>
    <n v="72822"/>
    <n v="86"/>
    <x v="3"/>
    <m/>
    <m/>
    <m/>
  </r>
  <r>
    <x v="28"/>
    <x v="0"/>
    <x v="5"/>
    <s v="Video"/>
    <n v="94713"/>
    <n v="3054"/>
    <n v="588.1"/>
    <n v="68638"/>
    <n v="87"/>
    <x v="3"/>
    <m/>
    <m/>
    <m/>
  </r>
  <r>
    <x v="28"/>
    <x v="0"/>
    <x v="18"/>
    <s v="Single Image"/>
    <n v="76798"/>
    <n v="2878"/>
    <n v="548.21"/>
    <n v="61895"/>
    <n v="124"/>
    <x v="3"/>
    <m/>
    <m/>
    <m/>
  </r>
  <r>
    <x v="28"/>
    <x v="1"/>
    <x v="2"/>
    <s v="Dynamic"/>
    <n v="74267"/>
    <n v="2527"/>
    <n v="548.49"/>
    <n v="54368"/>
    <n v="87"/>
    <x v="3"/>
    <m/>
    <m/>
    <m/>
  </r>
  <r>
    <x v="28"/>
    <x v="1"/>
    <x v="19"/>
    <s v="Carousel"/>
    <n v="74606"/>
    <n v="2908"/>
    <n v="657.68"/>
    <n v="59461"/>
    <n v="130"/>
    <x v="3"/>
    <m/>
    <m/>
    <m/>
  </r>
  <r>
    <x v="28"/>
    <x v="2"/>
    <x v="5"/>
    <s v="Video"/>
    <n v="97552"/>
    <n v="3556"/>
    <n v="662.3"/>
    <n v="70729"/>
    <n v="200"/>
    <x v="3"/>
    <m/>
    <m/>
    <m/>
  </r>
  <r>
    <x v="28"/>
    <x v="2"/>
    <x v="18"/>
    <s v="Carousel"/>
    <n v="44539"/>
    <n v="1854"/>
    <n v="420.67"/>
    <n v="34783"/>
    <n v="99"/>
    <x v="3"/>
    <m/>
    <m/>
    <m/>
  </r>
  <r>
    <x v="29"/>
    <x v="0"/>
    <x v="5"/>
    <s v="Carousel"/>
    <n v="103724"/>
    <n v="2965"/>
    <n v="552.45000000000005"/>
    <n v="81215"/>
    <n v="160"/>
    <x v="3"/>
    <m/>
    <m/>
    <m/>
  </r>
  <r>
    <x v="29"/>
    <x v="0"/>
    <x v="18"/>
    <s v="Single Image"/>
    <n v="50582"/>
    <n v="1932"/>
    <n v="429.85"/>
    <n v="40273"/>
    <n v="82"/>
    <x v="3"/>
    <m/>
    <m/>
    <m/>
  </r>
  <r>
    <x v="29"/>
    <x v="1"/>
    <x v="2"/>
    <s v="Dynamic"/>
    <n v="50223"/>
    <n v="1861"/>
    <n v="372.34"/>
    <n v="36852"/>
    <n v="99"/>
    <x v="3"/>
    <m/>
    <m/>
    <m/>
  </r>
  <r>
    <x v="29"/>
    <x v="1"/>
    <x v="19"/>
    <s v="Carousel"/>
    <n v="84493"/>
    <n v="3275"/>
    <n v="590.79"/>
    <n v="67888"/>
    <n v="138"/>
    <x v="3"/>
    <m/>
    <m/>
    <m/>
  </r>
  <r>
    <x v="29"/>
    <x v="2"/>
    <x v="5"/>
    <s v="Video"/>
    <n v="96194"/>
    <n v="2924"/>
    <n v="572.99"/>
    <n v="76139"/>
    <n v="118"/>
    <x v="3"/>
    <m/>
    <m/>
    <m/>
  </r>
  <r>
    <x v="29"/>
    <x v="2"/>
    <x v="18"/>
    <s v="Carousel"/>
    <n v="49871"/>
    <n v="1922"/>
    <n v="407.04"/>
    <n v="39833"/>
    <n v="61"/>
    <x v="3"/>
    <m/>
    <m/>
    <m/>
  </r>
  <r>
    <x v="30"/>
    <x v="0"/>
    <x v="5"/>
    <s v="Video"/>
    <n v="117860"/>
    <n v="4814"/>
    <n v="1125.92"/>
    <n v="96077"/>
    <n v="209"/>
    <x v="3"/>
    <m/>
    <m/>
    <m/>
  </r>
  <r>
    <x v="30"/>
    <x v="0"/>
    <x v="18"/>
    <s v="Single Image"/>
    <n v="47461"/>
    <n v="1622"/>
    <n v="366.91"/>
    <n v="37577"/>
    <n v="70"/>
    <x v="3"/>
    <m/>
    <m/>
    <m/>
  </r>
  <r>
    <x v="30"/>
    <x v="1"/>
    <x v="2"/>
    <s v="Dynamic"/>
    <n v="57556"/>
    <n v="1884"/>
    <n v="384.52"/>
    <n v="45885"/>
    <n v="77"/>
    <x v="3"/>
    <m/>
    <m/>
    <m/>
  </r>
  <r>
    <x v="30"/>
    <x v="1"/>
    <x v="19"/>
    <s v="Carousel"/>
    <n v="48805"/>
    <n v="1817"/>
    <n v="396.99"/>
    <n v="39544"/>
    <n v="54"/>
    <x v="3"/>
    <m/>
    <m/>
    <m/>
  </r>
  <r>
    <x v="30"/>
    <x v="3"/>
    <x v="5"/>
    <s v="Carousel"/>
    <n v="118942"/>
    <n v="3999"/>
    <n v="883.19"/>
    <n v="92222"/>
    <n v="148"/>
    <x v="3"/>
    <m/>
    <m/>
    <m/>
  </r>
  <r>
    <x v="30"/>
    <x v="3"/>
    <x v="18"/>
    <s v="Carousel"/>
    <n v="105152"/>
    <n v="2955"/>
    <n v="581.51"/>
    <n v="81259"/>
    <n v="164"/>
    <x v="3"/>
    <m/>
    <m/>
    <m/>
  </r>
  <r>
    <x v="30"/>
    <x v="2"/>
    <x v="5"/>
    <s v="Video"/>
    <n v="123874"/>
    <n v="4585"/>
    <n v="1069.47"/>
    <n v="96923"/>
    <n v="213"/>
    <x v="3"/>
    <m/>
    <m/>
    <m/>
  </r>
  <r>
    <x v="30"/>
    <x v="2"/>
    <x v="18"/>
    <s v="Carousel"/>
    <n v="105352"/>
    <n v="4259"/>
    <n v="966.34"/>
    <n v="80114"/>
    <n v="144"/>
    <x v="3"/>
    <m/>
    <m/>
    <m/>
  </r>
  <r>
    <x v="31"/>
    <x v="0"/>
    <x v="5"/>
    <s v="Video"/>
    <n v="57464"/>
    <n v="1638"/>
    <n v="327.71"/>
    <n v="45540"/>
    <n v="82"/>
    <x v="3"/>
    <m/>
    <m/>
    <m/>
  </r>
  <r>
    <x v="31"/>
    <x v="0"/>
    <x v="18"/>
    <s v="Carousel"/>
    <n v="137506"/>
    <n v="5759"/>
    <n v="1134.73"/>
    <n v="100280"/>
    <n v="256"/>
    <x v="3"/>
    <m/>
    <m/>
    <m/>
  </r>
  <r>
    <x v="31"/>
    <x v="1"/>
    <x v="2"/>
    <s v="Carousel"/>
    <n v="71365"/>
    <n v="2021"/>
    <n v="471.74"/>
    <n v="55236"/>
    <n v="72"/>
    <x v="3"/>
    <m/>
    <m/>
    <m/>
  </r>
  <r>
    <x v="31"/>
    <x v="1"/>
    <x v="19"/>
    <s v="Carousel"/>
    <n v="119573"/>
    <n v="5000"/>
    <n v="933.13"/>
    <n v="86809"/>
    <n v="195"/>
    <x v="3"/>
    <m/>
    <m/>
    <m/>
  </r>
  <r>
    <x v="31"/>
    <x v="3"/>
    <x v="5"/>
    <s v="Carousel"/>
    <n v="64719"/>
    <n v="1855"/>
    <n v="406.35"/>
    <n v="47405"/>
    <n v="68"/>
    <x v="3"/>
    <m/>
    <m/>
    <m/>
  </r>
  <r>
    <x v="31"/>
    <x v="3"/>
    <x v="18"/>
    <s v="Video"/>
    <n v="125151"/>
    <n v="4098"/>
    <n v="795.69"/>
    <n v="99441"/>
    <n v="186"/>
    <x v="3"/>
    <m/>
    <m/>
    <m/>
  </r>
  <r>
    <x v="31"/>
    <x v="4"/>
    <x v="20"/>
    <s v="Video"/>
    <n v="106286"/>
    <n v="3421"/>
    <n v="752.67"/>
    <n v="85189"/>
    <n v="154"/>
    <x v="3"/>
    <m/>
    <m/>
    <m/>
  </r>
  <r>
    <x v="31"/>
    <x v="4"/>
    <x v="18"/>
    <s v="Single Image"/>
    <n v="111301"/>
    <n v="3926"/>
    <n v="765.01"/>
    <n v="83785"/>
    <n v="178"/>
    <x v="3"/>
    <m/>
    <m/>
    <m/>
  </r>
  <r>
    <x v="32"/>
    <x v="0"/>
    <x v="5"/>
    <s v="Video"/>
    <n v="89547"/>
    <n v="2630"/>
    <n v="585.70000000000005"/>
    <n v="71892"/>
    <n v="80"/>
    <x v="3"/>
    <m/>
    <m/>
    <m/>
  </r>
  <r>
    <x v="32"/>
    <x v="0"/>
    <x v="18"/>
    <s v="Carousel"/>
    <n v="85690"/>
    <n v="3465"/>
    <n v="722.71"/>
    <n v="65519"/>
    <n v="135"/>
    <x v="3"/>
    <m/>
    <m/>
    <m/>
  </r>
  <r>
    <x v="32"/>
    <x v="1"/>
    <x v="2"/>
    <s v="Carousel"/>
    <n v="107101"/>
    <n v="3836"/>
    <n v="869.73"/>
    <n v="86452"/>
    <n v="174"/>
    <x v="3"/>
    <m/>
    <m/>
    <m/>
  </r>
  <r>
    <x v="32"/>
    <x v="1"/>
    <x v="19"/>
    <s v="Carousel"/>
    <n v="87682"/>
    <n v="3300"/>
    <n v="781.67"/>
    <n v="69546"/>
    <n v="133"/>
    <x v="3"/>
    <m/>
    <m/>
    <m/>
  </r>
  <r>
    <x v="32"/>
    <x v="4"/>
    <x v="20"/>
    <s v="Video"/>
    <n v="48919"/>
    <n v="1716"/>
    <n v="358.79"/>
    <n v="37460"/>
    <n v="97"/>
    <x v="3"/>
    <m/>
    <m/>
    <m/>
  </r>
  <r>
    <x v="32"/>
    <x v="4"/>
    <x v="18"/>
    <s v="Single Image"/>
    <n v="57871"/>
    <n v="1989"/>
    <n v="361.91"/>
    <n v="42574"/>
    <n v="89"/>
    <x v="3"/>
    <m/>
    <m/>
    <m/>
  </r>
  <r>
    <x v="33"/>
    <x v="0"/>
    <x v="5"/>
    <s v="Carousel"/>
    <n v="108852"/>
    <n v="4346"/>
    <n v="811.05"/>
    <n v="82396"/>
    <n v="159"/>
    <x v="3"/>
    <m/>
    <m/>
    <m/>
  </r>
  <r>
    <x v="33"/>
    <x v="0"/>
    <x v="18"/>
    <s v="Carousel"/>
    <n v="45432"/>
    <n v="1508"/>
    <n v="361.11"/>
    <n v="34088"/>
    <n v="64"/>
    <x v="3"/>
    <m/>
    <m/>
    <m/>
  </r>
  <r>
    <x v="33"/>
    <x v="1"/>
    <x v="2"/>
    <s v="Dynamic"/>
    <n v="48630"/>
    <n v="1895"/>
    <n v="389.05"/>
    <n v="39569"/>
    <n v="70"/>
    <x v="3"/>
    <m/>
    <m/>
    <m/>
  </r>
  <r>
    <x v="33"/>
    <x v="1"/>
    <x v="19"/>
    <s v="Carousel"/>
    <n v="58256"/>
    <n v="1780"/>
    <n v="399.4"/>
    <n v="41956"/>
    <n v="79"/>
    <x v="3"/>
    <m/>
    <m/>
    <m/>
  </r>
  <r>
    <x v="33"/>
    <x v="4"/>
    <x v="20"/>
    <s v="Video"/>
    <n v="35856"/>
    <n v="1213"/>
    <n v="260.05"/>
    <n v="27844"/>
    <n v="66"/>
    <x v="3"/>
    <m/>
    <m/>
    <m/>
  </r>
  <r>
    <x v="33"/>
    <x v="4"/>
    <x v="18"/>
    <s v="Single Image"/>
    <n v="92289"/>
    <n v="3662"/>
    <n v="842.34"/>
    <n v="67673"/>
    <n v="117"/>
    <x v="3"/>
    <m/>
    <m/>
    <m/>
  </r>
  <r>
    <x v="34"/>
    <x v="0"/>
    <x v="5"/>
    <s v="Single Image"/>
    <n v="90415"/>
    <n v="3495"/>
    <n v="769.02"/>
    <n v="66445"/>
    <n v="174"/>
    <x v="3"/>
    <m/>
    <m/>
    <m/>
  </r>
  <r>
    <x v="34"/>
    <x v="0"/>
    <x v="18"/>
    <s v="Carousel"/>
    <n v="83690"/>
    <n v="2797"/>
    <n v="654.54"/>
    <n v="63093"/>
    <n v="82"/>
    <x v="3"/>
    <m/>
    <m/>
    <m/>
  </r>
  <r>
    <x v="34"/>
    <x v="1"/>
    <x v="2"/>
    <s v="Carousel"/>
    <n v="66356"/>
    <n v="2458"/>
    <n v="570.15"/>
    <n v="52469"/>
    <n v="111"/>
    <x v="3"/>
    <m/>
    <m/>
    <m/>
  </r>
  <r>
    <x v="34"/>
    <x v="1"/>
    <x v="19"/>
    <s v="Carousel"/>
    <n v="103537"/>
    <n v="3834"/>
    <n v="838.25"/>
    <n v="75428"/>
    <n v="217"/>
    <x v="3"/>
    <m/>
    <m/>
    <m/>
  </r>
  <r>
    <x v="34"/>
    <x v="4"/>
    <x v="20"/>
    <s v="Video"/>
    <n v="104743"/>
    <n v="3697"/>
    <n v="831.95"/>
    <n v="80679"/>
    <n v="105"/>
    <x v="3"/>
    <m/>
    <m/>
    <m/>
  </r>
  <r>
    <x v="34"/>
    <x v="4"/>
    <x v="18"/>
    <s v="Single Image"/>
    <n v="32486"/>
    <n v="1034"/>
    <n v="198.89"/>
    <n v="26085"/>
    <n v="54"/>
    <x v="3"/>
    <m/>
    <m/>
    <m/>
  </r>
  <r>
    <x v="35"/>
    <x v="0"/>
    <x v="5"/>
    <s v="Single Image"/>
    <n v="88226"/>
    <n v="2574"/>
    <n v="545.72"/>
    <n v="66349"/>
    <n v="117"/>
    <x v="3"/>
    <m/>
    <m/>
    <m/>
  </r>
  <r>
    <x v="35"/>
    <x v="0"/>
    <x v="18"/>
    <s v="Single Image"/>
    <n v="33049"/>
    <n v="1082"/>
    <n v="206.48"/>
    <n v="23874"/>
    <n v="47"/>
    <x v="3"/>
    <m/>
    <m/>
    <m/>
  </r>
  <r>
    <x v="35"/>
    <x v="1"/>
    <x v="2"/>
    <s v="Carousel"/>
    <n v="63708"/>
    <n v="1865"/>
    <n v="445.34"/>
    <n v="49321"/>
    <n v="68"/>
    <x v="3"/>
    <m/>
    <m/>
    <m/>
  </r>
  <r>
    <x v="35"/>
    <x v="1"/>
    <x v="19"/>
    <s v="Dynamic"/>
    <n v="63496"/>
    <n v="2460"/>
    <n v="465.56"/>
    <n v="51762"/>
    <n v="118"/>
    <x v="3"/>
    <m/>
    <m/>
    <m/>
  </r>
  <r>
    <x v="35"/>
    <x v="4"/>
    <x v="20"/>
    <s v="Video"/>
    <n v="72636"/>
    <n v="2218"/>
    <n v="494.17"/>
    <n v="54462"/>
    <n v="68"/>
    <x v="3"/>
    <m/>
    <m/>
    <m/>
  </r>
  <r>
    <x v="35"/>
    <x v="4"/>
    <x v="18"/>
    <s v="Single Image"/>
    <n v="84109"/>
    <n v="3406"/>
    <n v="665.79"/>
    <n v="68477"/>
    <n v="187"/>
    <x v="3"/>
    <m/>
    <m/>
    <m/>
  </r>
  <r>
    <x v="36"/>
    <x v="0"/>
    <x v="5"/>
    <s v="Carousel"/>
    <n v="56549"/>
    <n v="1773"/>
    <n v="382.65"/>
    <n v="42052"/>
    <n v="76"/>
    <x v="3"/>
    <m/>
    <m/>
    <m/>
  </r>
  <r>
    <x v="36"/>
    <x v="0"/>
    <x v="18"/>
    <s v="Single Image"/>
    <n v="45083"/>
    <n v="1432"/>
    <n v="285.11"/>
    <n v="34953"/>
    <n v="42"/>
    <x v="3"/>
    <m/>
    <m/>
    <m/>
  </r>
  <r>
    <x v="36"/>
    <x v="1"/>
    <x v="2"/>
    <s v="Dynamic"/>
    <n v="83411"/>
    <n v="3075"/>
    <n v="722.08"/>
    <n v="60211"/>
    <n v="137"/>
    <x v="3"/>
    <m/>
    <m/>
    <m/>
  </r>
  <r>
    <x v="36"/>
    <x v="1"/>
    <x v="19"/>
    <s v="Dynamic"/>
    <n v="62285"/>
    <n v="2409"/>
    <n v="527.79999999999995"/>
    <n v="45627"/>
    <n v="108"/>
    <x v="3"/>
    <m/>
    <m/>
    <m/>
  </r>
  <r>
    <x v="36"/>
    <x v="4"/>
    <x v="20"/>
    <s v="Carousel"/>
    <n v="40998"/>
    <n v="1633"/>
    <n v="342.97"/>
    <n v="32728"/>
    <n v="52"/>
    <x v="3"/>
    <m/>
    <m/>
    <m/>
  </r>
  <r>
    <x v="36"/>
    <x v="4"/>
    <x v="18"/>
    <s v="Single Image"/>
    <n v="62133"/>
    <n v="2207"/>
    <n v="453.37"/>
    <n v="50399"/>
    <n v="91"/>
    <x v="3"/>
    <m/>
    <m/>
    <m/>
  </r>
  <r>
    <x v="37"/>
    <x v="0"/>
    <x v="5"/>
    <s v="Carousel"/>
    <n v="127262"/>
    <n v="5275"/>
    <n v="1145.96"/>
    <n v="99939"/>
    <n v="174"/>
    <x v="3"/>
    <m/>
    <m/>
    <m/>
  </r>
  <r>
    <x v="37"/>
    <x v="0"/>
    <x v="18"/>
    <s v="Carousel"/>
    <n v="130481"/>
    <n v="4152"/>
    <n v="809.86"/>
    <n v="102818"/>
    <n v="240"/>
    <x v="3"/>
    <m/>
    <m/>
    <m/>
  </r>
  <r>
    <x v="37"/>
    <x v="1"/>
    <x v="2"/>
    <s v="Dynamic"/>
    <n v="149375"/>
    <n v="5940"/>
    <n v="1169.46"/>
    <n v="109961"/>
    <n v="261"/>
    <x v="3"/>
    <m/>
    <m/>
    <m/>
  </r>
  <r>
    <x v="37"/>
    <x v="1"/>
    <x v="19"/>
    <s v="Dynamic"/>
    <n v="97167"/>
    <n v="2842"/>
    <n v="630.66"/>
    <n v="78029"/>
    <n v="141"/>
    <x v="3"/>
    <m/>
    <m/>
    <m/>
  </r>
  <r>
    <x v="37"/>
    <x v="3"/>
    <x v="5"/>
    <s v="Carousel"/>
    <n v="121265"/>
    <n v="3753"/>
    <n v="789.22"/>
    <n v="97036"/>
    <n v="204"/>
    <x v="3"/>
    <m/>
    <m/>
    <m/>
  </r>
  <r>
    <x v="37"/>
    <x v="3"/>
    <x v="18"/>
    <s v="Carousel"/>
    <n v="89959"/>
    <n v="3752"/>
    <n v="834.69"/>
    <n v="67226"/>
    <n v="179"/>
    <x v="3"/>
    <m/>
    <m/>
    <m/>
  </r>
  <r>
    <x v="37"/>
    <x v="4"/>
    <x v="20"/>
    <s v="Carousel"/>
    <n v="104689"/>
    <n v="3239"/>
    <n v="769.39"/>
    <n v="78814"/>
    <n v="179"/>
    <x v="3"/>
    <m/>
    <m/>
    <m/>
  </r>
  <r>
    <x v="37"/>
    <x v="4"/>
    <x v="18"/>
    <s v="Single Image"/>
    <n v="42375"/>
    <n v="1547"/>
    <n v="278.86"/>
    <n v="30550"/>
    <n v="51"/>
    <x v="3"/>
    <m/>
    <m/>
    <m/>
  </r>
  <r>
    <x v="38"/>
    <x v="0"/>
    <x v="5"/>
    <s v="Single Image"/>
    <n v="131727"/>
    <n v="5094"/>
    <n v="1081.3900000000001"/>
    <n v="105214"/>
    <n v="241"/>
    <x v="3"/>
    <m/>
    <m/>
    <m/>
  </r>
  <r>
    <x v="38"/>
    <x v="0"/>
    <x v="18"/>
    <s v="Carousel"/>
    <n v="140841"/>
    <n v="4004"/>
    <n v="920.62"/>
    <n v="110864"/>
    <n v="192"/>
    <x v="3"/>
    <m/>
    <m/>
    <m/>
  </r>
  <r>
    <x v="38"/>
    <x v="1"/>
    <x v="2"/>
    <s v="Carousel"/>
    <n v="111064"/>
    <n v="4396"/>
    <n v="885.7"/>
    <n v="81933"/>
    <n v="224"/>
    <x v="3"/>
    <m/>
    <m/>
    <m/>
  </r>
  <r>
    <x v="38"/>
    <x v="1"/>
    <x v="19"/>
    <s v="Dynamic"/>
    <n v="64894"/>
    <n v="2237"/>
    <n v="528.32000000000005"/>
    <n v="49608"/>
    <n v="77"/>
    <x v="3"/>
    <m/>
    <m/>
    <m/>
  </r>
  <r>
    <x v="38"/>
    <x v="3"/>
    <x v="5"/>
    <s v="Video"/>
    <n v="93587"/>
    <n v="3512"/>
    <n v="781.6"/>
    <n v="69174"/>
    <n v="184"/>
    <x v="3"/>
    <m/>
    <m/>
    <m/>
  </r>
  <r>
    <x v="38"/>
    <x v="3"/>
    <x v="18"/>
    <s v="Carousel"/>
    <n v="82580"/>
    <n v="2583"/>
    <n v="541.47"/>
    <n v="62455"/>
    <n v="94"/>
    <x v="3"/>
    <m/>
    <m/>
    <m/>
  </r>
  <r>
    <x v="38"/>
    <x v="4"/>
    <x v="20"/>
    <s v="Video"/>
    <n v="43309"/>
    <n v="1331"/>
    <n v="305.14999999999998"/>
    <n v="32897"/>
    <n v="72"/>
    <x v="3"/>
    <m/>
    <m/>
    <m/>
  </r>
  <r>
    <x v="38"/>
    <x v="4"/>
    <x v="18"/>
    <s v="Single Image"/>
    <n v="73281"/>
    <n v="2617"/>
    <n v="574.66999999999996"/>
    <n v="56907"/>
    <n v="126"/>
    <x v="3"/>
    <m/>
    <m/>
    <m/>
  </r>
  <r>
    <x v="39"/>
    <x v="0"/>
    <x v="5"/>
    <s v="Single Image"/>
    <n v="84809"/>
    <n v="2452"/>
    <n v="460.23"/>
    <n v="61614"/>
    <n v="87"/>
    <x v="3"/>
    <m/>
    <m/>
    <m/>
  </r>
  <r>
    <x v="39"/>
    <x v="0"/>
    <x v="18"/>
    <s v="Carousel"/>
    <n v="157697"/>
    <n v="6024"/>
    <n v="1183.47"/>
    <n v="126909"/>
    <n v="172"/>
    <x v="3"/>
    <m/>
    <m/>
    <m/>
  </r>
  <r>
    <x v="39"/>
    <x v="1"/>
    <x v="2"/>
    <s v="Carousel"/>
    <n v="165464"/>
    <n v="6678"/>
    <n v="1202.82"/>
    <n v="126201"/>
    <n v="321"/>
    <x v="3"/>
    <m/>
    <m/>
    <m/>
  </r>
  <r>
    <x v="39"/>
    <x v="1"/>
    <x v="19"/>
    <s v="Dynamic"/>
    <n v="115737"/>
    <n v="3941"/>
    <n v="944.68"/>
    <n v="86502"/>
    <n v="190"/>
    <x v="3"/>
    <m/>
    <m/>
    <m/>
  </r>
  <r>
    <x v="39"/>
    <x v="4"/>
    <x v="20"/>
    <s v="Carousel"/>
    <n v="151928"/>
    <n v="5022"/>
    <n v="1132.67"/>
    <n v="122815"/>
    <n v="174"/>
    <x v="3"/>
    <m/>
    <m/>
    <m/>
  </r>
  <r>
    <x v="39"/>
    <x v="4"/>
    <x v="18"/>
    <s v="Single Image"/>
    <n v="136092"/>
    <n v="4824"/>
    <n v="959.85"/>
    <n v="103319"/>
    <n v="183"/>
    <x v="3"/>
    <m/>
    <m/>
    <m/>
  </r>
  <r>
    <x v="40"/>
    <x v="0"/>
    <x v="5"/>
    <s v="Single Image"/>
    <n v="53320"/>
    <n v="2232"/>
    <n v="431.98"/>
    <n v="42067"/>
    <n v="126"/>
    <x v="3"/>
    <m/>
    <m/>
    <m/>
  </r>
  <r>
    <x v="40"/>
    <x v="0"/>
    <x v="18"/>
    <s v="Carousel"/>
    <n v="89288"/>
    <n v="2705"/>
    <n v="537.34"/>
    <n v="69876"/>
    <n v="83"/>
    <x v="3"/>
    <m/>
    <m/>
    <m/>
  </r>
  <r>
    <x v="40"/>
    <x v="1"/>
    <x v="2"/>
    <s v="Carousel"/>
    <n v="138585"/>
    <n v="5448"/>
    <n v="1174.33"/>
    <n v="108460"/>
    <n v="207"/>
    <x v="3"/>
    <m/>
    <m/>
    <m/>
  </r>
  <r>
    <x v="40"/>
    <x v="1"/>
    <x v="19"/>
    <s v="Carousel"/>
    <n v="99830"/>
    <n v="2945"/>
    <n v="572.22"/>
    <n v="75279"/>
    <n v="87"/>
    <x v="3"/>
    <m/>
    <m/>
    <m/>
  </r>
  <r>
    <x v="40"/>
    <x v="4"/>
    <x v="20"/>
    <s v="Carousel"/>
    <n v="156982"/>
    <n v="6140"/>
    <n v="1452.8"/>
    <n v="125204"/>
    <n v="286"/>
    <x v="3"/>
    <m/>
    <m/>
    <m/>
  </r>
  <r>
    <x v="40"/>
    <x v="4"/>
    <x v="18"/>
    <s v="Single Image"/>
    <n v="141627"/>
    <n v="5113"/>
    <n v="946.58"/>
    <n v="102830"/>
    <n v="148"/>
    <x v="3"/>
    <m/>
    <m/>
    <m/>
  </r>
  <r>
    <x v="41"/>
    <x v="0"/>
    <x v="5"/>
    <s v="Video"/>
    <n v="61636"/>
    <n v="2401"/>
    <n v="441.11"/>
    <n v="49323"/>
    <n v="71"/>
    <x v="3"/>
    <m/>
    <m/>
    <m/>
  </r>
  <r>
    <x v="41"/>
    <x v="0"/>
    <x v="18"/>
    <s v="Single Image"/>
    <n v="61796"/>
    <n v="1818"/>
    <n v="333.33"/>
    <n v="44815"/>
    <n v="97"/>
    <x v="3"/>
    <m/>
    <m/>
    <m/>
  </r>
  <r>
    <x v="41"/>
    <x v="1"/>
    <x v="2"/>
    <s v="Carousel"/>
    <n v="68096"/>
    <n v="2495"/>
    <n v="510.64"/>
    <n v="54916"/>
    <n v="128"/>
    <x v="3"/>
    <m/>
    <m/>
    <m/>
  </r>
  <r>
    <x v="41"/>
    <x v="1"/>
    <x v="19"/>
    <s v="Dynamic"/>
    <n v="143086"/>
    <n v="4775"/>
    <n v="1087.31"/>
    <n v="115612"/>
    <n v="222"/>
    <x v="3"/>
    <m/>
    <m/>
    <m/>
  </r>
  <r>
    <x v="41"/>
    <x v="4"/>
    <x v="20"/>
    <s v="Carousel"/>
    <n v="53446"/>
    <n v="1836"/>
    <n v="366.63"/>
    <n v="39509"/>
    <n v="57"/>
    <x v="3"/>
    <m/>
    <m/>
    <m/>
  </r>
  <r>
    <x v="41"/>
    <x v="4"/>
    <x v="18"/>
    <s v="Single Image"/>
    <n v="172336"/>
    <n v="6730"/>
    <n v="1289.58"/>
    <n v="133960"/>
    <n v="317"/>
    <x v="3"/>
    <m/>
    <m/>
    <m/>
  </r>
  <r>
    <x v="42"/>
    <x v="0"/>
    <x v="5"/>
    <s v="Video"/>
    <n v="122529"/>
    <n v="4153"/>
    <n v="928.1"/>
    <n v="93668"/>
    <n v="146"/>
    <x v="3"/>
    <m/>
    <m/>
    <m/>
  </r>
  <r>
    <x v="42"/>
    <x v="0"/>
    <x v="18"/>
    <s v="Carousel"/>
    <n v="60684"/>
    <n v="1807"/>
    <n v="388.63"/>
    <n v="46806"/>
    <n v="85"/>
    <x v="3"/>
    <m/>
    <m/>
    <m/>
  </r>
  <r>
    <x v="42"/>
    <x v="1"/>
    <x v="2"/>
    <s v="Carousel"/>
    <n v="113260"/>
    <n v="4096"/>
    <n v="870.27"/>
    <n v="83196"/>
    <n v="172"/>
    <x v="3"/>
    <m/>
    <m/>
    <m/>
  </r>
  <r>
    <x v="42"/>
    <x v="1"/>
    <x v="19"/>
    <s v="Carousel"/>
    <n v="109040"/>
    <n v="3616"/>
    <n v="652.63"/>
    <n v="84903"/>
    <n v="174"/>
    <x v="3"/>
    <m/>
    <m/>
    <m/>
  </r>
  <r>
    <x v="42"/>
    <x v="4"/>
    <x v="20"/>
    <s v="Video"/>
    <n v="97782"/>
    <n v="3432"/>
    <n v="789.74"/>
    <n v="78799"/>
    <n v="139"/>
    <x v="3"/>
    <m/>
    <m/>
    <m/>
  </r>
  <r>
    <x v="42"/>
    <x v="4"/>
    <x v="18"/>
    <s v="Single Image"/>
    <n v="90020"/>
    <n v="3327"/>
    <n v="639.04"/>
    <n v="65430"/>
    <n v="112"/>
    <x v="3"/>
    <m/>
    <m/>
    <m/>
  </r>
  <r>
    <x v="43"/>
    <x v="0"/>
    <x v="5"/>
    <s v="Video"/>
    <n v="146020"/>
    <n v="5314"/>
    <n v="1062.0999999999999"/>
    <n v="113580"/>
    <n v="302"/>
    <x v="3"/>
    <m/>
    <m/>
    <m/>
  </r>
  <r>
    <x v="43"/>
    <x v="0"/>
    <x v="18"/>
    <s v="Single Image"/>
    <n v="135806"/>
    <n v="4427"/>
    <n v="824.71"/>
    <n v="109678"/>
    <n v="244"/>
    <x v="3"/>
    <m/>
    <m/>
    <m/>
  </r>
  <r>
    <x v="43"/>
    <x v="1"/>
    <x v="2"/>
    <s v="Carousel"/>
    <n v="94011"/>
    <n v="3843"/>
    <n v="839.03"/>
    <n v="74204"/>
    <n v="161"/>
    <x v="3"/>
    <m/>
    <m/>
    <m/>
  </r>
  <r>
    <x v="43"/>
    <x v="1"/>
    <x v="19"/>
    <s v="Dynamic"/>
    <n v="98124"/>
    <n v="3407"/>
    <n v="770.33"/>
    <n v="78642"/>
    <n v="177"/>
    <x v="3"/>
    <m/>
    <m/>
    <m/>
  </r>
  <r>
    <x v="43"/>
    <x v="4"/>
    <x v="20"/>
    <s v="Carousel"/>
    <n v="91057"/>
    <n v="3059"/>
    <n v="702.24"/>
    <n v="65622"/>
    <n v="86"/>
    <x v="3"/>
    <m/>
    <m/>
    <m/>
  </r>
  <r>
    <x v="43"/>
    <x v="4"/>
    <x v="18"/>
    <s v="Single Image"/>
    <n v="54294"/>
    <n v="1941"/>
    <n v="365.96"/>
    <n v="41482"/>
    <n v="91"/>
    <x v="3"/>
    <m/>
    <m/>
    <m/>
  </r>
  <r>
    <x v="44"/>
    <x v="0"/>
    <x v="5"/>
    <s v="Video"/>
    <n v="57206"/>
    <n v="2382"/>
    <n v="457.22"/>
    <n v="42813"/>
    <n v="82"/>
    <x v="3"/>
    <m/>
    <m/>
    <m/>
  </r>
  <r>
    <x v="44"/>
    <x v="0"/>
    <x v="18"/>
    <s v="Single Image"/>
    <n v="84548"/>
    <n v="2769"/>
    <n v="590.54999999999995"/>
    <n v="62384"/>
    <n v="79"/>
    <x v="3"/>
    <m/>
    <m/>
    <m/>
  </r>
  <r>
    <x v="44"/>
    <x v="1"/>
    <x v="2"/>
    <s v="Carousel"/>
    <n v="69220"/>
    <n v="1958"/>
    <n v="432.03"/>
    <n v="52461"/>
    <n v="101"/>
    <x v="3"/>
    <m/>
    <m/>
    <m/>
  </r>
  <r>
    <x v="44"/>
    <x v="1"/>
    <x v="19"/>
    <s v="Dynamic"/>
    <n v="118963"/>
    <n v="4890"/>
    <n v="969.71"/>
    <n v="88510"/>
    <n v="255"/>
    <x v="3"/>
    <m/>
    <m/>
    <m/>
  </r>
  <r>
    <x v="44"/>
    <x v="3"/>
    <x v="5"/>
    <s v="Video"/>
    <n v="158504"/>
    <n v="6606"/>
    <n v="1584.53"/>
    <n v="128097"/>
    <n v="359"/>
    <x v="3"/>
    <m/>
    <m/>
    <m/>
  </r>
  <r>
    <x v="44"/>
    <x v="3"/>
    <x v="18"/>
    <s v="Video"/>
    <n v="72849"/>
    <n v="2187"/>
    <n v="514.92999999999995"/>
    <n v="58242"/>
    <n v="73"/>
    <x v="3"/>
    <m/>
    <m/>
    <m/>
  </r>
  <r>
    <x v="44"/>
    <x v="4"/>
    <x v="20"/>
    <s v="Carousel"/>
    <n v="126486"/>
    <n v="4104"/>
    <n v="844.49"/>
    <n v="99116"/>
    <n v="228"/>
    <x v="3"/>
    <m/>
    <m/>
    <m/>
  </r>
  <r>
    <x v="44"/>
    <x v="4"/>
    <x v="18"/>
    <s v="Single Image"/>
    <n v="160294"/>
    <n v="5148"/>
    <n v="972.53"/>
    <n v="119373"/>
    <n v="241"/>
    <x v="3"/>
    <m/>
    <m/>
    <m/>
  </r>
  <r>
    <x v="45"/>
    <x v="0"/>
    <x v="5"/>
    <s v="Video"/>
    <n v="74520"/>
    <n v="2974"/>
    <n v="708.12"/>
    <n v="60255"/>
    <n v="101"/>
    <x v="3"/>
    <m/>
    <m/>
    <m/>
  </r>
  <r>
    <x v="45"/>
    <x v="0"/>
    <x v="18"/>
    <s v="Carousel"/>
    <n v="146705"/>
    <n v="5732"/>
    <n v="1243.23"/>
    <n v="108083"/>
    <n v="227"/>
    <x v="3"/>
    <m/>
    <m/>
    <m/>
  </r>
  <r>
    <x v="45"/>
    <x v="1"/>
    <x v="2"/>
    <s v="Carousel"/>
    <n v="152560"/>
    <n v="5379"/>
    <n v="1025.99"/>
    <n v="120712"/>
    <n v="235"/>
    <x v="3"/>
    <m/>
    <m/>
    <m/>
  </r>
  <r>
    <x v="45"/>
    <x v="1"/>
    <x v="19"/>
    <s v="Carousel"/>
    <n v="151764"/>
    <n v="5255"/>
    <n v="1129.1500000000001"/>
    <n v="118954"/>
    <n v="271"/>
    <x v="3"/>
    <m/>
    <m/>
    <m/>
  </r>
  <r>
    <x v="45"/>
    <x v="3"/>
    <x v="5"/>
    <s v="Video"/>
    <n v="91452"/>
    <n v="2841"/>
    <n v="545.98"/>
    <n v="73739"/>
    <n v="113"/>
    <x v="3"/>
    <m/>
    <m/>
    <m/>
  </r>
  <r>
    <x v="45"/>
    <x v="3"/>
    <x v="18"/>
    <s v="Carousel"/>
    <n v="137132"/>
    <n v="5545"/>
    <n v="1188.19"/>
    <n v="111563"/>
    <n v="217"/>
    <x v="3"/>
    <m/>
    <m/>
    <m/>
  </r>
  <r>
    <x v="45"/>
    <x v="4"/>
    <x v="20"/>
    <s v="Video"/>
    <n v="76169"/>
    <n v="2934"/>
    <n v="580.05999999999995"/>
    <n v="58793"/>
    <n v="102"/>
    <x v="3"/>
    <m/>
    <m/>
    <m/>
  </r>
  <r>
    <x v="45"/>
    <x v="4"/>
    <x v="18"/>
    <s v="Single Image"/>
    <n v="145569"/>
    <n v="5119"/>
    <n v="1024.73"/>
    <n v="111377"/>
    <n v="209"/>
    <x v="3"/>
    <m/>
    <m/>
    <m/>
  </r>
  <r>
    <x v="46"/>
    <x v="0"/>
    <x v="5"/>
    <s v="Video"/>
    <n v="152340"/>
    <n v="4941"/>
    <n v="1002.74"/>
    <n v="112420"/>
    <n v="173"/>
    <x v="3"/>
    <m/>
    <m/>
    <m/>
  </r>
  <r>
    <x v="46"/>
    <x v="0"/>
    <x v="18"/>
    <s v="Carousel"/>
    <n v="123307"/>
    <n v="5008"/>
    <n v="989.94"/>
    <n v="94968"/>
    <n v="222"/>
    <x v="3"/>
    <m/>
    <m/>
    <m/>
  </r>
  <r>
    <x v="46"/>
    <x v="1"/>
    <x v="2"/>
    <s v="Dynamic"/>
    <n v="105969"/>
    <n v="4341"/>
    <n v="807.01"/>
    <n v="77053"/>
    <n v="126"/>
    <x v="3"/>
    <m/>
    <m/>
    <m/>
  </r>
  <r>
    <x v="46"/>
    <x v="1"/>
    <x v="19"/>
    <s v="Dynamic"/>
    <n v="117993"/>
    <n v="3628"/>
    <n v="724.71"/>
    <n v="88526"/>
    <n v="190"/>
    <x v="3"/>
    <m/>
    <m/>
    <m/>
  </r>
  <r>
    <x v="46"/>
    <x v="4"/>
    <x v="20"/>
    <s v="Carousel"/>
    <n v="87979"/>
    <n v="3332"/>
    <n v="799.28"/>
    <n v="72128"/>
    <n v="168"/>
    <x v="3"/>
    <m/>
    <m/>
    <m/>
  </r>
  <r>
    <x v="46"/>
    <x v="4"/>
    <x v="18"/>
    <s v="Single Image"/>
    <n v="49788"/>
    <n v="1930"/>
    <n v="380.04"/>
    <n v="37573"/>
    <n v="111"/>
    <x v="3"/>
    <m/>
    <m/>
    <m/>
  </r>
  <r>
    <x v="47"/>
    <x v="0"/>
    <x v="5"/>
    <s v="Video"/>
    <n v="106015"/>
    <n v="4093"/>
    <n v="739.66"/>
    <n v="83265"/>
    <n v="236"/>
    <x v="3"/>
    <m/>
    <m/>
    <m/>
  </r>
  <r>
    <x v="47"/>
    <x v="0"/>
    <x v="18"/>
    <s v="Carousel"/>
    <n v="82101"/>
    <n v="2560"/>
    <n v="571.9"/>
    <n v="60835"/>
    <n v="89"/>
    <x v="3"/>
    <m/>
    <m/>
    <m/>
  </r>
  <r>
    <x v="47"/>
    <x v="1"/>
    <x v="2"/>
    <s v="Carousel"/>
    <n v="90476"/>
    <n v="2964"/>
    <n v="548.79"/>
    <n v="72795"/>
    <n v="121"/>
    <x v="3"/>
    <m/>
    <m/>
    <m/>
  </r>
  <r>
    <x v="47"/>
    <x v="1"/>
    <x v="19"/>
    <s v="Carousel"/>
    <n v="57470"/>
    <n v="1962"/>
    <n v="453.57"/>
    <n v="41551"/>
    <n v="63"/>
    <x v="3"/>
    <m/>
    <m/>
    <m/>
  </r>
  <r>
    <x v="48"/>
    <x v="0"/>
    <x v="5"/>
    <s v="Carousel"/>
    <n v="70051"/>
    <n v="2886"/>
    <n v="521.16"/>
    <n v="56113"/>
    <n v="153"/>
    <x v="3"/>
    <m/>
    <m/>
    <m/>
  </r>
  <r>
    <x v="48"/>
    <x v="0"/>
    <x v="18"/>
    <s v="Single Image"/>
    <n v="59555"/>
    <n v="2017"/>
    <n v="446.05"/>
    <n v="45281"/>
    <n v="103"/>
    <x v="3"/>
    <m/>
    <m/>
    <m/>
  </r>
  <r>
    <x v="48"/>
    <x v="1"/>
    <x v="2"/>
    <s v="Carousel"/>
    <n v="72739"/>
    <n v="2634"/>
    <n v="563.82000000000005"/>
    <n v="52606"/>
    <n v="84"/>
    <x v="3"/>
    <m/>
    <m/>
    <m/>
  </r>
  <r>
    <x v="48"/>
    <x v="1"/>
    <x v="19"/>
    <s v="Carousel"/>
    <n v="104473"/>
    <n v="3846"/>
    <n v="831.43"/>
    <n v="81570"/>
    <n v="207"/>
    <x v="3"/>
    <m/>
    <m/>
    <m/>
  </r>
  <r>
    <x v="49"/>
    <x v="0"/>
    <x v="5"/>
    <s v="Video"/>
    <n v="56765"/>
    <n v="2343"/>
    <n v="430.7"/>
    <n v="43064"/>
    <n v="98"/>
    <x v="3"/>
    <m/>
    <m/>
    <m/>
  </r>
  <r>
    <x v="49"/>
    <x v="0"/>
    <x v="18"/>
    <s v="Single Image"/>
    <n v="104647"/>
    <n v="4339"/>
    <n v="947.38"/>
    <n v="78533"/>
    <n v="143"/>
    <x v="3"/>
    <m/>
    <m/>
    <m/>
  </r>
  <r>
    <x v="49"/>
    <x v="1"/>
    <x v="2"/>
    <s v="Dynamic"/>
    <n v="34202"/>
    <n v="1353"/>
    <n v="292.52"/>
    <n v="24717"/>
    <n v="45"/>
    <x v="3"/>
    <m/>
    <m/>
    <m/>
  </r>
  <r>
    <x v="49"/>
    <x v="1"/>
    <x v="19"/>
    <s v="Carousel"/>
    <n v="67200"/>
    <n v="2075"/>
    <n v="409.74"/>
    <n v="51907"/>
    <n v="86"/>
    <x v="3"/>
    <m/>
    <m/>
    <m/>
  </r>
  <r>
    <x v="50"/>
    <x v="0"/>
    <x v="5"/>
    <s v="Video"/>
    <n v="97964"/>
    <n v="2758"/>
    <n v="550.51"/>
    <n v="79446"/>
    <n v="109"/>
    <x v="3"/>
    <m/>
    <m/>
    <m/>
  </r>
  <r>
    <x v="50"/>
    <x v="0"/>
    <x v="18"/>
    <s v="Carousel"/>
    <n v="46926"/>
    <n v="1666"/>
    <n v="347.69"/>
    <n v="34109"/>
    <n v="94"/>
    <x v="3"/>
    <m/>
    <m/>
    <m/>
  </r>
  <r>
    <x v="50"/>
    <x v="1"/>
    <x v="2"/>
    <s v="Dynamic"/>
    <n v="47030"/>
    <n v="1889"/>
    <n v="375.13"/>
    <n v="37708"/>
    <n v="90"/>
    <x v="3"/>
    <m/>
    <m/>
    <m/>
  </r>
  <r>
    <x v="50"/>
    <x v="1"/>
    <x v="19"/>
    <s v="Dynamic"/>
    <n v="109129"/>
    <n v="3934"/>
    <n v="781.37"/>
    <n v="80787"/>
    <n v="194"/>
    <x v="3"/>
    <m/>
    <m/>
    <m/>
  </r>
  <r>
    <x v="51"/>
    <x v="0"/>
    <x v="5"/>
    <s v="Video"/>
    <n v="92542"/>
    <n v="2852"/>
    <n v="682.95"/>
    <n v="70755"/>
    <n v="150"/>
    <x v="3"/>
    <m/>
    <m/>
    <m/>
  </r>
  <r>
    <x v="51"/>
    <x v="0"/>
    <x v="18"/>
    <s v="Carousel"/>
    <n v="138495"/>
    <n v="4515"/>
    <n v="966.9"/>
    <n v="106515"/>
    <n v="189"/>
    <x v="3"/>
    <m/>
    <m/>
    <m/>
  </r>
  <r>
    <x v="51"/>
    <x v="1"/>
    <x v="2"/>
    <s v="Dynamic"/>
    <n v="58717"/>
    <n v="1880"/>
    <n v="437.78"/>
    <n v="44955"/>
    <n v="92"/>
    <x v="3"/>
    <m/>
    <m/>
    <m/>
  </r>
  <r>
    <x v="51"/>
    <x v="1"/>
    <x v="19"/>
    <s v="Carousel"/>
    <n v="113764"/>
    <n v="4161"/>
    <n v="951.2"/>
    <n v="83902"/>
    <n v="147"/>
    <x v="3"/>
    <m/>
    <m/>
    <m/>
  </r>
  <r>
    <x v="51"/>
    <x v="3"/>
    <x v="5"/>
    <s v="Carousel"/>
    <n v="126011"/>
    <n v="4206"/>
    <n v="923.41"/>
    <n v="99530"/>
    <n v="129"/>
    <x v="3"/>
    <m/>
    <m/>
    <m/>
  </r>
  <r>
    <x v="51"/>
    <x v="3"/>
    <x v="18"/>
    <s v="Video"/>
    <n v="85983"/>
    <n v="3473"/>
    <n v="658.05"/>
    <n v="69496"/>
    <n v="153"/>
    <x v="3"/>
    <m/>
    <m/>
    <m/>
  </r>
  <r>
    <x v="52"/>
    <x v="0"/>
    <x v="5"/>
    <s v="Single Image"/>
    <n v="54247"/>
    <n v="2049"/>
    <n v="457.63"/>
    <n v="40236"/>
    <n v="87"/>
    <x v="3"/>
    <m/>
    <m/>
    <m/>
  </r>
  <r>
    <x v="52"/>
    <x v="0"/>
    <x v="18"/>
    <s v="Carousel"/>
    <n v="109662"/>
    <n v="3188"/>
    <n v="593.97"/>
    <n v="87362"/>
    <n v="120"/>
    <x v="3"/>
    <m/>
    <m/>
    <m/>
  </r>
  <r>
    <x v="52"/>
    <x v="1"/>
    <x v="2"/>
    <s v="Carousel"/>
    <n v="72247"/>
    <n v="2278"/>
    <n v="479.21"/>
    <n v="55356"/>
    <n v="68"/>
    <x v="3"/>
    <m/>
    <m/>
    <m/>
  </r>
  <r>
    <x v="52"/>
    <x v="1"/>
    <x v="19"/>
    <s v="Carousel"/>
    <n v="111941"/>
    <n v="3672"/>
    <n v="748.94"/>
    <n v="82773"/>
    <n v="106"/>
    <x v="3"/>
    <m/>
    <m/>
    <m/>
  </r>
  <r>
    <x v="52"/>
    <x v="3"/>
    <x v="5"/>
    <s v="Carousel"/>
    <n v="63043"/>
    <n v="2391"/>
    <n v="449.96"/>
    <n v="49616"/>
    <n v="100"/>
    <x v="3"/>
    <m/>
    <m/>
    <m/>
  </r>
  <r>
    <x v="52"/>
    <x v="3"/>
    <x v="18"/>
    <s v="Carousel"/>
    <n v="54520"/>
    <n v="1589"/>
    <n v="348.66"/>
    <n v="43144"/>
    <n v="65"/>
    <x v="3"/>
    <m/>
    <m/>
    <m/>
  </r>
  <r>
    <x v="53"/>
    <x v="0"/>
    <x v="5"/>
    <s v="Video"/>
    <n v="66587"/>
    <n v="2648"/>
    <n v="503.74"/>
    <n v="48062"/>
    <n v="82"/>
    <x v="3"/>
    <m/>
    <m/>
    <m/>
  </r>
  <r>
    <x v="53"/>
    <x v="0"/>
    <x v="18"/>
    <s v="Single Image"/>
    <n v="46272"/>
    <n v="1641"/>
    <n v="333.86"/>
    <n v="33674"/>
    <n v="83"/>
    <x v="3"/>
    <m/>
    <m/>
    <m/>
  </r>
  <r>
    <x v="53"/>
    <x v="1"/>
    <x v="2"/>
    <s v="Carousel"/>
    <n v="50119"/>
    <n v="1712"/>
    <n v="326.44"/>
    <n v="39666"/>
    <n v="93"/>
    <x v="3"/>
    <m/>
    <m/>
    <m/>
  </r>
  <r>
    <x v="53"/>
    <x v="1"/>
    <x v="19"/>
    <s v="Dynamic"/>
    <n v="87941"/>
    <n v="3320"/>
    <n v="764.23"/>
    <n v="70454"/>
    <n v="156"/>
    <x v="3"/>
    <m/>
    <m/>
    <m/>
  </r>
  <r>
    <x v="54"/>
    <x v="0"/>
    <x v="5"/>
    <s v="Single Image"/>
    <n v="43473"/>
    <n v="1454"/>
    <n v="288.62"/>
    <n v="31528"/>
    <n v="40"/>
    <x v="3"/>
    <m/>
    <m/>
    <m/>
  </r>
  <r>
    <x v="54"/>
    <x v="0"/>
    <x v="18"/>
    <s v="Single Image"/>
    <n v="56442"/>
    <n v="2314"/>
    <n v="468.54"/>
    <n v="41984"/>
    <n v="71"/>
    <x v="3"/>
    <m/>
    <m/>
    <m/>
  </r>
  <r>
    <x v="54"/>
    <x v="1"/>
    <x v="2"/>
    <s v="Carousel"/>
    <n v="33662"/>
    <n v="1408"/>
    <n v="281.92"/>
    <n v="24883"/>
    <n v="67"/>
    <x v="3"/>
    <m/>
    <m/>
    <m/>
  </r>
  <r>
    <x v="54"/>
    <x v="1"/>
    <x v="19"/>
    <s v="Dynamic"/>
    <n v="42661"/>
    <n v="1670"/>
    <n v="383.81"/>
    <n v="31432"/>
    <n v="55"/>
    <x v="3"/>
    <m/>
    <m/>
    <m/>
  </r>
  <r>
    <x v="55"/>
    <x v="0"/>
    <x v="5"/>
    <s v="Video"/>
    <n v="97174"/>
    <n v="2867"/>
    <n v="572.33000000000004"/>
    <n v="75426"/>
    <n v="96"/>
    <x v="3"/>
    <m/>
    <m/>
    <m/>
  </r>
  <r>
    <x v="55"/>
    <x v="0"/>
    <x v="18"/>
    <s v="Carousel"/>
    <n v="101002"/>
    <n v="3386"/>
    <n v="696.41"/>
    <n v="75068"/>
    <n v="105"/>
    <x v="3"/>
    <m/>
    <m/>
    <m/>
  </r>
  <r>
    <x v="55"/>
    <x v="1"/>
    <x v="2"/>
    <s v="Carousel"/>
    <n v="52756"/>
    <n v="1488"/>
    <n v="326.23"/>
    <n v="38047"/>
    <n v="51"/>
    <x v="3"/>
    <m/>
    <m/>
    <m/>
  </r>
  <r>
    <x v="55"/>
    <x v="1"/>
    <x v="19"/>
    <s v="Dynamic"/>
    <n v="38652"/>
    <n v="1438"/>
    <n v="282.87"/>
    <n v="30240"/>
    <n v="42"/>
    <x v="3"/>
    <m/>
    <m/>
    <m/>
  </r>
  <r>
    <x v="56"/>
    <x v="0"/>
    <x v="5"/>
    <s v="Carousel"/>
    <n v="83883"/>
    <n v="2702"/>
    <n v="583.45000000000005"/>
    <n v="68642"/>
    <n v="83"/>
    <x v="3"/>
    <m/>
    <m/>
    <m/>
  </r>
  <r>
    <x v="56"/>
    <x v="0"/>
    <x v="18"/>
    <s v="Carousel"/>
    <n v="63022"/>
    <n v="2610"/>
    <n v="563.74"/>
    <n v="51560"/>
    <n v="127"/>
    <x v="3"/>
    <m/>
    <m/>
    <m/>
  </r>
  <r>
    <x v="56"/>
    <x v="1"/>
    <x v="2"/>
    <s v="Dynamic"/>
    <n v="73522"/>
    <n v="2239"/>
    <n v="505.35"/>
    <n v="57991"/>
    <n v="128"/>
    <x v="3"/>
    <m/>
    <m/>
    <m/>
  </r>
  <r>
    <x v="56"/>
    <x v="1"/>
    <x v="19"/>
    <s v="Carousel"/>
    <n v="38849"/>
    <n v="1270"/>
    <n v="274.97000000000003"/>
    <n v="30244"/>
    <n v="50"/>
    <x v="3"/>
    <m/>
    <m/>
    <m/>
  </r>
  <r>
    <x v="57"/>
    <x v="0"/>
    <x v="5"/>
    <s v="Single Image"/>
    <n v="60464"/>
    <n v="2119"/>
    <n v="471.01"/>
    <n v="43614"/>
    <n v="60"/>
    <x v="3"/>
    <m/>
    <m/>
    <m/>
  </r>
  <r>
    <x v="57"/>
    <x v="0"/>
    <x v="18"/>
    <s v="Carousel"/>
    <n v="70481"/>
    <n v="2206"/>
    <n v="453.8"/>
    <n v="52462"/>
    <n v="67"/>
    <x v="3"/>
    <m/>
    <m/>
    <m/>
  </r>
  <r>
    <x v="57"/>
    <x v="1"/>
    <x v="2"/>
    <s v="Dynamic"/>
    <n v="79089"/>
    <n v="2766"/>
    <n v="531.41"/>
    <n v="59915"/>
    <n v="130"/>
    <x v="3"/>
    <m/>
    <m/>
    <m/>
  </r>
  <r>
    <x v="57"/>
    <x v="1"/>
    <x v="19"/>
    <s v="Dynamic"/>
    <n v="108390"/>
    <n v="4535"/>
    <n v="937.04"/>
    <n v="87550"/>
    <n v="145"/>
    <x v="3"/>
    <m/>
    <m/>
    <m/>
  </r>
  <r>
    <x v="58"/>
    <x v="0"/>
    <x v="5"/>
    <s v="Video"/>
    <n v="49267"/>
    <n v="1738"/>
    <n v="414.78"/>
    <n v="38664"/>
    <n v="63"/>
    <x v="3"/>
    <m/>
    <m/>
    <m/>
  </r>
  <r>
    <x v="58"/>
    <x v="0"/>
    <x v="18"/>
    <s v="Carousel"/>
    <n v="84022"/>
    <n v="3348"/>
    <n v="669.19"/>
    <n v="62531"/>
    <n v="147"/>
    <x v="3"/>
    <m/>
    <m/>
    <m/>
  </r>
  <r>
    <x v="58"/>
    <x v="1"/>
    <x v="2"/>
    <s v="Dynamic"/>
    <n v="82818"/>
    <n v="3023"/>
    <n v="613.33000000000004"/>
    <n v="62292"/>
    <n v="124"/>
    <x v="3"/>
    <m/>
    <m/>
    <m/>
  </r>
  <r>
    <x v="58"/>
    <x v="1"/>
    <x v="19"/>
    <s v="Dynamic"/>
    <n v="53856"/>
    <n v="2163"/>
    <n v="398.42"/>
    <n v="39812"/>
    <n v="101"/>
    <x v="3"/>
    <m/>
    <m/>
    <m/>
  </r>
  <r>
    <x v="58"/>
    <x v="3"/>
    <x v="5"/>
    <s v="Video"/>
    <n v="79473"/>
    <n v="2364"/>
    <n v="450.15"/>
    <n v="61582"/>
    <n v="122"/>
    <x v="3"/>
    <m/>
    <m/>
    <m/>
  </r>
  <r>
    <x v="58"/>
    <x v="3"/>
    <x v="18"/>
    <s v="Video"/>
    <n v="85362"/>
    <n v="2996"/>
    <n v="615.9"/>
    <n v="65447"/>
    <n v="98"/>
    <x v="3"/>
    <m/>
    <m/>
    <m/>
  </r>
  <r>
    <x v="59"/>
    <x v="0"/>
    <x v="5"/>
    <s v="Carousel"/>
    <n v="80732"/>
    <n v="2739"/>
    <n v="592.59"/>
    <n v="60574"/>
    <n v="124"/>
    <x v="3"/>
    <m/>
    <m/>
    <m/>
  </r>
  <r>
    <x v="59"/>
    <x v="0"/>
    <x v="18"/>
    <s v="Carousel"/>
    <n v="85322"/>
    <n v="3419"/>
    <n v="714.13"/>
    <n v="69546"/>
    <n v="132"/>
    <x v="3"/>
    <m/>
    <m/>
    <m/>
  </r>
  <r>
    <x v="59"/>
    <x v="1"/>
    <x v="2"/>
    <s v="Carousel"/>
    <n v="67585"/>
    <n v="2337"/>
    <n v="479.93"/>
    <n v="52779"/>
    <n v="95"/>
    <x v="3"/>
    <m/>
    <m/>
    <m/>
  </r>
  <r>
    <x v="59"/>
    <x v="1"/>
    <x v="19"/>
    <s v="Dynamic"/>
    <n v="121128"/>
    <n v="3425"/>
    <n v="694.88"/>
    <n v="97557"/>
    <n v="173"/>
    <x v="3"/>
    <m/>
    <m/>
    <m/>
  </r>
  <r>
    <x v="59"/>
    <x v="3"/>
    <x v="5"/>
    <s v="Carousel"/>
    <n v="140414"/>
    <n v="4987"/>
    <n v="1063.08"/>
    <n v="103565"/>
    <n v="196"/>
    <x v="3"/>
    <m/>
    <m/>
    <m/>
  </r>
  <r>
    <x v="59"/>
    <x v="3"/>
    <x v="18"/>
    <s v="Carousel"/>
    <n v="116290"/>
    <n v="3717"/>
    <n v="794.43"/>
    <n v="89320"/>
    <n v="141"/>
    <x v="3"/>
    <m/>
    <m/>
    <m/>
  </r>
  <r>
    <x v="60"/>
    <x v="0"/>
    <x v="5"/>
    <s v="Single Image"/>
    <n v="118957"/>
    <n v="3656"/>
    <n v="859.04"/>
    <n v="85698"/>
    <n v="196"/>
    <x v="3"/>
    <m/>
    <m/>
    <m/>
  </r>
  <r>
    <x v="60"/>
    <x v="0"/>
    <x v="18"/>
    <s v="Single Image"/>
    <n v="122739"/>
    <n v="4131"/>
    <n v="846.65"/>
    <n v="93215"/>
    <n v="207"/>
    <x v="3"/>
    <m/>
    <m/>
    <m/>
  </r>
  <r>
    <x v="60"/>
    <x v="1"/>
    <x v="2"/>
    <s v="Carousel"/>
    <n v="122415"/>
    <n v="3955"/>
    <n v="946.24"/>
    <n v="89010"/>
    <n v="215"/>
    <x v="3"/>
    <m/>
    <m/>
    <m/>
  </r>
  <r>
    <x v="60"/>
    <x v="1"/>
    <x v="19"/>
    <s v="Dynamic"/>
    <n v="104570"/>
    <n v="4292"/>
    <n v="814.37"/>
    <n v="83268"/>
    <n v="243"/>
    <x v="3"/>
    <m/>
    <m/>
    <m/>
  </r>
  <r>
    <x v="61"/>
    <x v="0"/>
    <x v="5"/>
    <s v="Single Image"/>
    <n v="98394"/>
    <n v="3457"/>
    <n v="723.61"/>
    <n v="77618"/>
    <n v="169"/>
    <x v="3"/>
    <m/>
    <m/>
    <m/>
  </r>
  <r>
    <x v="61"/>
    <x v="0"/>
    <x v="18"/>
    <s v="Single Image"/>
    <n v="111252"/>
    <n v="4260"/>
    <n v="828.75"/>
    <n v="80485"/>
    <n v="223"/>
    <x v="3"/>
    <m/>
    <m/>
    <m/>
  </r>
  <r>
    <x v="61"/>
    <x v="1"/>
    <x v="2"/>
    <s v="Dynamic"/>
    <n v="64197"/>
    <n v="2032"/>
    <n v="421.29"/>
    <n v="50594"/>
    <n v="72"/>
    <x v="3"/>
    <m/>
    <m/>
    <m/>
  </r>
  <r>
    <x v="61"/>
    <x v="1"/>
    <x v="19"/>
    <s v="Dynamic"/>
    <n v="41102"/>
    <n v="1218"/>
    <n v="225.99"/>
    <n v="32518"/>
    <n v="48"/>
    <x v="3"/>
    <m/>
    <m/>
    <m/>
  </r>
  <r>
    <x v="62"/>
    <x v="0"/>
    <x v="5"/>
    <s v="Single Image"/>
    <n v="138877"/>
    <n v="5782"/>
    <n v="1068.6300000000001"/>
    <n v="112628"/>
    <n v="313"/>
    <x v="3"/>
    <m/>
    <m/>
    <m/>
  </r>
  <r>
    <x v="62"/>
    <x v="0"/>
    <x v="18"/>
    <s v="Carousel"/>
    <n v="111735"/>
    <n v="3524"/>
    <n v="698.22"/>
    <n v="91261"/>
    <n v="168"/>
    <x v="3"/>
    <m/>
    <m/>
    <m/>
  </r>
  <r>
    <x v="62"/>
    <x v="1"/>
    <x v="2"/>
    <s v="Carousel"/>
    <n v="138863"/>
    <n v="4486"/>
    <n v="918.27"/>
    <n v="112151"/>
    <n v="223"/>
    <x v="3"/>
    <m/>
    <m/>
    <m/>
  </r>
  <r>
    <x v="62"/>
    <x v="1"/>
    <x v="19"/>
    <s v="Dynamic"/>
    <n v="57618"/>
    <n v="2126"/>
    <n v="481.75"/>
    <n v="43469"/>
    <n v="68"/>
    <x v="3"/>
    <m/>
    <m/>
    <m/>
  </r>
  <r>
    <x v="63"/>
    <x v="0"/>
    <x v="5"/>
    <s v="Single Image"/>
    <n v="74700"/>
    <n v="3064"/>
    <n v="624.67999999999995"/>
    <n v="56085"/>
    <n v="176"/>
    <x v="3"/>
    <m/>
    <m/>
    <m/>
  </r>
  <r>
    <x v="63"/>
    <x v="0"/>
    <x v="18"/>
    <s v="Single Image"/>
    <n v="39267"/>
    <n v="1152"/>
    <n v="260.83999999999997"/>
    <n v="29912"/>
    <n v="46"/>
    <x v="3"/>
    <m/>
    <m/>
    <m/>
  </r>
  <r>
    <x v="63"/>
    <x v="1"/>
    <x v="2"/>
    <s v="Carousel"/>
    <n v="112430"/>
    <n v="3416"/>
    <n v="691.67"/>
    <n v="88865"/>
    <n v="115"/>
    <x v="3"/>
    <m/>
    <m/>
    <m/>
  </r>
  <r>
    <x v="63"/>
    <x v="1"/>
    <x v="19"/>
    <s v="Dynamic"/>
    <n v="124641"/>
    <n v="5145"/>
    <n v="1065.22"/>
    <n v="99891"/>
    <n v="172"/>
    <x v="3"/>
    <m/>
    <m/>
    <m/>
  </r>
  <r>
    <x v="64"/>
    <x v="0"/>
    <x v="5"/>
    <s v="Carousel"/>
    <n v="70135"/>
    <n v="2758"/>
    <n v="528.19000000000005"/>
    <n v="57391"/>
    <n v="149"/>
    <x v="3"/>
    <m/>
    <m/>
    <m/>
  </r>
  <r>
    <x v="64"/>
    <x v="0"/>
    <x v="18"/>
    <s v="Single Image"/>
    <n v="57605"/>
    <n v="2313"/>
    <n v="439.39"/>
    <n v="43164"/>
    <n v="90"/>
    <x v="3"/>
    <m/>
    <m/>
    <m/>
  </r>
  <r>
    <x v="64"/>
    <x v="1"/>
    <x v="2"/>
    <s v="Carousel"/>
    <n v="49949"/>
    <n v="1637"/>
    <n v="352.18"/>
    <n v="38350"/>
    <n v="78"/>
    <x v="3"/>
    <m/>
    <m/>
    <m/>
  </r>
  <r>
    <x v="64"/>
    <x v="1"/>
    <x v="19"/>
    <s v="Dynamic"/>
    <n v="40619"/>
    <n v="1172"/>
    <n v="263.83"/>
    <n v="29275"/>
    <n v="53"/>
    <x v="3"/>
    <m/>
    <m/>
    <m/>
  </r>
  <r>
    <x v="65"/>
    <x v="0"/>
    <x v="5"/>
    <s v="Carousel"/>
    <n v="55500"/>
    <n v="1718"/>
    <n v="390.86"/>
    <n v="42044"/>
    <n v="74"/>
    <x v="3"/>
    <m/>
    <m/>
    <m/>
  </r>
  <r>
    <x v="65"/>
    <x v="0"/>
    <x v="18"/>
    <s v="Single Image"/>
    <n v="121798"/>
    <n v="4217"/>
    <n v="844.34"/>
    <n v="92925"/>
    <n v="164"/>
    <x v="3"/>
    <m/>
    <m/>
    <m/>
  </r>
  <r>
    <x v="65"/>
    <x v="1"/>
    <x v="2"/>
    <s v="Carousel"/>
    <n v="92712"/>
    <n v="3656"/>
    <n v="864.5"/>
    <n v="72918"/>
    <n v="143"/>
    <x v="3"/>
    <m/>
    <m/>
    <m/>
  </r>
  <r>
    <x v="65"/>
    <x v="1"/>
    <x v="19"/>
    <s v="Dynamic"/>
    <n v="99664"/>
    <n v="4008"/>
    <n v="915.33"/>
    <n v="71788"/>
    <n v="216"/>
    <x v="3"/>
    <m/>
    <m/>
    <m/>
  </r>
  <r>
    <x v="65"/>
    <x v="3"/>
    <x v="5"/>
    <s v="Carousel"/>
    <n v="62661"/>
    <n v="1777"/>
    <n v="332.96"/>
    <n v="48440"/>
    <n v="100"/>
    <x v="3"/>
    <m/>
    <m/>
    <m/>
  </r>
  <r>
    <x v="65"/>
    <x v="3"/>
    <x v="18"/>
    <s v="Video"/>
    <n v="101777"/>
    <n v="3493"/>
    <n v="772.55"/>
    <n v="82132"/>
    <n v="151"/>
    <x v="3"/>
    <m/>
    <m/>
    <m/>
  </r>
  <r>
    <x v="66"/>
    <x v="0"/>
    <x v="5"/>
    <s v="Single Image"/>
    <n v="71022"/>
    <n v="1991"/>
    <n v="434.6"/>
    <n v="57825"/>
    <n v="74"/>
    <x v="3"/>
    <m/>
    <m/>
    <m/>
  </r>
  <r>
    <x v="66"/>
    <x v="0"/>
    <x v="18"/>
    <s v="Single Image"/>
    <n v="46796"/>
    <n v="1945"/>
    <n v="435.97"/>
    <n v="36865"/>
    <n v="68"/>
    <x v="3"/>
    <m/>
    <m/>
    <m/>
  </r>
  <r>
    <x v="66"/>
    <x v="1"/>
    <x v="2"/>
    <s v="Carousel"/>
    <n v="107185"/>
    <n v="4110"/>
    <n v="935.59"/>
    <n v="80906"/>
    <n v="230"/>
    <x v="3"/>
    <m/>
    <m/>
    <m/>
  </r>
  <r>
    <x v="66"/>
    <x v="1"/>
    <x v="19"/>
    <s v="Carousel"/>
    <n v="56115"/>
    <n v="2148"/>
    <n v="424.51"/>
    <n v="41497"/>
    <n v="69"/>
    <x v="3"/>
    <m/>
    <m/>
    <m/>
  </r>
  <r>
    <x v="66"/>
    <x v="3"/>
    <x v="5"/>
    <s v="Video"/>
    <n v="60786"/>
    <n v="2125"/>
    <n v="393.6"/>
    <n v="48825"/>
    <n v="123"/>
    <x v="3"/>
    <m/>
    <m/>
    <m/>
  </r>
  <r>
    <x v="66"/>
    <x v="3"/>
    <x v="18"/>
    <s v="Carousel"/>
    <n v="67635"/>
    <n v="2742"/>
    <n v="650.69000000000005"/>
    <n v="51958"/>
    <n v="121"/>
    <x v="3"/>
    <m/>
    <m/>
    <m/>
  </r>
  <r>
    <x v="67"/>
    <x v="0"/>
    <x v="5"/>
    <s v="Carousel"/>
    <n v="75062"/>
    <n v="2280"/>
    <n v="539.57000000000005"/>
    <n v="59298"/>
    <n v="71"/>
    <x v="3"/>
    <m/>
    <m/>
    <m/>
  </r>
  <r>
    <x v="67"/>
    <x v="0"/>
    <x v="18"/>
    <s v="Carousel"/>
    <n v="66302"/>
    <n v="2718"/>
    <n v="542.49"/>
    <n v="50280"/>
    <n v="98"/>
    <x v="3"/>
    <m/>
    <m/>
    <m/>
  </r>
  <r>
    <x v="67"/>
    <x v="1"/>
    <x v="2"/>
    <s v="Carousel"/>
    <n v="120157"/>
    <n v="4965"/>
    <n v="1093.47"/>
    <n v="94509"/>
    <n v="276"/>
    <x v="3"/>
    <m/>
    <m/>
    <m/>
  </r>
  <r>
    <x v="67"/>
    <x v="1"/>
    <x v="19"/>
    <s v="Carousel"/>
    <n v="54410"/>
    <n v="2129"/>
    <n v="425.73"/>
    <n v="40392"/>
    <n v="96"/>
    <x v="3"/>
    <m/>
    <m/>
    <m/>
  </r>
  <r>
    <x v="68"/>
    <x v="0"/>
    <x v="5"/>
    <s v="Single Image"/>
    <n v="50018"/>
    <n v="1851"/>
    <n v="375.05"/>
    <n v="39601"/>
    <n v="92"/>
    <x v="3"/>
    <m/>
    <m/>
    <m/>
  </r>
  <r>
    <x v="68"/>
    <x v="0"/>
    <x v="18"/>
    <s v="Single Image"/>
    <n v="134743"/>
    <n v="5595"/>
    <n v="1153.79"/>
    <n v="100159"/>
    <n v="200"/>
    <x v="3"/>
    <m/>
    <m/>
    <m/>
  </r>
  <r>
    <x v="68"/>
    <x v="1"/>
    <x v="2"/>
    <s v="Carousel"/>
    <n v="53939"/>
    <n v="1594"/>
    <n v="319.45999999999998"/>
    <n v="42030"/>
    <n v="53"/>
    <x v="3"/>
    <m/>
    <m/>
    <m/>
  </r>
  <r>
    <x v="68"/>
    <x v="1"/>
    <x v="19"/>
    <s v="Dynamic"/>
    <n v="136607"/>
    <n v="4528"/>
    <n v="1046.8699999999999"/>
    <n v="111390"/>
    <n v="205"/>
    <x v="3"/>
    <m/>
    <m/>
    <m/>
  </r>
  <r>
    <x v="69"/>
    <x v="0"/>
    <x v="5"/>
    <s v="Carousel"/>
    <n v="91958"/>
    <n v="2654"/>
    <n v="563.01"/>
    <n v="73999"/>
    <n v="152"/>
    <x v="3"/>
    <m/>
    <m/>
    <m/>
  </r>
  <r>
    <x v="69"/>
    <x v="0"/>
    <x v="18"/>
    <s v="Single Image"/>
    <n v="101197"/>
    <n v="3963"/>
    <n v="935.41"/>
    <n v="74140"/>
    <n v="189"/>
    <x v="3"/>
    <m/>
    <m/>
    <m/>
  </r>
  <r>
    <x v="69"/>
    <x v="1"/>
    <x v="2"/>
    <s v="Dynamic"/>
    <n v="57161"/>
    <n v="1916"/>
    <n v="406.76"/>
    <n v="43788"/>
    <n v="61"/>
    <x v="3"/>
    <m/>
    <m/>
    <m/>
  </r>
  <r>
    <x v="69"/>
    <x v="1"/>
    <x v="19"/>
    <s v="Carousel"/>
    <n v="76299"/>
    <n v="2670"/>
    <n v="553.62"/>
    <n v="59524"/>
    <n v="86"/>
    <x v="3"/>
    <m/>
    <m/>
    <m/>
  </r>
  <r>
    <x v="70"/>
    <x v="0"/>
    <x v="5"/>
    <s v="Single Image"/>
    <n v="44851"/>
    <n v="1631"/>
    <n v="323.81"/>
    <n v="36734"/>
    <n v="51"/>
    <x v="3"/>
    <m/>
    <m/>
    <m/>
  </r>
  <r>
    <x v="70"/>
    <x v="0"/>
    <x v="18"/>
    <s v="Single Image"/>
    <n v="75753"/>
    <n v="2646"/>
    <n v="588.07000000000005"/>
    <n v="57395"/>
    <n v="151"/>
    <x v="3"/>
    <m/>
    <m/>
    <m/>
  </r>
  <r>
    <x v="70"/>
    <x v="1"/>
    <x v="2"/>
    <s v="Carousel"/>
    <n v="65018"/>
    <n v="2574"/>
    <n v="495.85"/>
    <n v="51576"/>
    <n v="134"/>
    <x v="3"/>
    <m/>
    <m/>
    <m/>
  </r>
  <r>
    <x v="70"/>
    <x v="1"/>
    <x v="19"/>
    <s v="Dynamic"/>
    <n v="69503"/>
    <n v="2779"/>
    <n v="621.51"/>
    <n v="52121"/>
    <n v="145"/>
    <x v="3"/>
    <m/>
    <m/>
    <m/>
  </r>
  <r>
    <x v="71"/>
    <x v="0"/>
    <x v="5"/>
    <s v="Carousel"/>
    <n v="42673"/>
    <n v="1522"/>
    <n v="304.77"/>
    <n v="33617"/>
    <n v="87"/>
    <x v="3"/>
    <m/>
    <m/>
    <m/>
  </r>
  <r>
    <x v="71"/>
    <x v="0"/>
    <x v="18"/>
    <s v="Single Image"/>
    <n v="105634"/>
    <n v="3063"/>
    <n v="684.9"/>
    <n v="79039"/>
    <n v="170"/>
    <x v="3"/>
    <m/>
    <m/>
    <m/>
  </r>
  <r>
    <x v="71"/>
    <x v="1"/>
    <x v="2"/>
    <s v="Carousel"/>
    <n v="55581"/>
    <n v="1658"/>
    <n v="373.28"/>
    <n v="43244"/>
    <n v="86"/>
    <x v="3"/>
    <m/>
    <m/>
    <m/>
  </r>
  <r>
    <x v="71"/>
    <x v="1"/>
    <x v="19"/>
    <s v="Carousel"/>
    <n v="116959"/>
    <n v="4346"/>
    <n v="932.78"/>
    <n v="89378"/>
    <n v="184"/>
    <x v="3"/>
    <m/>
    <m/>
    <m/>
  </r>
  <r>
    <x v="72"/>
    <x v="0"/>
    <x v="5"/>
    <s v="Carousel"/>
    <n v="74742"/>
    <n v="2321"/>
    <n v="522"/>
    <n v="59310"/>
    <n v="65"/>
    <x v="3"/>
    <m/>
    <m/>
    <m/>
  </r>
  <r>
    <x v="72"/>
    <x v="0"/>
    <x v="18"/>
    <s v="Carousel"/>
    <n v="64149"/>
    <n v="2134"/>
    <n v="509.94"/>
    <n v="50545"/>
    <n v="70"/>
    <x v="3"/>
    <m/>
    <m/>
    <m/>
  </r>
  <r>
    <x v="72"/>
    <x v="1"/>
    <x v="2"/>
    <s v="Dynamic"/>
    <n v="55365"/>
    <n v="1825"/>
    <n v="380.39"/>
    <n v="45095"/>
    <n v="57"/>
    <x v="3"/>
    <m/>
    <m/>
    <m/>
  </r>
  <r>
    <x v="72"/>
    <x v="1"/>
    <x v="19"/>
    <s v="Carousel"/>
    <n v="140110"/>
    <n v="4774"/>
    <n v="901.88"/>
    <n v="111002"/>
    <n v="168"/>
    <x v="3"/>
    <m/>
    <m/>
    <m/>
  </r>
  <r>
    <x v="72"/>
    <x v="3"/>
    <x v="5"/>
    <s v="Video"/>
    <n v="80039"/>
    <n v="2685"/>
    <n v="532.05999999999995"/>
    <n v="62399"/>
    <n v="89"/>
    <x v="3"/>
    <m/>
    <m/>
    <m/>
  </r>
  <r>
    <x v="72"/>
    <x v="3"/>
    <x v="18"/>
    <s v="Carousel"/>
    <n v="54268"/>
    <n v="2110"/>
    <n v="489.3"/>
    <n v="42602"/>
    <n v="76"/>
    <x v="3"/>
    <m/>
    <m/>
    <m/>
  </r>
  <r>
    <x v="73"/>
    <x v="0"/>
    <x v="5"/>
    <s v="Single Image"/>
    <n v="114844"/>
    <n v="3806"/>
    <n v="712.48"/>
    <n v="83636"/>
    <n v="162"/>
    <x v="3"/>
    <m/>
    <m/>
    <m/>
  </r>
  <r>
    <x v="73"/>
    <x v="0"/>
    <x v="18"/>
    <s v="Carousel"/>
    <n v="42923"/>
    <n v="1554"/>
    <n v="371.78"/>
    <n v="32962"/>
    <n v="75"/>
    <x v="3"/>
    <m/>
    <m/>
    <m/>
  </r>
  <r>
    <x v="73"/>
    <x v="1"/>
    <x v="2"/>
    <s v="Dynamic"/>
    <n v="140021"/>
    <n v="4275"/>
    <n v="893.7"/>
    <n v="109840"/>
    <n v="175"/>
    <x v="3"/>
    <m/>
    <m/>
    <m/>
  </r>
  <r>
    <x v="73"/>
    <x v="1"/>
    <x v="19"/>
    <s v="Dynamic"/>
    <n v="55942"/>
    <n v="1821"/>
    <n v="405.77"/>
    <n v="45101"/>
    <n v="80"/>
    <x v="3"/>
    <m/>
    <m/>
    <m/>
  </r>
  <r>
    <x v="73"/>
    <x v="3"/>
    <x v="5"/>
    <s v="Carousel"/>
    <n v="42364"/>
    <n v="1419"/>
    <n v="325.02"/>
    <n v="33821"/>
    <n v="62"/>
    <x v="3"/>
    <m/>
    <m/>
    <m/>
  </r>
  <r>
    <x v="73"/>
    <x v="3"/>
    <x v="18"/>
    <s v="Video"/>
    <n v="127416"/>
    <n v="5060"/>
    <n v="1074.43"/>
    <n v="102172"/>
    <n v="240"/>
    <x v="3"/>
    <m/>
    <m/>
    <m/>
  </r>
  <r>
    <x v="73"/>
    <x v="5"/>
    <x v="5"/>
    <s v="Video"/>
    <n v="58991"/>
    <n v="1800"/>
    <n v="388.7"/>
    <n v="43534"/>
    <n v="80"/>
    <x v="3"/>
    <m/>
    <m/>
    <m/>
  </r>
  <r>
    <x v="73"/>
    <x v="5"/>
    <x v="21"/>
    <s v="Single Image"/>
    <n v="59965"/>
    <n v="1711"/>
    <n v="367.02"/>
    <n v="47088"/>
    <n v="52"/>
    <x v="3"/>
    <m/>
    <m/>
    <m/>
  </r>
  <r>
    <x v="74"/>
    <x v="0"/>
    <x v="5"/>
    <s v="Video"/>
    <n v="44964"/>
    <n v="1312"/>
    <n v="245.98"/>
    <n v="33716"/>
    <n v="74"/>
    <x v="3"/>
    <m/>
    <m/>
    <m/>
  </r>
  <r>
    <x v="74"/>
    <x v="0"/>
    <x v="18"/>
    <s v="Carousel"/>
    <n v="111085"/>
    <n v="4629"/>
    <n v="1016.02"/>
    <n v="82739"/>
    <n v="136"/>
    <x v="3"/>
    <m/>
    <m/>
    <m/>
  </r>
  <r>
    <x v="74"/>
    <x v="1"/>
    <x v="2"/>
    <s v="Carousel"/>
    <n v="130006"/>
    <n v="4449"/>
    <n v="954.86"/>
    <n v="102641"/>
    <n v="194"/>
    <x v="3"/>
    <m/>
    <m/>
    <m/>
  </r>
  <r>
    <x v="74"/>
    <x v="1"/>
    <x v="19"/>
    <s v="Carousel"/>
    <n v="142287"/>
    <n v="5056"/>
    <n v="973.74"/>
    <n v="103855"/>
    <n v="265"/>
    <x v="3"/>
    <m/>
    <m/>
    <m/>
  </r>
  <r>
    <x v="74"/>
    <x v="5"/>
    <x v="5"/>
    <s v="Video"/>
    <n v="45258"/>
    <n v="1386"/>
    <n v="274.39999999999998"/>
    <n v="36354"/>
    <n v="78"/>
    <x v="3"/>
    <m/>
    <m/>
    <m/>
  </r>
  <r>
    <x v="74"/>
    <x v="5"/>
    <x v="21"/>
    <s v="Single Image"/>
    <n v="139835"/>
    <n v="4618"/>
    <n v="866.84"/>
    <n v="109383"/>
    <n v="139"/>
    <x v="3"/>
    <m/>
    <m/>
    <m/>
  </r>
  <r>
    <x v="75"/>
    <x v="0"/>
    <x v="5"/>
    <s v="Video"/>
    <n v="83417"/>
    <n v="2781"/>
    <n v="651.36"/>
    <n v="63397"/>
    <n v="84"/>
    <x v="3"/>
    <m/>
    <m/>
    <m/>
  </r>
  <r>
    <x v="75"/>
    <x v="0"/>
    <x v="18"/>
    <s v="Single Image"/>
    <n v="111475"/>
    <n v="4588"/>
    <n v="865.27"/>
    <n v="82533"/>
    <n v="215"/>
    <x v="3"/>
    <m/>
    <m/>
    <m/>
  </r>
  <r>
    <x v="75"/>
    <x v="1"/>
    <x v="2"/>
    <s v="Carousel"/>
    <n v="71822"/>
    <n v="2729"/>
    <n v="583.51"/>
    <n v="56364"/>
    <n v="118"/>
    <x v="3"/>
    <m/>
    <m/>
    <m/>
  </r>
  <r>
    <x v="75"/>
    <x v="1"/>
    <x v="19"/>
    <s v="Dynamic"/>
    <n v="110511"/>
    <n v="4365"/>
    <n v="868.55"/>
    <n v="88273"/>
    <n v="171"/>
    <x v="3"/>
    <m/>
    <m/>
    <m/>
  </r>
  <r>
    <x v="75"/>
    <x v="5"/>
    <x v="5"/>
    <s v="Video"/>
    <n v="52209"/>
    <n v="1659"/>
    <n v="351.52"/>
    <n v="41161"/>
    <n v="66"/>
    <x v="3"/>
    <m/>
    <m/>
    <m/>
  </r>
  <r>
    <x v="75"/>
    <x v="5"/>
    <x v="21"/>
    <s v="Single Image"/>
    <n v="54160"/>
    <n v="1791"/>
    <n v="358.22"/>
    <n v="40475"/>
    <n v="96"/>
    <x v="3"/>
    <m/>
    <m/>
    <m/>
  </r>
  <r>
    <x v="76"/>
    <x v="0"/>
    <x v="5"/>
    <s v="Carousel"/>
    <n v="85627"/>
    <n v="2409"/>
    <n v="488.13"/>
    <n v="69946"/>
    <n v="94"/>
    <x v="3"/>
    <m/>
    <m/>
    <m/>
  </r>
  <r>
    <x v="76"/>
    <x v="0"/>
    <x v="18"/>
    <s v="Carousel"/>
    <n v="60043"/>
    <n v="1828"/>
    <n v="408.92"/>
    <n v="45071"/>
    <n v="96"/>
    <x v="3"/>
    <m/>
    <m/>
    <m/>
  </r>
  <r>
    <x v="76"/>
    <x v="1"/>
    <x v="2"/>
    <s v="Carousel"/>
    <n v="55278"/>
    <n v="1957"/>
    <n v="434.51"/>
    <n v="44583"/>
    <n v="87"/>
    <x v="3"/>
    <m/>
    <m/>
    <m/>
  </r>
  <r>
    <x v="76"/>
    <x v="1"/>
    <x v="19"/>
    <s v="Dynamic"/>
    <n v="47171"/>
    <n v="1433"/>
    <n v="339.32"/>
    <n v="35800"/>
    <n v="54"/>
    <x v="3"/>
    <m/>
    <m/>
    <m/>
  </r>
  <r>
    <x v="76"/>
    <x v="5"/>
    <x v="5"/>
    <s v="Carousel"/>
    <n v="120253"/>
    <n v="4364"/>
    <n v="853.35"/>
    <n v="94839"/>
    <n v="215"/>
    <x v="3"/>
    <m/>
    <m/>
    <m/>
  </r>
  <r>
    <x v="76"/>
    <x v="5"/>
    <x v="21"/>
    <s v="Single Image"/>
    <n v="63310"/>
    <n v="2108"/>
    <n v="472.46"/>
    <n v="45917"/>
    <n v="104"/>
    <x v="3"/>
    <m/>
    <m/>
    <m/>
  </r>
  <r>
    <x v="77"/>
    <x v="0"/>
    <x v="5"/>
    <s v="Video"/>
    <n v="81446"/>
    <n v="3053"/>
    <n v="626.15"/>
    <n v="62369"/>
    <n v="125"/>
    <x v="3"/>
    <m/>
    <m/>
    <m/>
  </r>
  <r>
    <x v="77"/>
    <x v="0"/>
    <x v="18"/>
    <s v="Single Image"/>
    <n v="118856"/>
    <n v="4163"/>
    <n v="818.24"/>
    <n v="90660"/>
    <n v="234"/>
    <x v="3"/>
    <m/>
    <m/>
    <m/>
  </r>
  <r>
    <x v="77"/>
    <x v="1"/>
    <x v="2"/>
    <s v="Dynamic"/>
    <n v="91001"/>
    <n v="3357"/>
    <n v="621.77"/>
    <n v="68302"/>
    <n v="171"/>
    <x v="3"/>
    <m/>
    <m/>
    <m/>
  </r>
  <r>
    <x v="77"/>
    <x v="1"/>
    <x v="19"/>
    <s v="Dynamic"/>
    <n v="52540"/>
    <n v="1527"/>
    <n v="296.85000000000002"/>
    <n v="38320"/>
    <n v="69"/>
    <x v="3"/>
    <m/>
    <m/>
    <m/>
  </r>
  <r>
    <x v="77"/>
    <x v="5"/>
    <x v="5"/>
    <s v="Video"/>
    <n v="87707"/>
    <n v="3136"/>
    <n v="657.21"/>
    <n v="70817"/>
    <n v="178"/>
    <x v="3"/>
    <m/>
    <m/>
    <m/>
  </r>
  <r>
    <x v="77"/>
    <x v="5"/>
    <x v="21"/>
    <s v="Single Image"/>
    <n v="125676"/>
    <n v="5159"/>
    <n v="970.85"/>
    <n v="96742"/>
    <n v="250"/>
    <x v="3"/>
    <m/>
    <m/>
    <m/>
  </r>
  <r>
    <x v="78"/>
    <x v="0"/>
    <x v="5"/>
    <s v="Single Image"/>
    <n v="129717"/>
    <n v="4899"/>
    <n v="1001"/>
    <n v="101390"/>
    <n v="271"/>
    <x v="3"/>
    <m/>
    <m/>
    <m/>
  </r>
  <r>
    <x v="78"/>
    <x v="0"/>
    <x v="18"/>
    <s v="Carousel"/>
    <n v="111412"/>
    <n v="4215"/>
    <n v="948.29"/>
    <n v="82937"/>
    <n v="211"/>
    <x v="3"/>
    <m/>
    <m/>
    <m/>
  </r>
  <r>
    <x v="78"/>
    <x v="1"/>
    <x v="2"/>
    <s v="Dynamic"/>
    <n v="142491"/>
    <n v="4884"/>
    <n v="928.51"/>
    <n v="115847"/>
    <n v="248"/>
    <x v="3"/>
    <m/>
    <m/>
    <m/>
  </r>
  <r>
    <x v="78"/>
    <x v="1"/>
    <x v="19"/>
    <s v="Dynamic"/>
    <n v="68786"/>
    <n v="1998"/>
    <n v="460.27"/>
    <n v="53059"/>
    <n v="113"/>
    <x v="3"/>
    <m/>
    <m/>
    <m/>
  </r>
  <r>
    <x v="78"/>
    <x v="5"/>
    <x v="5"/>
    <s v="Carousel"/>
    <n v="123431"/>
    <n v="4111"/>
    <n v="832.05"/>
    <n v="90267"/>
    <n v="227"/>
    <x v="3"/>
    <m/>
    <m/>
    <m/>
  </r>
  <r>
    <x v="78"/>
    <x v="5"/>
    <x v="21"/>
    <s v="Single Image"/>
    <n v="130861"/>
    <n v="5222"/>
    <n v="1208.73"/>
    <n v="98015"/>
    <n v="221"/>
    <x v="3"/>
    <m/>
    <m/>
    <m/>
  </r>
  <r>
    <x v="79"/>
    <x v="0"/>
    <x v="5"/>
    <s v="Video"/>
    <n v="75303"/>
    <n v="2110"/>
    <n v="459.71"/>
    <n v="57182"/>
    <n v="117"/>
    <x v="3"/>
    <m/>
    <m/>
    <m/>
  </r>
  <r>
    <x v="79"/>
    <x v="0"/>
    <x v="18"/>
    <s v="Carousel"/>
    <n v="117900"/>
    <n v="4774"/>
    <n v="1102.32"/>
    <n v="85565"/>
    <n v="134"/>
    <x v="3"/>
    <m/>
    <m/>
    <m/>
  </r>
  <r>
    <x v="79"/>
    <x v="1"/>
    <x v="2"/>
    <s v="Carousel"/>
    <n v="94981"/>
    <n v="3056"/>
    <n v="569.73"/>
    <n v="71708"/>
    <n v="151"/>
    <x v="3"/>
    <m/>
    <m/>
    <m/>
  </r>
  <r>
    <x v="79"/>
    <x v="1"/>
    <x v="19"/>
    <s v="Carousel"/>
    <n v="99409"/>
    <n v="2795"/>
    <n v="575.35"/>
    <n v="73538"/>
    <n v="122"/>
    <x v="3"/>
    <m/>
    <m/>
    <m/>
  </r>
  <r>
    <x v="79"/>
    <x v="3"/>
    <x v="5"/>
    <s v="Video"/>
    <n v="108982"/>
    <n v="3240"/>
    <n v="677.95"/>
    <n v="80163"/>
    <n v="154"/>
    <x v="3"/>
    <m/>
    <m/>
    <m/>
  </r>
  <r>
    <x v="79"/>
    <x v="3"/>
    <x v="18"/>
    <s v="Video"/>
    <n v="119203"/>
    <n v="3997"/>
    <n v="791.23"/>
    <n v="90932"/>
    <n v="133"/>
    <x v="3"/>
    <m/>
    <m/>
    <m/>
  </r>
  <r>
    <x v="79"/>
    <x v="5"/>
    <x v="5"/>
    <s v="Carousel"/>
    <n v="57519"/>
    <n v="2407"/>
    <n v="528.04"/>
    <n v="43940"/>
    <n v="77"/>
    <x v="3"/>
    <m/>
    <m/>
    <m/>
  </r>
  <r>
    <x v="79"/>
    <x v="5"/>
    <x v="21"/>
    <s v="Single Image"/>
    <n v="39989"/>
    <n v="1320"/>
    <n v="306.54000000000002"/>
    <n v="29585"/>
    <n v="44"/>
    <x v="3"/>
    <m/>
    <m/>
    <m/>
  </r>
  <r>
    <x v="80"/>
    <x v="0"/>
    <x v="5"/>
    <s v="Carousel"/>
    <n v="61777"/>
    <n v="2070"/>
    <n v="465"/>
    <n v="50045"/>
    <n v="67"/>
    <x v="3"/>
    <m/>
    <m/>
    <m/>
  </r>
  <r>
    <x v="80"/>
    <x v="0"/>
    <x v="18"/>
    <s v="Carousel"/>
    <n v="120668"/>
    <n v="4999"/>
    <n v="1194.6400000000001"/>
    <n v="88314"/>
    <n v="213"/>
    <x v="3"/>
    <m/>
    <m/>
    <m/>
  </r>
  <r>
    <x v="80"/>
    <x v="1"/>
    <x v="2"/>
    <s v="Carousel"/>
    <n v="60713"/>
    <n v="1976"/>
    <n v="446.31"/>
    <n v="49066"/>
    <n v="85"/>
    <x v="3"/>
    <m/>
    <m/>
    <m/>
  </r>
  <r>
    <x v="80"/>
    <x v="1"/>
    <x v="19"/>
    <s v="Carousel"/>
    <n v="61392"/>
    <n v="1813"/>
    <n v="338.08"/>
    <n v="44332"/>
    <n v="59"/>
    <x v="3"/>
    <m/>
    <m/>
    <m/>
  </r>
  <r>
    <x v="80"/>
    <x v="3"/>
    <x v="5"/>
    <s v="Video"/>
    <n v="79298"/>
    <n v="2278"/>
    <n v="523.46"/>
    <n v="60501"/>
    <n v="104"/>
    <x v="3"/>
    <m/>
    <m/>
    <m/>
  </r>
  <r>
    <x v="80"/>
    <x v="3"/>
    <x v="18"/>
    <s v="Video"/>
    <n v="113006"/>
    <n v="3923"/>
    <n v="772.57"/>
    <n v="82297"/>
    <n v="160"/>
    <x v="3"/>
    <m/>
    <m/>
    <m/>
  </r>
  <r>
    <x v="80"/>
    <x v="5"/>
    <x v="5"/>
    <s v="Video"/>
    <n v="126111"/>
    <n v="3861"/>
    <n v="760.11"/>
    <n v="92250"/>
    <n v="138"/>
    <x v="3"/>
    <m/>
    <m/>
    <m/>
  </r>
  <r>
    <x v="80"/>
    <x v="5"/>
    <x v="21"/>
    <s v="Single Image"/>
    <n v="112125"/>
    <n v="3450"/>
    <n v="767.24"/>
    <n v="89811"/>
    <n v="169"/>
    <x v="3"/>
    <m/>
    <m/>
    <m/>
  </r>
  <r>
    <x v="81"/>
    <x v="0"/>
    <x v="5"/>
    <s v="Single Image"/>
    <n v="69872"/>
    <n v="2140"/>
    <n v="494.97"/>
    <n v="54702"/>
    <n v="69"/>
    <x v="3"/>
    <m/>
    <m/>
    <m/>
  </r>
  <r>
    <x v="81"/>
    <x v="0"/>
    <x v="18"/>
    <s v="Carousel"/>
    <n v="61542"/>
    <n v="2068"/>
    <n v="406.22"/>
    <n v="45492"/>
    <n v="66"/>
    <x v="3"/>
    <m/>
    <m/>
    <m/>
  </r>
  <r>
    <x v="81"/>
    <x v="1"/>
    <x v="2"/>
    <s v="Dynamic"/>
    <n v="73017"/>
    <n v="2137"/>
    <n v="391.19"/>
    <n v="55546"/>
    <n v="79"/>
    <x v="3"/>
    <m/>
    <m/>
    <m/>
  </r>
  <r>
    <x v="81"/>
    <x v="1"/>
    <x v="19"/>
    <s v="Dynamic"/>
    <n v="76788"/>
    <n v="2511"/>
    <n v="524.17999999999995"/>
    <n v="59202"/>
    <n v="118"/>
    <x v="3"/>
    <m/>
    <m/>
    <m/>
  </r>
  <r>
    <x v="81"/>
    <x v="5"/>
    <x v="5"/>
    <s v="Carousel"/>
    <n v="57752"/>
    <n v="1834"/>
    <n v="360.99"/>
    <n v="43608"/>
    <n v="74"/>
    <x v="3"/>
    <m/>
    <m/>
    <m/>
  </r>
  <r>
    <x v="81"/>
    <x v="5"/>
    <x v="21"/>
    <s v="Single Image"/>
    <n v="47102"/>
    <n v="1438"/>
    <n v="258.89"/>
    <n v="37024"/>
    <n v="54"/>
    <x v="3"/>
    <m/>
    <m/>
    <m/>
  </r>
  <r>
    <x v="82"/>
    <x v="0"/>
    <x v="5"/>
    <s v="Video"/>
    <n v="119434"/>
    <n v="3812"/>
    <n v="824.88"/>
    <n v="91138"/>
    <n v="135"/>
    <x v="3"/>
    <m/>
    <m/>
    <m/>
  </r>
  <r>
    <x v="82"/>
    <x v="0"/>
    <x v="18"/>
    <s v="Single Image"/>
    <n v="100951"/>
    <n v="3299"/>
    <n v="615.9"/>
    <n v="79437"/>
    <n v="159"/>
    <x v="3"/>
    <m/>
    <m/>
    <m/>
  </r>
  <r>
    <x v="82"/>
    <x v="1"/>
    <x v="2"/>
    <s v="Dynamic"/>
    <n v="95435"/>
    <n v="3153"/>
    <n v="720.78"/>
    <n v="75803"/>
    <n v="143"/>
    <x v="3"/>
    <m/>
    <m/>
    <m/>
  </r>
  <r>
    <x v="82"/>
    <x v="1"/>
    <x v="19"/>
    <s v="Carousel"/>
    <n v="79596"/>
    <n v="2953"/>
    <n v="568.75"/>
    <n v="60365"/>
    <n v="161"/>
    <x v="3"/>
    <m/>
    <m/>
    <m/>
  </r>
  <r>
    <x v="82"/>
    <x v="5"/>
    <x v="5"/>
    <s v="Video"/>
    <n v="141547"/>
    <n v="4201"/>
    <n v="904.03"/>
    <n v="114825"/>
    <n v="200"/>
    <x v="3"/>
    <m/>
    <m/>
    <m/>
  </r>
  <r>
    <x v="82"/>
    <x v="5"/>
    <x v="21"/>
    <s v="Single Image"/>
    <n v="71873"/>
    <n v="2721"/>
    <n v="640.88"/>
    <n v="52286"/>
    <n v="120"/>
    <x v="3"/>
    <m/>
    <m/>
    <m/>
  </r>
  <r>
    <x v="83"/>
    <x v="0"/>
    <x v="5"/>
    <s v="Video"/>
    <n v="90369"/>
    <n v="3448"/>
    <n v="825.38"/>
    <n v="66891"/>
    <n v="171"/>
    <x v="3"/>
    <m/>
    <m/>
    <m/>
  </r>
  <r>
    <x v="83"/>
    <x v="0"/>
    <x v="18"/>
    <s v="Carousel"/>
    <n v="60781"/>
    <n v="1864"/>
    <n v="397.09"/>
    <n v="45297"/>
    <n v="101"/>
    <x v="3"/>
    <m/>
    <m/>
    <m/>
  </r>
  <r>
    <x v="83"/>
    <x v="1"/>
    <x v="2"/>
    <s v="Carousel"/>
    <n v="101364"/>
    <n v="3474"/>
    <n v="774.84"/>
    <n v="82214"/>
    <n v="104"/>
    <x v="3"/>
    <m/>
    <m/>
    <m/>
  </r>
  <r>
    <x v="83"/>
    <x v="1"/>
    <x v="19"/>
    <s v="Carousel"/>
    <n v="128245"/>
    <n v="5263"/>
    <n v="1106.45"/>
    <n v="92616"/>
    <n v="241"/>
    <x v="3"/>
    <m/>
    <m/>
    <m/>
  </r>
  <r>
    <x v="83"/>
    <x v="5"/>
    <x v="5"/>
    <s v="Video"/>
    <n v="88354"/>
    <n v="2530"/>
    <n v="541.35"/>
    <n v="70633"/>
    <n v="123"/>
    <x v="3"/>
    <m/>
    <m/>
    <m/>
  </r>
  <r>
    <x v="83"/>
    <x v="5"/>
    <x v="21"/>
    <s v="Single Image"/>
    <n v="123349"/>
    <n v="4636"/>
    <n v="1076.55"/>
    <n v="100795"/>
    <n v="152"/>
    <x v="3"/>
    <m/>
    <m/>
    <m/>
  </r>
  <r>
    <x v="84"/>
    <x v="0"/>
    <x v="5"/>
    <s v="Single Image"/>
    <n v="104456"/>
    <n v="3747"/>
    <n v="762.2"/>
    <n v="81551"/>
    <n v="128"/>
    <x v="3"/>
    <m/>
    <m/>
    <m/>
  </r>
  <r>
    <x v="84"/>
    <x v="0"/>
    <x v="18"/>
    <s v="Carousel"/>
    <n v="66262"/>
    <n v="2385"/>
    <n v="514.03"/>
    <n v="47767"/>
    <n v="133"/>
    <x v="3"/>
    <m/>
    <m/>
    <m/>
  </r>
  <r>
    <x v="84"/>
    <x v="1"/>
    <x v="2"/>
    <s v="Carousel"/>
    <n v="124846"/>
    <n v="4732"/>
    <n v="1000.84"/>
    <n v="93677"/>
    <n v="163"/>
    <x v="3"/>
    <m/>
    <m/>
    <m/>
  </r>
  <r>
    <x v="84"/>
    <x v="1"/>
    <x v="19"/>
    <s v="Carousel"/>
    <n v="133082"/>
    <n v="3948"/>
    <n v="763.68"/>
    <n v="102919"/>
    <n v="145"/>
    <x v="3"/>
    <m/>
    <m/>
    <m/>
  </r>
  <r>
    <x v="84"/>
    <x v="5"/>
    <x v="5"/>
    <s v="Video"/>
    <n v="86327"/>
    <n v="3537"/>
    <n v="694.05"/>
    <n v="68980"/>
    <n v="167"/>
    <x v="3"/>
    <m/>
    <m/>
    <m/>
  </r>
  <r>
    <x v="84"/>
    <x v="5"/>
    <x v="21"/>
    <s v="Single Image"/>
    <n v="74777"/>
    <n v="2653"/>
    <n v="477.76"/>
    <n v="56437"/>
    <n v="122"/>
    <x v="3"/>
    <m/>
    <m/>
    <m/>
  </r>
  <r>
    <x v="85"/>
    <x v="0"/>
    <x v="5"/>
    <s v="Video"/>
    <n v="94302"/>
    <n v="2750"/>
    <n v="611.4"/>
    <n v="73077"/>
    <n v="136"/>
    <x v="3"/>
    <m/>
    <m/>
    <m/>
  </r>
  <r>
    <x v="85"/>
    <x v="0"/>
    <x v="18"/>
    <s v="Single Image"/>
    <n v="89247"/>
    <n v="2904"/>
    <n v="532.70000000000005"/>
    <n v="71539"/>
    <n v="153"/>
    <x v="3"/>
    <m/>
    <m/>
    <m/>
  </r>
  <r>
    <x v="85"/>
    <x v="1"/>
    <x v="2"/>
    <s v="Dynamic"/>
    <n v="86656"/>
    <n v="2640"/>
    <n v="629.1"/>
    <n v="67049"/>
    <n v="151"/>
    <x v="3"/>
    <m/>
    <m/>
    <m/>
  </r>
  <r>
    <x v="85"/>
    <x v="1"/>
    <x v="19"/>
    <s v="Dynamic"/>
    <n v="104087"/>
    <n v="4292"/>
    <n v="838.83"/>
    <n v="81460"/>
    <n v="197"/>
    <x v="3"/>
    <m/>
    <m/>
    <m/>
  </r>
  <r>
    <x v="85"/>
    <x v="5"/>
    <x v="5"/>
    <s v="Video"/>
    <n v="114345"/>
    <n v="3554"/>
    <n v="697.04"/>
    <n v="88979"/>
    <n v="185"/>
    <x v="3"/>
    <m/>
    <m/>
    <m/>
  </r>
  <r>
    <x v="85"/>
    <x v="5"/>
    <x v="21"/>
    <s v="Single Image"/>
    <n v="65520"/>
    <n v="2243"/>
    <n v="501.96"/>
    <n v="50017"/>
    <n v="72"/>
    <x v="3"/>
    <m/>
    <m/>
    <m/>
  </r>
  <r>
    <x v="86"/>
    <x v="0"/>
    <x v="5"/>
    <s v="Video"/>
    <n v="54964"/>
    <n v="1920"/>
    <n v="398.52"/>
    <n v="44056"/>
    <n v="63"/>
    <x v="3"/>
    <m/>
    <m/>
    <m/>
  </r>
  <r>
    <x v="86"/>
    <x v="0"/>
    <x v="18"/>
    <s v="Single Image"/>
    <n v="69739"/>
    <n v="2584"/>
    <n v="468.38"/>
    <n v="51348"/>
    <n v="86"/>
    <x v="3"/>
    <m/>
    <m/>
    <m/>
  </r>
  <r>
    <x v="86"/>
    <x v="1"/>
    <x v="2"/>
    <s v="Carousel"/>
    <n v="142568"/>
    <n v="4366"/>
    <n v="823.48"/>
    <n v="108727"/>
    <n v="181"/>
    <x v="3"/>
    <m/>
    <m/>
    <m/>
  </r>
  <r>
    <x v="86"/>
    <x v="1"/>
    <x v="19"/>
    <s v="Carousel"/>
    <n v="56078"/>
    <n v="2138"/>
    <n v="402.45"/>
    <n v="44584"/>
    <n v="60"/>
    <x v="3"/>
    <m/>
    <m/>
    <m/>
  </r>
  <r>
    <x v="86"/>
    <x v="3"/>
    <x v="5"/>
    <s v="Video"/>
    <n v="103386"/>
    <n v="3450"/>
    <n v="643.78"/>
    <n v="74578"/>
    <n v="182"/>
    <x v="3"/>
    <m/>
    <m/>
    <m/>
  </r>
  <r>
    <x v="86"/>
    <x v="3"/>
    <x v="18"/>
    <s v="Video"/>
    <n v="61521"/>
    <n v="1936"/>
    <n v="358.19"/>
    <n v="45172"/>
    <n v="90"/>
    <x v="3"/>
    <m/>
    <m/>
    <m/>
  </r>
  <r>
    <x v="86"/>
    <x v="5"/>
    <x v="5"/>
    <s v="Video"/>
    <n v="40600"/>
    <n v="1681"/>
    <n v="313.31"/>
    <n v="32220"/>
    <n v="64"/>
    <x v="3"/>
    <m/>
    <m/>
    <m/>
  </r>
  <r>
    <x v="86"/>
    <x v="5"/>
    <x v="21"/>
    <s v="Single Image"/>
    <n v="73473"/>
    <n v="2200"/>
    <n v="496.28"/>
    <n v="59457"/>
    <n v="115"/>
    <x v="3"/>
    <m/>
    <m/>
    <m/>
  </r>
  <r>
    <x v="87"/>
    <x v="0"/>
    <x v="5"/>
    <s v="Video"/>
    <n v="95527"/>
    <n v="3315"/>
    <n v="645.19000000000005"/>
    <n v="73971"/>
    <n v="119"/>
    <x v="3"/>
    <m/>
    <m/>
    <m/>
  </r>
  <r>
    <x v="87"/>
    <x v="0"/>
    <x v="18"/>
    <s v="Carousel"/>
    <n v="42612"/>
    <n v="1685"/>
    <n v="313.69"/>
    <n v="31945"/>
    <n v="73"/>
    <x v="3"/>
    <m/>
    <m/>
    <m/>
  </r>
  <r>
    <x v="87"/>
    <x v="1"/>
    <x v="2"/>
    <s v="Carousel"/>
    <n v="63167"/>
    <n v="1769"/>
    <n v="342.23"/>
    <n v="46912"/>
    <n v="69"/>
    <x v="3"/>
    <m/>
    <m/>
    <m/>
  </r>
  <r>
    <x v="87"/>
    <x v="1"/>
    <x v="19"/>
    <s v="Carousel"/>
    <n v="87876"/>
    <n v="2738"/>
    <n v="637.24"/>
    <n v="66651"/>
    <n v="149"/>
    <x v="3"/>
    <m/>
    <m/>
    <m/>
  </r>
  <r>
    <x v="87"/>
    <x v="3"/>
    <x v="5"/>
    <s v="Video"/>
    <n v="122801"/>
    <n v="3729"/>
    <n v="695.86"/>
    <n v="89666"/>
    <n v="211"/>
    <x v="3"/>
    <m/>
    <m/>
    <m/>
  </r>
  <r>
    <x v="87"/>
    <x v="3"/>
    <x v="18"/>
    <s v="Carousel"/>
    <n v="51998"/>
    <n v="1904"/>
    <n v="356.24"/>
    <n v="42239"/>
    <n v="105"/>
    <x v="3"/>
    <m/>
    <m/>
    <m/>
  </r>
  <r>
    <x v="87"/>
    <x v="5"/>
    <x v="5"/>
    <s v="Video"/>
    <n v="142002"/>
    <n v="4276"/>
    <n v="879.65"/>
    <n v="106996"/>
    <n v="142"/>
    <x v="3"/>
    <m/>
    <m/>
    <m/>
  </r>
  <r>
    <x v="87"/>
    <x v="5"/>
    <x v="21"/>
    <s v="Single Image"/>
    <n v="64595"/>
    <n v="2616"/>
    <n v="578.74"/>
    <n v="50544"/>
    <n v="95"/>
    <x v="3"/>
    <m/>
    <m/>
    <m/>
  </r>
  <r>
    <x v="88"/>
    <x v="0"/>
    <x v="5"/>
    <s v="Carousel"/>
    <n v="85191"/>
    <n v="3478"/>
    <n v="764.13"/>
    <n v="69284"/>
    <n v="181"/>
    <x v="3"/>
    <m/>
    <m/>
    <m/>
  </r>
  <r>
    <x v="88"/>
    <x v="0"/>
    <x v="18"/>
    <s v="Carousel"/>
    <n v="39370"/>
    <n v="1577"/>
    <n v="376.4"/>
    <n v="31408"/>
    <n v="51"/>
    <x v="3"/>
    <m/>
    <m/>
    <m/>
  </r>
  <r>
    <x v="88"/>
    <x v="1"/>
    <x v="2"/>
    <s v="Dynamic"/>
    <n v="105554"/>
    <n v="3615"/>
    <n v="823.54"/>
    <n v="86304"/>
    <n v="189"/>
    <x v="3"/>
    <m/>
    <m/>
    <m/>
  </r>
  <r>
    <x v="88"/>
    <x v="1"/>
    <x v="19"/>
    <s v="Dynamic"/>
    <n v="137460"/>
    <n v="4671"/>
    <n v="1044.45"/>
    <n v="100959"/>
    <n v="176"/>
    <x v="3"/>
    <m/>
    <m/>
    <m/>
  </r>
  <r>
    <x v="88"/>
    <x v="5"/>
    <x v="5"/>
    <s v="Video"/>
    <n v="69989"/>
    <n v="2711"/>
    <n v="545.34"/>
    <n v="53850"/>
    <n v="115"/>
    <x v="3"/>
    <m/>
    <m/>
    <m/>
  </r>
  <r>
    <x v="88"/>
    <x v="5"/>
    <x v="21"/>
    <s v="Single Image"/>
    <n v="141532"/>
    <n v="5535"/>
    <n v="1107.04"/>
    <n v="113255"/>
    <n v="263"/>
    <x v="3"/>
    <m/>
    <m/>
    <m/>
  </r>
  <r>
    <x v="89"/>
    <x v="0"/>
    <x v="5"/>
    <s v="Carousel"/>
    <n v="104291"/>
    <n v="3531"/>
    <n v="740.9"/>
    <n v="80656"/>
    <n v="155"/>
    <x v="3"/>
    <m/>
    <m/>
    <m/>
  </r>
  <r>
    <x v="89"/>
    <x v="0"/>
    <x v="18"/>
    <s v="Carousel"/>
    <n v="104536"/>
    <n v="3049"/>
    <n v="679.61"/>
    <n v="80774"/>
    <n v="156"/>
    <x v="3"/>
    <m/>
    <m/>
    <m/>
  </r>
  <r>
    <x v="89"/>
    <x v="1"/>
    <x v="2"/>
    <s v="Dynamic"/>
    <n v="53866"/>
    <n v="1685"/>
    <n v="303.58999999999997"/>
    <n v="44137"/>
    <n v="48"/>
    <x v="3"/>
    <m/>
    <m/>
    <m/>
  </r>
  <r>
    <x v="89"/>
    <x v="1"/>
    <x v="19"/>
    <s v="Carousel"/>
    <n v="61763"/>
    <n v="2525"/>
    <n v="463.53"/>
    <n v="46627"/>
    <n v="134"/>
    <x v="3"/>
    <m/>
    <m/>
    <m/>
  </r>
  <r>
    <x v="89"/>
    <x v="5"/>
    <x v="5"/>
    <s v="Video"/>
    <n v="89213"/>
    <n v="3072"/>
    <n v="706.91"/>
    <n v="69153"/>
    <n v="171"/>
    <x v="3"/>
    <m/>
    <m/>
    <m/>
  </r>
  <r>
    <x v="89"/>
    <x v="5"/>
    <x v="21"/>
    <s v="Single Image"/>
    <n v="80319"/>
    <n v="2485"/>
    <n v="480.79"/>
    <n v="63829"/>
    <n v="78"/>
    <x v="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46F001-175E-964E-AA6B-F3D6FE5EF5E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Platform">
  <location ref="A1:E6" firstHeaderRow="0" firstDataRow="1" firstDataCol="1"/>
  <pivotFields count="15">
    <pivotField showAl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showAll="0"/>
    <pivotField dataField="1"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clicks" fld="5" baseField="0" baseItem="0"/>
    <dataField name="Sum of impressions" fld="4" baseField="0" baseItem="0"/>
    <dataField name="Sum of spend_usd" fld="6" baseField="0" baseItem="0" numFmtId="165"/>
    <dataField name="Sum of conversions" fld="8" baseField="0" baseItem="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76CD30-6DDF-D640-A08F-FF70076CAFA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mpaign Name">
  <location ref="A1:E15" firstHeaderRow="0" firstDataRow="1" firstDataCol="1"/>
  <pivotFields count="15">
    <pivotField numFmtId="14" showAl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axis="axisRow" showAll="0">
      <items count="14">
        <item x="8"/>
        <item x="0"/>
        <item x="2"/>
        <item x="10"/>
        <item x="1"/>
        <item x="6"/>
        <item x="7"/>
        <item x="9"/>
        <item x="5"/>
        <item x="12"/>
        <item x="4"/>
        <item x="11"/>
        <item x="3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conversions" fld="8" baseField="0" baseItem="0"/>
    <dataField name="Sum of impressions" fld="4" baseField="0" baseItem="0"/>
    <dataField name="Sum of clicks" fld="5" baseField="0" baseItem="0"/>
    <dataField name="Sum of spend_usd" fld="6" baseField="0" baseItem="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832C3B-A4C8-0542-A534-DAB200A440C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s">
  <location ref="A1:E5" firstHeaderRow="0" firstDataRow="1" firstDataCol="1"/>
  <pivotFields count="15">
    <pivotField axis="axisRow" numFmtId="14" showAl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4"/>
    <field x="13"/>
    <field x="0"/>
  </rowFields>
  <rowItems count="4"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conversions" fld="8" baseField="0" baseItem="0"/>
    <dataField name="Sum of impressions" fld="4" baseField="0" baseItem="0"/>
    <dataField name="Sum of clicks" fld="5" baseField="0" baseItem="0"/>
    <dataField name="Sum of spend_usd" fld="6" baseField="0" baseItem="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1099F3A1-6920-F64D-8248-631040BF4C44}" autoFormatId="16" applyNumberFormats="0" applyBorderFormats="0" applyFontFormats="0" applyPatternFormats="0" applyAlignmentFormats="0" applyWidthHeightFormats="0">
  <queryTableRefresh nextId="14" unboundColumnsRight="3">
    <queryTableFields count="13">
      <queryTableField id="1" name="date" tableColumnId="1"/>
      <queryTableField id="2" name="campaign_name" tableColumnId="2"/>
      <queryTableField id="3" name="ad_group" tableColumnId="3"/>
      <queryTableField id="4" name="ad_format" tableColumnId="4"/>
      <queryTableField id="5" name="impressions" tableColumnId="5"/>
      <queryTableField id="6" name="clicks" tableColumnId="6"/>
      <queryTableField id="7" name="spend_usd" tableColumnId="7"/>
      <queryTableField id="8" name="video_views" tableColumnId="8"/>
      <queryTableField id="9" name="conversions" tableColumnId="9"/>
      <queryTableField id="10" name="platform" tableColumnId="10"/>
      <queryTableField id="11" dataBound="0" tableColumnId="11"/>
      <queryTableField id="12" dataBound="0" tableColumnId="12"/>
      <queryTableField id="13" dataBound="0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B5B9B229-176A-CF46-8B4D-8EE0CD3C74D1}" autoFormatId="16" applyNumberFormats="0" applyBorderFormats="0" applyFontFormats="0" applyPatternFormats="0" applyAlignmentFormats="0" applyWidthHeightFormats="0">
  <queryTableRefresh nextId="11">
    <queryTableFields count="10">
      <queryTableField id="1" name="date" tableColumnId="1"/>
      <queryTableField id="2" name="campaign_name" tableColumnId="2"/>
      <queryTableField id="3" name="ad_group" tableColumnId="3"/>
      <queryTableField id="4" name="ad_format" tableColumnId="4"/>
      <queryTableField id="5" name="impressions" tableColumnId="5"/>
      <queryTableField id="6" name="clicks" tableColumnId="6"/>
      <queryTableField id="7" name="spend_usd" tableColumnId="7"/>
      <queryTableField id="8" name="video_views" tableColumnId="8"/>
      <queryTableField id="9" name="conversions" tableColumnId="9"/>
      <queryTableField id="10" name="platform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3DF20C2-1E5C-F446-9F79-245DB3E7DE26}" autoFormatId="16" applyNumberFormats="0" applyBorderFormats="0" applyFontFormats="0" applyPatternFormats="0" applyAlignmentFormats="0" applyWidthHeightFormats="0">
  <queryTableRefresh nextId="11">
    <queryTableFields count="10">
      <queryTableField id="1" name="date" tableColumnId="1"/>
      <queryTableField id="2" name="campaign_name" tableColumnId="2"/>
      <queryTableField id="3" name="ad_set" tableColumnId="3"/>
      <queryTableField id="4" name="ad_format" tableColumnId="4"/>
      <queryTableField id="5" name="impressions" tableColumnId="5"/>
      <queryTableField id="6" name="clicks" tableColumnId="6"/>
      <queryTableField id="7" name="spend_usd" tableColumnId="7"/>
      <queryTableField id="8" name="reach" tableColumnId="8"/>
      <queryTableField id="9" name="conversions" tableColumnId="9"/>
      <queryTableField id="10" name="platform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0224358-F14F-0044-929D-A5718AA9E37B}" autoFormatId="16" applyNumberFormats="0" applyBorderFormats="0" applyFontFormats="0" applyPatternFormats="0" applyAlignmentFormats="0" applyWidthHeightFormats="0">
  <queryTableRefresh nextId="12">
    <queryTableFields count="11">
      <queryTableField id="1" name="date" tableColumnId="1"/>
      <queryTableField id="2" name="campaign_name" tableColumnId="2"/>
      <queryTableField id="3" name="ad_group" tableColumnId="3"/>
      <queryTableField id="4" name="keyword" tableColumnId="4"/>
      <queryTableField id="5" name="match_type" tableColumnId="5"/>
      <queryTableField id="6" name="impressions" tableColumnId="6"/>
      <queryTableField id="7" name="clicks" tableColumnId="7"/>
      <queryTableField id="8" name="spend_usd" tableColumnId="8"/>
      <queryTableField id="9" name="conversions" tableColumnId="9"/>
      <queryTableField id="10" name="quality_score" tableColumnId="10"/>
      <queryTableField id="11" name="platform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4D9C2D7-F01C-644C-A92F-26222A70B0F7}" autoFormatId="16" applyNumberFormats="0" applyBorderFormats="0" applyFontFormats="0" applyPatternFormats="0" applyAlignmentFormats="0" applyWidthHeightFormats="0">
  <queryTableRefresh nextId="11">
    <queryTableFields count="10">
      <queryTableField id="1" name="date" tableColumnId="1"/>
      <queryTableField id="2" name="campaign_name" tableColumnId="2"/>
      <queryTableField id="3" name="ad_set" tableColumnId="3"/>
      <queryTableField id="4" name="ad_format" tableColumnId="4"/>
      <queryTableField id="5" name="impressions" tableColumnId="5"/>
      <queryTableField id="6" name="clicks" tableColumnId="6"/>
      <queryTableField id="7" name="spend_usd" tableColumnId="7"/>
      <queryTableField id="8" name="reach" tableColumnId="8"/>
      <queryTableField id="9" name="conversions" tableColumnId="9"/>
      <queryTableField id="10" name="platform" tableColumnId="1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116C12-BBBF-6442-9EE1-730F7A770A79}" name="Table1" displayName="Table1" ref="A1:E6" totalsRowShown="0">
  <autoFilter ref="A1:E6" xr:uid="{AB116C12-BBBF-6442-9EE1-730F7A770A79}"/>
  <tableColumns count="5">
    <tableColumn id="1" xr3:uid="{DFC5916B-4A99-634D-8528-E8188FCADDD2}" name="Stage" dataDxfId="4"/>
    <tableColumn id="2" xr3:uid="{F8DA74A0-E9A1-1645-BC22-847706DD1E00}" name="Facebook" dataDxfId="3"/>
    <tableColumn id="3" xr3:uid="{3BD1B02E-1EAC-224D-B2AD-1A0AF32E9517}" name="Google Ads" dataDxfId="2"/>
    <tableColumn id="4" xr3:uid="{37CD470F-CBD6-A441-B42B-739CF79E5877}" name="Instagram" dataDxfId="1"/>
    <tableColumn id="5" xr3:uid="{9FBE4C4A-AFA8-3747-9C55-7726693EC0DD}" name="TikTok" dataDxfId="0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587BEC5-1CC0-E94A-8517-C466953DB918}" name="Campaign_Data" displayName="Campaign_Data" ref="A1:M2438" tableType="queryTable" totalsRowShown="0">
  <autoFilter ref="A1:M2438" xr:uid="{5587BEC5-1CC0-E94A-8517-C466953DB918}"/>
  <tableColumns count="13">
    <tableColumn id="1" xr3:uid="{65211FD6-71F4-0642-9127-DE3034120412}" uniqueName="1" name="date" queryTableFieldId="1" dataDxfId="9"/>
    <tableColumn id="2" xr3:uid="{BE5A2BFC-B74F-404E-8F16-B8F93A82F76D}" uniqueName="2" name="campaign_name" queryTableFieldId="2" dataDxfId="8"/>
    <tableColumn id="3" xr3:uid="{8F3D5953-FF40-B24E-B611-6F32DF964A15}" uniqueName="3" name="ad_group" queryTableFieldId="3" dataDxfId="7"/>
    <tableColumn id="4" xr3:uid="{2EF7EAB0-74C5-1E4D-BF7A-74BE5BE9E64A}" uniqueName="4" name="ad_format" queryTableFieldId="4" dataDxfId="6"/>
    <tableColumn id="5" xr3:uid="{292BA561-C98E-A34C-9759-673EB3A3E96B}" uniqueName="5" name="impressions" queryTableFieldId="5"/>
    <tableColumn id="6" xr3:uid="{DC725AAD-BB70-4A45-9ABC-D91C1510991E}" uniqueName="6" name="clicks" queryTableFieldId="6"/>
    <tableColumn id="7" xr3:uid="{964E257C-624A-5B40-9A3F-57021354EFE4}" uniqueName="7" name="spend_usd" queryTableFieldId="7"/>
    <tableColumn id="8" xr3:uid="{71F66DF6-BE78-924A-9811-0B2E9E0DDE6C}" uniqueName="8" name="video_views" queryTableFieldId="8"/>
    <tableColumn id="9" xr3:uid="{0B68647A-33B5-D347-A8F5-2A411D78AFC2}" uniqueName="9" name="conversions" queryTableFieldId="9"/>
    <tableColumn id="10" xr3:uid="{38B540D1-DA8C-164F-BF2B-EB7C8B6B0188}" uniqueName="10" name="platform" queryTableFieldId="10" dataDxfId="5"/>
    <tableColumn id="11" xr3:uid="{3A4436FB-2E6E-B546-A5B1-B2841D1F5A4F}" uniqueName="11" name="keyword" queryTableFieldId="11"/>
    <tableColumn id="12" xr3:uid="{FFBB8903-0524-5E4B-A043-778E0C6B04AE}" uniqueName="12" name="match_type" queryTableFieldId="12"/>
    <tableColumn id="13" xr3:uid="{22F5AF68-92D1-0D47-82F7-0B7FD7AD4532}" uniqueName="13" name="quality_score" queryTableField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48DEDE-DEEE-3143-9220-D0C8C192A85A}" name="tiktok_ads__2" displayName="tiktok_ads__2" ref="A1:J541" tableType="queryTable" totalsRowShown="0">
  <autoFilter ref="A1:J541" xr:uid="{4C48DEDE-DEEE-3143-9220-D0C8C192A85A}"/>
  <tableColumns count="10">
    <tableColumn id="1" xr3:uid="{B8BA3B39-D3CA-5F46-8A56-7F0B4FE0286F}" uniqueName="1" name="date" queryTableFieldId="1" dataDxfId="31"/>
    <tableColumn id="2" xr3:uid="{1212635C-E356-0047-BFC0-EA1D4D5AAF49}" uniqueName="2" name="campaign_name" queryTableFieldId="2" dataDxfId="30"/>
    <tableColumn id="3" xr3:uid="{B16AD20A-8B9B-A441-A038-5BB66267CEC8}" uniqueName="3" name="ad_group" queryTableFieldId="3" dataDxfId="29"/>
    <tableColumn id="4" xr3:uid="{677AEC7A-8616-514A-ABD0-9A362AF1B2F3}" uniqueName="4" name="ad_format" queryTableFieldId="4" dataDxfId="28"/>
    <tableColumn id="5" xr3:uid="{F9DC4B50-53E9-3247-8C55-69349CC8D964}" uniqueName="5" name="impressions" queryTableFieldId="5"/>
    <tableColumn id="6" xr3:uid="{6D51452F-2D2E-1843-B144-2EA68352DEA8}" uniqueName="6" name="clicks" queryTableFieldId="6"/>
    <tableColumn id="7" xr3:uid="{2C4D90D7-7ADF-5749-8ABC-757480427564}" uniqueName="7" name="spend_usd" queryTableFieldId="7"/>
    <tableColumn id="8" xr3:uid="{0B605BBA-185D-B94B-A930-22CE8CE7788D}" uniqueName="8" name="video_views" queryTableFieldId="8"/>
    <tableColumn id="9" xr3:uid="{DFB0D307-CA00-FD41-8199-A84BD2E3716F}" uniqueName="9" name="conversions" queryTableFieldId="9"/>
    <tableColumn id="10" xr3:uid="{73B50EE4-76F1-E94F-9639-8BC66DDBB133}" uniqueName="10" name="platform" queryTableFieldId="10" dataDxfId="2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D0A7F7C-C466-254F-B99B-94B031360587}" name="instagram_ads__2" displayName="instagram_ads__2" ref="A1:J541" tableType="queryTable" totalsRowShown="0">
  <autoFilter ref="A1:J541" xr:uid="{CD0A7F7C-C466-254F-B99B-94B031360587}"/>
  <tableColumns count="10">
    <tableColumn id="1" xr3:uid="{A27F112E-BAF6-594D-B54F-E527A3059A4C}" uniqueName="1" name="date" queryTableFieldId="1" dataDxfId="26"/>
    <tableColumn id="2" xr3:uid="{6480434F-D735-0A41-B2D4-7A738BA12133}" uniqueName="2" name="campaign_name" queryTableFieldId="2" dataDxfId="25"/>
    <tableColumn id="3" xr3:uid="{83DF585D-AD9F-3145-B1C6-4C10AE7AFDC3}" uniqueName="3" name="ad_group" queryTableFieldId="3" dataDxfId="24"/>
    <tableColumn id="4" xr3:uid="{A7B69E12-8A1A-BD47-9349-CD07538CFEA9}" uniqueName="4" name="ad_format" queryTableFieldId="4" dataDxfId="23"/>
    <tableColumn id="5" xr3:uid="{626EE1A6-9458-2A42-B580-A748498A0652}" uniqueName="5" name="impressions" queryTableFieldId="5"/>
    <tableColumn id="6" xr3:uid="{5F0E1F3C-5A25-AF44-B580-4A839C487FA4}" uniqueName="6" name="clicks" queryTableFieldId="6"/>
    <tableColumn id="7" xr3:uid="{DEF26982-A243-D549-8208-D5D6E1048D72}" uniqueName="7" name="spend_usd" queryTableFieldId="7"/>
    <tableColumn id="8" xr3:uid="{5CAEB1B2-190F-A64D-9A91-FB45717D2A75}" uniqueName="8" name="reach" queryTableFieldId="8"/>
    <tableColumn id="9" xr3:uid="{09C2EE27-9E5C-4843-AD34-9590D8694463}" uniqueName="9" name="conversions" queryTableFieldId="9"/>
    <tableColumn id="10" xr3:uid="{93493606-CA84-3249-A5BF-71BAF0A6D8F2}" uniqueName="10" name="platform" queryTableFieldId="10" dataDxfId="2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C1587F0-C43A-5241-AFC1-6896BBD5F2CE}" name="google_ads" displayName="google_ads" ref="A1:K818" tableType="queryTable" totalsRowShown="0">
  <autoFilter ref="A1:K818" xr:uid="{DC1587F0-C43A-5241-AFC1-6896BBD5F2CE}"/>
  <tableColumns count="11">
    <tableColumn id="1" xr3:uid="{0437EE82-2C3C-9C4B-A7CC-4DB749EA7AD4}" uniqueName="1" name="date" queryTableFieldId="1" dataDxfId="21"/>
    <tableColumn id="2" xr3:uid="{26C0769C-A8FB-9446-83CF-28758DE3717A}" uniqueName="2" name="campaign_name" queryTableFieldId="2" dataDxfId="20"/>
    <tableColumn id="3" xr3:uid="{02EC4E83-3E25-954F-96C7-8952A70558CA}" uniqueName="3" name="ad_group" queryTableFieldId="3" dataDxfId="19"/>
    <tableColumn id="4" xr3:uid="{A29C1D3E-BE3E-3246-8D89-C95DF175D715}" uniqueName="4" name="keyword" queryTableFieldId="4" dataDxfId="18"/>
    <tableColumn id="5" xr3:uid="{08A9D520-BC3D-5145-A15E-575460E72E1A}" uniqueName="5" name="match_type" queryTableFieldId="5" dataDxfId="17"/>
    <tableColumn id="6" xr3:uid="{7013D10C-F074-1B43-87BB-F010F3C48BCA}" uniqueName="6" name="impressions" queryTableFieldId="6"/>
    <tableColumn id="7" xr3:uid="{E23DEE19-F43C-B94E-B03C-3BF8CA2FFC7E}" uniqueName="7" name="clicks" queryTableFieldId="7"/>
    <tableColumn id="8" xr3:uid="{6668E489-FDDA-0A49-9D27-EAB8E755FCAC}" uniqueName="8" name="spend_usd" queryTableFieldId="8"/>
    <tableColumn id="9" xr3:uid="{1221364E-DE2E-9E41-8197-1616DAEF6ACA}" uniqueName="9" name="conversions" queryTableFieldId="9"/>
    <tableColumn id="10" xr3:uid="{96422482-D0A3-794E-B682-95D57E5D4B16}" uniqueName="10" name="quality_score" queryTableFieldId="10" dataDxfId="16"/>
    <tableColumn id="11" xr3:uid="{7C3CF730-998D-5B4C-99FB-1EE4918BA257}" uniqueName="11" name="platform" queryTableFieldId="11" dataDxfId="1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DDED7ED-6F96-AD47-948A-D74262E13420}" name="facebook_ads" displayName="facebook_ads" ref="A1:J541" tableType="queryTable" totalsRowShown="0">
  <autoFilter ref="A1:J541" xr:uid="{FDDED7ED-6F96-AD47-948A-D74262E13420}"/>
  <tableColumns count="10">
    <tableColumn id="1" xr3:uid="{1C181499-9ED4-2741-8F3E-BDD674CB9E31}" uniqueName="1" name="date" queryTableFieldId="1" dataDxfId="14"/>
    <tableColumn id="2" xr3:uid="{D064E3AB-548B-4B4B-BC22-946CE869D430}" uniqueName="2" name="campaign_name" queryTableFieldId="2" dataDxfId="13"/>
    <tableColumn id="3" xr3:uid="{B79CC48C-FCC6-6743-A105-6803A277B284}" uniqueName="3" name="ad_group" queryTableFieldId="3" dataDxfId="12"/>
    <tableColumn id="4" xr3:uid="{69C8A771-6BC4-DF43-9DBB-7C10466A0CFD}" uniqueName="4" name="ad_format" queryTableFieldId="4" dataDxfId="11"/>
    <tableColumn id="5" xr3:uid="{510748A8-398B-1545-BB1A-DE63B8FFFBE7}" uniqueName="5" name="impressions" queryTableFieldId="5"/>
    <tableColumn id="6" xr3:uid="{A34779DA-5E27-BB4C-8758-2DD43ECED74D}" uniqueName="6" name="clicks" queryTableFieldId="6"/>
    <tableColumn id="7" xr3:uid="{7109DC33-84C6-E845-9375-CBAC390CBA4C}" uniqueName="7" name="spend_usd" queryTableFieldId="7"/>
    <tableColumn id="8" xr3:uid="{2CB140A2-A957-6C43-B2A6-4940E67AB36E}" uniqueName="8" name="reach" queryTableFieldId="8"/>
    <tableColumn id="9" xr3:uid="{ADB0D068-7BA5-AB4B-B207-18DB41CD45DA}" uniqueName="9" name="conversions" queryTableFieldId="9"/>
    <tableColumn id="10" xr3:uid="{65660A40-1157-2048-A46F-98DA9ABDFDB9}" uniqueName="10" name="platform" queryTableFieldId="10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E5219-8C6A-8F4D-A159-ECB14FF532BD}">
  <dimension ref="A1:M36"/>
  <sheetViews>
    <sheetView topLeftCell="A2" workbookViewId="0">
      <selection activeCell="M32" sqref="M32"/>
    </sheetView>
  </sheetViews>
  <sheetFormatPr baseColWidth="10" defaultRowHeight="16" x14ac:dyDescent="0.2"/>
  <sheetData>
    <row r="1" spans="1:12" ht="34" customHeight="1" x14ac:dyDescent="0.2">
      <c r="A1" s="119" t="s">
        <v>165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x14ac:dyDescent="0.2">
      <c r="A2" s="98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17" thickBot="1" x14ac:dyDescent="0.25"/>
    <row r="4" spans="1:12" x14ac:dyDescent="0.2">
      <c r="A4" s="99" t="s">
        <v>166</v>
      </c>
      <c r="B4" s="70"/>
      <c r="C4" s="57"/>
      <c r="D4" s="100" t="s">
        <v>167</v>
      </c>
      <c r="E4" s="70"/>
      <c r="F4" s="57"/>
      <c r="G4" s="99" t="s">
        <v>168</v>
      </c>
      <c r="H4" s="70"/>
      <c r="I4" s="57"/>
      <c r="J4" s="100" t="s">
        <v>169</v>
      </c>
      <c r="K4" s="70"/>
      <c r="L4" s="57"/>
    </row>
    <row r="5" spans="1:12" x14ac:dyDescent="0.2">
      <c r="A5" s="120" t="s">
        <v>170</v>
      </c>
      <c r="B5" s="90"/>
      <c r="C5" s="87"/>
      <c r="D5" s="120" t="s">
        <v>171</v>
      </c>
      <c r="E5" s="90"/>
      <c r="F5" s="87"/>
      <c r="G5" s="120" t="s">
        <v>172</v>
      </c>
      <c r="H5" s="90"/>
      <c r="I5" s="87"/>
      <c r="J5" s="120" t="s">
        <v>173</v>
      </c>
      <c r="K5" s="90"/>
      <c r="L5" s="87"/>
    </row>
    <row r="6" spans="1:12" x14ac:dyDescent="0.2">
      <c r="A6" s="121"/>
      <c r="B6" s="90"/>
      <c r="C6" s="87"/>
      <c r="D6" s="121"/>
      <c r="E6" s="90"/>
      <c r="F6" s="87"/>
      <c r="G6" s="121"/>
      <c r="H6" s="90"/>
      <c r="I6" s="87"/>
      <c r="J6" s="121"/>
      <c r="K6" s="90"/>
      <c r="L6" s="87"/>
    </row>
    <row r="7" spans="1:12" ht="17" thickBot="1" x14ac:dyDescent="0.25">
      <c r="A7" s="122"/>
      <c r="B7" s="123"/>
      <c r="C7" s="124"/>
      <c r="D7" s="122"/>
      <c r="E7" s="123"/>
      <c r="F7" s="124"/>
      <c r="G7" s="122"/>
      <c r="H7" s="123"/>
      <c r="I7" s="124"/>
      <c r="J7" s="122"/>
      <c r="K7" s="123"/>
      <c r="L7" s="124"/>
    </row>
    <row r="9" spans="1:12" ht="17" thickBot="1" x14ac:dyDescent="0.25">
      <c r="A9" s="105" t="s">
        <v>174</v>
      </c>
      <c r="B9" s="97"/>
      <c r="C9" s="97"/>
      <c r="D9" s="97"/>
      <c r="E9" s="97"/>
      <c r="F9" s="97"/>
      <c r="G9" s="105" t="s">
        <v>175</v>
      </c>
      <c r="H9" s="97"/>
      <c r="I9" s="97"/>
      <c r="J9" s="97"/>
      <c r="K9" s="97"/>
      <c r="L9" s="97"/>
    </row>
    <row r="10" spans="1:12" x14ac:dyDescent="0.2">
      <c r="A10" s="106"/>
      <c r="B10" s="70"/>
      <c r="C10" s="70"/>
      <c r="D10" s="70"/>
      <c r="E10" s="70"/>
      <c r="F10" s="57"/>
      <c r="G10" s="106"/>
      <c r="H10" s="70"/>
      <c r="I10" s="70"/>
      <c r="J10" s="70"/>
      <c r="K10" s="70"/>
      <c r="L10" s="57"/>
    </row>
    <row r="11" spans="1:12" x14ac:dyDescent="0.2">
      <c r="A11" s="101"/>
      <c r="B11" s="71"/>
      <c r="C11" s="71"/>
      <c r="D11" s="71"/>
      <c r="E11" s="71"/>
      <c r="F11" s="58"/>
      <c r="G11" s="101"/>
      <c r="H11" s="71"/>
      <c r="I11" s="71"/>
      <c r="J11" s="71"/>
      <c r="K11" s="71"/>
      <c r="L11" s="58"/>
    </row>
    <row r="12" spans="1:12" x14ac:dyDescent="0.2">
      <c r="A12" s="101"/>
      <c r="B12" s="71"/>
      <c r="C12" s="71"/>
      <c r="D12" s="71"/>
      <c r="E12" s="71"/>
      <c r="F12" s="58"/>
      <c r="G12" s="101"/>
      <c r="H12" s="71"/>
      <c r="I12" s="71"/>
      <c r="J12" s="71"/>
      <c r="K12" s="71"/>
      <c r="L12" s="58"/>
    </row>
    <row r="13" spans="1:12" x14ac:dyDescent="0.2">
      <c r="A13" s="101"/>
      <c r="B13" s="71"/>
      <c r="C13" s="71"/>
      <c r="D13" s="71"/>
      <c r="E13" s="71"/>
      <c r="F13" s="58"/>
      <c r="G13" s="101"/>
      <c r="H13" s="71"/>
      <c r="I13" s="71"/>
      <c r="J13" s="71"/>
      <c r="K13" s="71"/>
      <c r="L13" s="58"/>
    </row>
    <row r="14" spans="1:12" x14ac:dyDescent="0.2">
      <c r="A14" s="101"/>
      <c r="B14" s="71"/>
      <c r="C14" s="71"/>
      <c r="D14" s="71"/>
      <c r="E14" s="71"/>
      <c r="F14" s="58"/>
      <c r="G14" s="101"/>
      <c r="H14" s="71"/>
      <c r="I14" s="71"/>
      <c r="J14" s="71"/>
      <c r="K14" s="71"/>
      <c r="L14" s="58"/>
    </row>
    <row r="15" spans="1:12" x14ac:dyDescent="0.2">
      <c r="A15" s="101"/>
      <c r="B15" s="71"/>
      <c r="C15" s="71"/>
      <c r="D15" s="71"/>
      <c r="E15" s="71"/>
      <c r="F15" s="58"/>
      <c r="G15" s="101"/>
      <c r="H15" s="71"/>
      <c r="I15" s="71"/>
      <c r="J15" s="71"/>
      <c r="K15" s="71"/>
      <c r="L15" s="58"/>
    </row>
    <row r="16" spans="1:12" x14ac:dyDescent="0.2">
      <c r="A16" s="101"/>
      <c r="B16" s="71"/>
      <c r="C16" s="71"/>
      <c r="D16" s="71"/>
      <c r="E16" s="71"/>
      <c r="F16" s="58"/>
      <c r="G16" s="101"/>
      <c r="H16" s="71"/>
      <c r="I16" s="71"/>
      <c r="J16" s="71"/>
      <c r="K16" s="71"/>
      <c r="L16" s="58"/>
    </row>
    <row r="17" spans="1:13" x14ac:dyDescent="0.2">
      <c r="A17" s="101"/>
      <c r="B17" s="71"/>
      <c r="C17" s="71"/>
      <c r="D17" s="71"/>
      <c r="E17" s="71"/>
      <c r="F17" s="58"/>
      <c r="G17" s="101"/>
      <c r="H17" s="71"/>
      <c r="I17" s="71"/>
      <c r="J17" s="71"/>
      <c r="K17" s="71"/>
      <c r="L17" s="58"/>
    </row>
    <row r="18" spans="1:13" x14ac:dyDescent="0.2">
      <c r="A18" s="101"/>
      <c r="B18" s="71"/>
      <c r="C18" s="71"/>
      <c r="D18" s="71"/>
      <c r="E18" s="71"/>
      <c r="F18" s="58"/>
      <c r="G18" s="101"/>
      <c r="H18" s="71"/>
      <c r="I18" s="71"/>
      <c r="J18" s="71"/>
      <c r="K18" s="71"/>
      <c r="L18" s="58"/>
    </row>
    <row r="19" spans="1:13" x14ac:dyDescent="0.2">
      <c r="A19" s="101"/>
      <c r="B19" s="71"/>
      <c r="C19" s="71"/>
      <c r="D19" s="71"/>
      <c r="E19" s="71"/>
      <c r="F19" s="58"/>
      <c r="G19" s="101"/>
      <c r="H19" s="71"/>
      <c r="I19" s="71"/>
      <c r="J19" s="71"/>
      <c r="K19" s="71"/>
      <c r="L19" s="58"/>
    </row>
    <row r="20" spans="1:13" x14ac:dyDescent="0.2">
      <c r="A20" s="101"/>
      <c r="B20" s="71"/>
      <c r="C20" s="71"/>
      <c r="D20" s="71"/>
      <c r="E20" s="71"/>
      <c r="F20" s="58"/>
      <c r="G20" s="101"/>
      <c r="H20" s="71"/>
      <c r="I20" s="71"/>
      <c r="J20" s="71"/>
      <c r="K20" s="71"/>
      <c r="L20" s="58"/>
    </row>
    <row r="21" spans="1:13" x14ac:dyDescent="0.2">
      <c r="A21" s="101"/>
      <c r="B21" s="71"/>
      <c r="C21" s="71"/>
      <c r="D21" s="71"/>
      <c r="E21" s="71"/>
      <c r="F21" s="58"/>
      <c r="G21" s="101"/>
      <c r="H21" s="71"/>
      <c r="I21" s="71"/>
      <c r="J21" s="71"/>
      <c r="K21" s="71"/>
      <c r="L21" s="58"/>
    </row>
    <row r="22" spans="1:13" ht="17" thickBot="1" x14ac:dyDescent="0.25">
      <c r="A22" s="102"/>
      <c r="B22" s="103"/>
      <c r="C22" s="103"/>
      <c r="D22" s="103"/>
      <c r="E22" s="103"/>
      <c r="F22" s="104"/>
      <c r="G22" s="102"/>
      <c r="H22" s="103"/>
      <c r="I22" s="103"/>
      <c r="J22" s="103"/>
      <c r="K22" s="103"/>
      <c r="L22" s="104"/>
    </row>
    <row r="24" spans="1:13" ht="17" thickBot="1" x14ac:dyDescent="0.25">
      <c r="A24" s="105" t="s">
        <v>176</v>
      </c>
      <c r="B24" s="97"/>
      <c r="C24" s="97"/>
      <c r="D24" s="97"/>
      <c r="E24" s="97"/>
      <c r="F24" s="97"/>
      <c r="G24" s="105" t="s">
        <v>177</v>
      </c>
      <c r="H24" s="97"/>
      <c r="I24" s="97"/>
      <c r="J24" s="97"/>
      <c r="K24" s="97"/>
      <c r="L24" s="97"/>
    </row>
    <row r="25" spans="1:13" x14ac:dyDescent="0.2">
      <c r="A25" s="106"/>
      <c r="B25" s="70"/>
      <c r="C25" s="70"/>
      <c r="D25" s="70"/>
      <c r="E25" s="70"/>
      <c r="F25" s="57"/>
      <c r="G25" s="100" t="s">
        <v>178</v>
      </c>
      <c r="H25" s="70"/>
      <c r="I25" s="70"/>
      <c r="J25" s="70"/>
      <c r="K25" s="70"/>
      <c r="L25" s="57"/>
    </row>
    <row r="26" spans="1:13" x14ac:dyDescent="0.2">
      <c r="A26" s="101"/>
      <c r="B26" s="71"/>
      <c r="C26" s="71"/>
      <c r="D26" s="71"/>
      <c r="E26" s="71"/>
      <c r="F26" s="58"/>
      <c r="G26" s="107" t="s">
        <v>83</v>
      </c>
      <c r="H26" s="108" t="s">
        <v>99</v>
      </c>
      <c r="I26" s="108" t="s">
        <v>100</v>
      </c>
      <c r="J26" s="108" t="s">
        <v>179</v>
      </c>
      <c r="K26" s="108" t="s">
        <v>95</v>
      </c>
      <c r="L26" s="109" t="s">
        <v>96</v>
      </c>
    </row>
    <row r="27" spans="1:13" x14ac:dyDescent="0.2">
      <c r="A27" s="101"/>
      <c r="B27" s="71"/>
      <c r="C27" s="71"/>
      <c r="D27" s="71"/>
      <c r="E27" s="71"/>
      <c r="F27" s="58"/>
      <c r="G27" s="110" t="s">
        <v>72</v>
      </c>
      <c r="H27" s="111" t="s">
        <v>180</v>
      </c>
      <c r="I27" s="111" t="s">
        <v>181</v>
      </c>
      <c r="J27" s="111" t="s">
        <v>182</v>
      </c>
      <c r="K27" s="111" t="s">
        <v>183</v>
      </c>
      <c r="L27" s="112" t="s">
        <v>184</v>
      </c>
    </row>
    <row r="28" spans="1:13" x14ac:dyDescent="0.2">
      <c r="A28" s="101"/>
      <c r="B28" s="71"/>
      <c r="C28" s="71"/>
      <c r="D28" s="71"/>
      <c r="E28" s="71"/>
      <c r="F28" s="58"/>
      <c r="G28" s="113" t="s">
        <v>40</v>
      </c>
      <c r="H28" s="114" t="s">
        <v>185</v>
      </c>
      <c r="I28" s="114" t="s">
        <v>186</v>
      </c>
      <c r="J28" s="114" t="s">
        <v>187</v>
      </c>
      <c r="K28" s="114" t="s">
        <v>188</v>
      </c>
      <c r="L28" s="115" t="s">
        <v>189</v>
      </c>
    </row>
    <row r="29" spans="1:13" x14ac:dyDescent="0.2">
      <c r="A29" s="101"/>
      <c r="B29" s="71"/>
      <c r="C29" s="71"/>
      <c r="D29" s="71"/>
      <c r="E29" s="71"/>
      <c r="F29" s="58"/>
      <c r="G29" s="110" t="s">
        <v>25</v>
      </c>
      <c r="H29" s="111" t="s">
        <v>190</v>
      </c>
      <c r="I29" s="111" t="s">
        <v>191</v>
      </c>
      <c r="J29" s="111" t="s">
        <v>192</v>
      </c>
      <c r="K29" s="111" t="s">
        <v>193</v>
      </c>
      <c r="L29" s="112" t="s">
        <v>194</v>
      </c>
    </row>
    <row r="30" spans="1:13" ht="17" thickBot="1" x14ac:dyDescent="0.25">
      <c r="A30" s="101"/>
      <c r="B30" s="71"/>
      <c r="C30" s="71"/>
      <c r="D30" s="71"/>
      <c r="E30" s="71"/>
      <c r="F30" s="58"/>
      <c r="G30" s="116" t="s">
        <v>13</v>
      </c>
      <c r="H30" s="117" t="s">
        <v>195</v>
      </c>
      <c r="I30" s="117" t="s">
        <v>196</v>
      </c>
      <c r="J30" s="117" t="s">
        <v>197</v>
      </c>
      <c r="K30" s="117" t="s">
        <v>198</v>
      </c>
      <c r="L30" s="118" t="s">
        <v>199</v>
      </c>
    </row>
    <row r="31" spans="1:13" ht="17" thickBot="1" x14ac:dyDescent="0.25">
      <c r="A31" s="101"/>
      <c r="B31" s="71"/>
      <c r="C31" s="71"/>
      <c r="D31" s="71"/>
      <c r="E31" s="71"/>
      <c r="F31" s="58"/>
      <c r="G31" s="127" t="s">
        <v>200</v>
      </c>
      <c r="H31" s="128"/>
      <c r="I31" s="128"/>
      <c r="J31" s="128"/>
      <c r="K31" s="128"/>
      <c r="L31" s="129"/>
    </row>
    <row r="32" spans="1:13" ht="16" customHeight="1" x14ac:dyDescent="0.2">
      <c r="A32" s="101"/>
      <c r="B32" s="71"/>
      <c r="C32" s="71"/>
      <c r="D32" s="71"/>
      <c r="E32" s="71"/>
      <c r="F32" s="125"/>
      <c r="G32" s="130" t="s">
        <v>201</v>
      </c>
      <c r="H32" s="131"/>
      <c r="I32" s="131"/>
      <c r="J32" s="131"/>
      <c r="K32" s="131"/>
      <c r="L32" s="131"/>
      <c r="M32" s="132"/>
    </row>
    <row r="33" spans="1:13" ht="16" customHeight="1" x14ac:dyDescent="0.2">
      <c r="A33" s="101"/>
      <c r="B33" s="71"/>
      <c r="C33" s="71"/>
      <c r="D33" s="71"/>
      <c r="E33" s="71"/>
      <c r="F33" s="125"/>
      <c r="G33" s="53" t="s">
        <v>205</v>
      </c>
      <c r="H33" s="52"/>
      <c r="I33" s="52"/>
      <c r="J33" s="52"/>
      <c r="K33" s="52"/>
      <c r="L33" s="52"/>
      <c r="M33" s="54"/>
    </row>
    <row r="34" spans="1:13" x14ac:dyDescent="0.2">
      <c r="A34" s="101"/>
      <c r="B34" s="71"/>
      <c r="C34" s="71"/>
      <c r="D34" s="71"/>
      <c r="E34" s="71"/>
      <c r="F34" s="125"/>
      <c r="G34" s="53" t="s">
        <v>202</v>
      </c>
      <c r="H34" s="52"/>
      <c r="I34" s="52"/>
      <c r="J34" s="52"/>
      <c r="K34" s="52"/>
      <c r="L34" s="52"/>
      <c r="M34" s="54"/>
    </row>
    <row r="35" spans="1:13" x14ac:dyDescent="0.2">
      <c r="A35" s="101"/>
      <c r="B35" s="71"/>
      <c r="C35" s="71"/>
      <c r="D35" s="71"/>
      <c r="E35" s="71"/>
      <c r="F35" s="125"/>
      <c r="G35" s="53" t="s">
        <v>203</v>
      </c>
      <c r="H35" s="52"/>
      <c r="I35" s="52"/>
      <c r="J35" s="52"/>
      <c r="K35" s="52"/>
      <c r="L35" s="52"/>
      <c r="M35" s="54"/>
    </row>
    <row r="36" spans="1:13" ht="17" thickBot="1" x14ac:dyDescent="0.25">
      <c r="A36" s="102"/>
      <c r="B36" s="103"/>
      <c r="C36" s="103"/>
      <c r="D36" s="103"/>
      <c r="E36" s="103"/>
      <c r="F36" s="126"/>
      <c r="G36" s="55" t="s">
        <v>204</v>
      </c>
      <c r="H36" s="133"/>
      <c r="I36" s="133"/>
      <c r="J36" s="133"/>
      <c r="K36" s="133"/>
      <c r="L36" s="133"/>
      <c r="M36" s="56"/>
    </row>
  </sheetData>
  <mergeCells count="19">
    <mergeCell ref="G31:L31"/>
    <mergeCell ref="A10:F22"/>
    <mergeCell ref="G10:L22"/>
    <mergeCell ref="A24:F24"/>
    <mergeCell ref="G24:L24"/>
    <mergeCell ref="A25:F36"/>
    <mergeCell ref="G25:L25"/>
    <mergeCell ref="A5:C7"/>
    <mergeCell ref="D5:F7"/>
    <mergeCell ref="G5:I7"/>
    <mergeCell ref="J5:L7"/>
    <mergeCell ref="A9:F9"/>
    <mergeCell ref="G9:L9"/>
    <mergeCell ref="A1:L1"/>
    <mergeCell ref="A2:L2"/>
    <mergeCell ref="A4:C4"/>
    <mergeCell ref="D4:F4"/>
    <mergeCell ref="G4:I4"/>
    <mergeCell ref="J4:L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C1723-440D-BE43-AED9-60084555BAC2}">
  <dimension ref="A1:J6"/>
  <sheetViews>
    <sheetView showGridLines="0" topLeftCell="A27" workbookViewId="0">
      <selection activeCell="G16" sqref="G16"/>
    </sheetView>
  </sheetViews>
  <sheetFormatPr baseColWidth="10" defaultRowHeight="16" x14ac:dyDescent="0.2"/>
  <cols>
    <col min="1" max="1" width="11" bestFit="1" customWidth="1"/>
    <col min="2" max="2" width="12.1640625" bestFit="1" customWidth="1"/>
    <col min="3" max="3" width="17.6640625" bestFit="1" customWidth="1"/>
    <col min="4" max="4" width="16" bestFit="1" customWidth="1"/>
    <col min="5" max="5" width="17.33203125" bestFit="1" customWidth="1"/>
    <col min="6" max="6" width="11.6640625" bestFit="1" customWidth="1"/>
  </cols>
  <sheetData>
    <row r="1" spans="1:10" x14ac:dyDescent="0.2">
      <c r="A1" s="2" t="s">
        <v>83</v>
      </c>
      <c r="B1" t="s">
        <v>80</v>
      </c>
      <c r="C1" t="s">
        <v>81</v>
      </c>
      <c r="D1" t="s">
        <v>82</v>
      </c>
      <c r="E1" t="s">
        <v>84</v>
      </c>
      <c r="F1" s="8" t="s">
        <v>85</v>
      </c>
      <c r="G1" s="8" t="s">
        <v>86</v>
      </c>
      <c r="H1" s="8" t="s">
        <v>88</v>
      </c>
      <c r="I1" s="8" t="s">
        <v>89</v>
      </c>
      <c r="J1" s="8" t="s">
        <v>90</v>
      </c>
    </row>
    <row r="2" spans="1:10" x14ac:dyDescent="0.2">
      <c r="A2" s="3" t="s">
        <v>72</v>
      </c>
      <c r="B2">
        <v>1619995</v>
      </c>
      <c r="C2">
        <v>46175655</v>
      </c>
      <c r="D2" s="5">
        <v>339218.3800000003</v>
      </c>
      <c r="E2">
        <v>69994</v>
      </c>
      <c r="F2" s="6">
        <f>GETPIVOTDATA("Sum of clicks",$A$1,"platform","Facebook")/GETPIVOTDATA("Sum of impressions",$A$1,"platform","Facebook")</f>
        <v>3.5083313923754841E-2</v>
      </c>
      <c r="G2" s="7">
        <f>GETPIVOTDATA("Sum of spend_usd",$A$1,"platform","Facebook")/GETPIVOTDATA("Sum of clicks",$A$1,"platform","Facebook")</f>
        <v>0.20939470800835824</v>
      </c>
      <c r="H2" s="4">
        <f>GETPIVOTDATA("Sum of spend_usd",$A$1,"platform","Facebook")/GETPIVOTDATA("Sum of conversions",$A$1,"platform","Facebook")</f>
        <v>4.8463922621939064</v>
      </c>
      <c r="I2" s="6">
        <f>GETPIVOTDATA("Sum of conversions",$A$1,"platform","Facebook")/GETPIVOTDATA("Sum of clicks",$A$1,"platform","Facebook")</f>
        <v>4.3206306192303062E-2</v>
      </c>
      <c r="J2" s="4">
        <f>(D2/C2)*1000</f>
        <v>7.3462602750302146</v>
      </c>
    </row>
    <row r="3" spans="1:10" x14ac:dyDescent="0.2">
      <c r="A3" s="3" t="s">
        <v>40</v>
      </c>
      <c r="B3">
        <v>1653207</v>
      </c>
      <c r="C3">
        <v>49441304</v>
      </c>
      <c r="D3" s="5">
        <v>379820.9700000002</v>
      </c>
      <c r="E3">
        <v>123327</v>
      </c>
      <c r="F3" s="6">
        <f>GETPIVOTDATA("Sum of clicks",$A$1,"platform","Google Ads")/GETPIVOTDATA("Sum of impressions",$A$1,"platform","Google Ads")</f>
        <v>3.3437770977885209E-2</v>
      </c>
      <c r="G3" s="7">
        <f>GETPIVOTDATA("Sum of spend_usd",$A$1,"platform","Google Ads")/GETPIVOTDATA("Sum of clicks",$A$1,"platform","Google Ads")</f>
        <v>0.2297479807428835</v>
      </c>
      <c r="H3" s="4">
        <f>GETPIVOTDATA("Sum of spend_usd",$A$1,"platform","Google Ads")/GETPIVOTDATA("Sum of conversions",$A$1,"platform","Google Ads")</f>
        <v>3.0797876377435616</v>
      </c>
      <c r="I3" s="6">
        <f>GETPIVOTDATA("Sum of conversions",$A$1,"platform","Google Ads")/GETPIVOTDATA("Sum of clicks",$A$1,"platform","Google Ads")</f>
        <v>7.4598643727010597E-2</v>
      </c>
      <c r="J3" s="4">
        <f>D3/C3*1000</f>
        <v>7.6822603627121202</v>
      </c>
    </row>
    <row r="4" spans="1:10" x14ac:dyDescent="0.2">
      <c r="A4" s="3" t="s">
        <v>25</v>
      </c>
      <c r="B4">
        <v>2235527</v>
      </c>
      <c r="C4">
        <v>55911388</v>
      </c>
      <c r="D4" s="5">
        <v>384135.32999999961</v>
      </c>
      <c r="E4">
        <v>103413</v>
      </c>
      <c r="F4" s="6">
        <f>GETPIVOTDATA("Sum of clicks",$A$1,"platform","Instagram")/GETPIVOTDATA("Sum of impressions",$A$1,"platform","Instagram")</f>
        <v>3.9983393007521115E-2</v>
      </c>
      <c r="G4" s="7">
        <f>GETPIVOTDATA("Sum of spend_usd",$A$1,"platform","Instagram")/GETPIVOTDATA("Sum of clicks",$A$1,"platform","Instagram")</f>
        <v>0.17183211385950589</v>
      </c>
      <c r="H4" s="4">
        <f>GETPIVOTDATA("Sum of spend_usd",$A$1,"platform","Instagram")/GETPIVOTDATA("Sum of conversions",$A$1,"platform","Instagram")</f>
        <v>3.7145748600272657</v>
      </c>
      <c r="I4" s="6">
        <f>GETPIVOTDATA("Sum of conversions",$A$1,"platform","Instagram")/GETPIVOTDATA("Sum of clicks",$A$1,"platform","Instagram")</f>
        <v>4.6258891080268767E-2</v>
      </c>
      <c r="J4" s="4">
        <f xml:space="preserve"> D4/C4*1000</f>
        <v>6.8704309397577399</v>
      </c>
    </row>
    <row r="5" spans="1:10" x14ac:dyDescent="0.2">
      <c r="A5" s="3" t="s">
        <v>13</v>
      </c>
      <c r="B5">
        <v>2115520</v>
      </c>
      <c r="C5">
        <v>58097005</v>
      </c>
      <c r="D5" s="5">
        <v>337654.72</v>
      </c>
      <c r="E5">
        <v>73166</v>
      </c>
      <c r="F5" s="6">
        <f>GETPIVOTDATA("Sum of clicks",$A$1,"platform","TikTok")/GETPIVOTDATA("Sum of impressions",$A$1,"platform","TikTok")</f>
        <v>3.6413581044324059E-2</v>
      </c>
      <c r="G5" s="7">
        <f>GETPIVOTDATA("Sum of spend_usd",$A$1,"platform","TikTok")/GETPIVOTDATA("Sum of clicks",$A$1,"platform","TikTok")</f>
        <v>0.15960837997277263</v>
      </c>
      <c r="H5" s="4">
        <f>GETPIVOTDATA("Sum of spend_usd",$A$1,"platform","TikTok")/GETPIVOTDATA("Sum of conversions",$A$1,"platform","TikTok")</f>
        <v>4.6149129377033047</v>
      </c>
      <c r="I5" s="6">
        <f>GETPIVOTDATA("Sum of conversions",$A$1,"platform","TikTok")/GETPIVOTDATA("Sum of clicks",$A$1,"platform","TikTok")</f>
        <v>3.4585350173952506E-2</v>
      </c>
      <c r="J5" s="4">
        <f xml:space="preserve"> D5/C5*1000</f>
        <v>5.8119126794918259</v>
      </c>
    </row>
    <row r="6" spans="1:10" x14ac:dyDescent="0.2">
      <c r="A6" s="3" t="s">
        <v>79</v>
      </c>
      <c r="B6">
        <v>7624249</v>
      </c>
      <c r="C6">
        <v>209625352</v>
      </c>
      <c r="D6" s="5">
        <v>1440829.4000000001</v>
      </c>
      <c r="E6">
        <v>369900</v>
      </c>
      <c r="F6" s="9"/>
      <c r="G6" s="9"/>
      <c r="H6" s="9"/>
      <c r="I6" s="9"/>
      <c r="J6" s="9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E8033-7AC1-6A46-A95E-6D159F481709}">
  <dimension ref="A1:J15"/>
  <sheetViews>
    <sheetView showGridLines="0" topLeftCell="A28" workbookViewId="0">
      <selection activeCell="A2" sqref="A2:A14"/>
      <pivotSelection pane="bottomRight" showHeader="1" axis="axisRow" activeRow="1" previousRow="1" click="1" r:id="rId1">
        <pivotArea dataOnly="0" labelOnly="1" fieldPosition="0">
          <references count="1">
            <reference field="1" count="0"/>
          </references>
        </pivotArea>
      </pivotSelection>
    </sheetView>
  </sheetViews>
  <sheetFormatPr baseColWidth="10" defaultRowHeight="16" x14ac:dyDescent="0.2"/>
  <cols>
    <col min="1" max="1" width="34.6640625" bestFit="1" customWidth="1"/>
    <col min="2" max="2" width="17.33203125" bestFit="1" customWidth="1"/>
    <col min="3" max="3" width="17.6640625" bestFit="1" customWidth="1"/>
    <col min="4" max="4" width="12.1640625" bestFit="1" customWidth="1"/>
    <col min="5" max="5" width="16" bestFit="1" customWidth="1"/>
  </cols>
  <sheetData>
    <row r="1" spans="1:10" x14ac:dyDescent="0.2">
      <c r="A1" s="2" t="s">
        <v>91</v>
      </c>
      <c r="B1" t="s">
        <v>84</v>
      </c>
      <c r="C1" t="s">
        <v>81</v>
      </c>
      <c r="D1" t="s">
        <v>80</v>
      </c>
      <c r="E1" t="s">
        <v>82</v>
      </c>
      <c r="F1" s="8" t="s">
        <v>85</v>
      </c>
      <c r="G1" s="8" t="s">
        <v>86</v>
      </c>
      <c r="H1" s="8" t="s">
        <v>88</v>
      </c>
      <c r="I1" s="8" t="s">
        <v>89</v>
      </c>
      <c r="J1" s="8" t="s">
        <v>90</v>
      </c>
    </row>
    <row r="2" spans="1:10" x14ac:dyDescent="0.2">
      <c r="A2" s="3" t="s">
        <v>52</v>
      </c>
      <c r="B2">
        <v>28121</v>
      </c>
      <c r="C2">
        <v>28148982</v>
      </c>
      <c r="D2">
        <v>378363</v>
      </c>
      <c r="E2">
        <v>86933.180000000008</v>
      </c>
      <c r="F2" s="6">
        <f>GETPIVOTDATA("Sum of clicks",$A$1,"campaign_name","BellaCucina_Display_Retargeting")/GETPIVOTDATA("Sum of impressions",$A$1,"campaign_name","BellaCucina_Display_Retargeting")</f>
        <v>1.3441445235923629E-2</v>
      </c>
      <c r="G2" s="7">
        <f>GETPIVOTDATA("Sum of spend_usd",$A$1,"campaign_name","BellaCucina_Display_Retargeting")/GETPIVOTDATA("Sum of clicks",$A$1,"campaign_name","BellaCucina_Display_Retargeting")</f>
        <v>0.22976131387054233</v>
      </c>
      <c r="H2" s="4">
        <f>GETPIVOTDATA("Sum of spend_usd",$A$1,"campaign_name","BellaCucina_Display_Retargeting")/GETPIVOTDATA("Sum of conversions",$A$1,"campaign_name","BellaCucina_Display_Retargeting")</f>
        <v>3.0913971764873227</v>
      </c>
      <c r="I2" s="6">
        <f>GETPIVOTDATA("Sum of conversions",$A$1,"campaign_name","BellaCucina_Display_Retargeting")/GETPIVOTDATA("Sum of clicks",$A$1,"campaign_name","BellaCucina_Display_Retargeting")</f>
        <v>7.4322806405488911E-2</v>
      </c>
      <c r="J2" s="4">
        <f>GETPIVOTDATA("Sum of spend_usd",$A$1,"campaign_name","BellaCucina_Display_Retargeting")/GETPIVOTDATA("Sum of impressions",$A$1,"campaign_name","BellaCucina_Display_Retargeting")*1000</f>
        <v>3.0883241177247549</v>
      </c>
    </row>
    <row r="3" spans="1:10" x14ac:dyDescent="0.2">
      <c r="A3" s="3" t="s">
        <v>10</v>
      </c>
      <c r="B3">
        <v>80172</v>
      </c>
      <c r="C3">
        <v>52404449</v>
      </c>
      <c r="D3">
        <v>1953040</v>
      </c>
      <c r="E3">
        <v>346128.60000000003</v>
      </c>
      <c r="F3" s="6">
        <f>GETPIVOTDATA("Sum of clicks",$A$1,"campaign_name","BellaCucina_EndlessItalianNights")/GETPIVOTDATA("Sum of impressions",$A$1,"campaign_name","BellaCucina_EndlessItalianNights")</f>
        <v>3.7268591451080801E-2</v>
      </c>
      <c r="G3" s="7">
        <f>GETPIVOTDATA("Sum of spend_usd",$A$1,"campaign_name","BellaCucina_EndlessItalianNights")/GETPIVOTDATA("Sum of clicks",$A$1,"campaign_name","BellaCucina_EndlessItalianNights")</f>
        <v>0.17722555605619958</v>
      </c>
      <c r="H3" s="4">
        <f>GETPIVOTDATA("Sum of spend_usd",$A$1,"campaign_name","BellaCucina_EndlessItalianNights")/GETPIVOTDATA("Sum of conversions",$A$1,"campaign_name","BellaCucina_EndlessItalianNights")</f>
        <v>4.3173252507109723</v>
      </c>
      <c r="I3" s="6">
        <f>GETPIVOTDATA("Sum of conversions",$A$1,"campaign_name","BellaCucina_EndlessItalianNights")/GETPIVOTDATA("Sum of clicks",$A$1,"campaign_name","BellaCucina_EndlessItalianNights")</f>
        <v>4.1049850489493306E-2</v>
      </c>
      <c r="J3" s="4">
        <f>GETPIVOTDATA("Sum of spend_usd",$A$1,"campaign_name","BellaCucina_EndlessItalianNights")/GETPIVOTDATA("Sum of impressions",$A$1,"campaign_name","BellaCucina_EndlessItalianNights")*1000</f>
        <v>6.6049468433491221</v>
      </c>
    </row>
    <row r="4" spans="1:10" x14ac:dyDescent="0.2">
      <c r="A4" s="3" t="s">
        <v>18</v>
      </c>
      <c r="B4">
        <v>25018</v>
      </c>
      <c r="C4">
        <v>16195399</v>
      </c>
      <c r="D4">
        <v>608450</v>
      </c>
      <c r="E4">
        <v>108932.74</v>
      </c>
      <c r="F4" s="6">
        <f>GETPIVOTDATA("Sum of clicks",$A$1,"campaign_name","BellaCucina_NewYearNewPasta")/GETPIVOTDATA("Sum of impressions",$A$1,"campaign_name","BellaCucina_NewYearNewPasta")</f>
        <v>3.756931212377046E-2</v>
      </c>
      <c r="G4" s="7">
        <f>GETPIVOTDATA("Sum of spend_usd",$A$1,"campaign_name","BellaCucina_NewYearNewPasta")/GETPIVOTDATA("Sum of clicks",$A$1,"campaign_name","BellaCucina_NewYearNewPasta")</f>
        <v>0.17903318267729476</v>
      </c>
      <c r="H4" s="4">
        <f>GETPIVOTDATA("Sum of spend_usd",$A$1,"campaign_name","BellaCucina_NewYearNewPasta")/GETPIVOTDATA("Sum of conversions",$A$1,"campaign_name","BellaCucina_NewYearNewPasta")</f>
        <v>4.3541745942921102</v>
      </c>
      <c r="I4" s="6">
        <f>GETPIVOTDATA("Sum of conversions",$A$1,"campaign_name","BellaCucina_NewYearNewPasta")/GETPIVOTDATA("Sum of clicks",$A$1,"campaign_name","BellaCucina_NewYearNewPasta")</f>
        <v>4.1117593886104038E-2</v>
      </c>
      <c r="J4" s="4">
        <f xml:space="preserve"> E4/C4*1000</f>
        <v>6.726153520515302</v>
      </c>
    </row>
    <row r="5" spans="1:10" x14ac:dyDescent="0.2">
      <c r="A5" s="3" t="s">
        <v>60</v>
      </c>
      <c r="B5">
        <v>4508</v>
      </c>
      <c r="C5">
        <v>1015462</v>
      </c>
      <c r="D5">
        <v>58915</v>
      </c>
      <c r="E5">
        <v>12960.320000000002</v>
      </c>
      <c r="F5" s="6">
        <f>GETPIVOTDATA("Sum of clicks",$A$1,"campaign_name","BellaCucina_NewYearNewPasta_Search")/GETPIVOTDATA("Sum of impressions",$A$1,"campaign_name","BellaCucina_NewYearNewPasta_Search")</f>
        <v>5.801792681557754E-2</v>
      </c>
      <c r="G5" s="7">
        <f>GETPIVOTDATA("Sum of spend_usd",$A$1,"campaign_name","BellaCucina_NewYearNewPasta_Search")/GETPIVOTDATA("Sum of clicks",$A$1,"campaign_name","BellaCucina_NewYearNewPasta_Search")</f>
        <v>0.21998336586607828</v>
      </c>
      <c r="H5" s="4">
        <f>GETPIVOTDATA("Sum of spend_usd",$A$1,"campaign_name","BellaCucina_NewYearNewPasta_Search")/GETPIVOTDATA("Sum of conversions",$A$1,"campaign_name","BellaCucina_NewYearNewPasta_Search")</f>
        <v>2.8749600709849159</v>
      </c>
      <c r="I5" s="6">
        <f>GETPIVOTDATA("Sum of conversions",$A$1,"campaign_name","BellaCucina_NewYearNewPasta_Search")/GETPIVOTDATA("Sum of clicks",$A$1,"campaign_name","BellaCucina_NewYearNewPasta_Search")</f>
        <v>7.6517016040057714E-2</v>
      </c>
      <c r="J5" s="4">
        <f xml:space="preserve"> E5/C5*1000</f>
        <v>12.762978821462546</v>
      </c>
    </row>
    <row r="6" spans="1:10" x14ac:dyDescent="0.2">
      <c r="A6" s="3" t="s">
        <v>15</v>
      </c>
      <c r="B6">
        <v>81656</v>
      </c>
      <c r="C6">
        <v>52442017</v>
      </c>
      <c r="D6">
        <v>1955971</v>
      </c>
      <c r="E6">
        <v>347326.6500000002</v>
      </c>
      <c r="F6" s="6">
        <f>GETPIVOTDATA("Sum of clicks",$A$1,"campaign_name","BellaCucina_Retargeting")/GETPIVOTDATA("Sum of impressions",$A$1,"campaign_name","BellaCucina_Retargeting")</f>
        <v>3.729778356923228E-2</v>
      </c>
      <c r="G6" s="7">
        <f>GETPIVOTDATA("Sum of spend_usd",$A$1,"campaign_name","BellaCucina_Retargeting")/GETPIVOTDATA("Sum of clicks",$A$1,"campaign_name","BellaCucina_Retargeting")</f>
        <v>0.17757249468422598</v>
      </c>
      <c r="H6" s="4">
        <f>GETPIVOTDATA("Sum of spend_usd",$A$1,"campaign_name","BellaCucina_Retargeting")/GETPIVOTDATA("Sum of conversions",$A$1,"campaign_name","BellaCucina_Retargeting")</f>
        <v>4.2535349515038723</v>
      </c>
      <c r="I6" s="6">
        <f>GETPIVOTDATA("Sum of conversions",$A$1,"campaign_name","BellaCucina_Retargeting")/GETPIVOTDATA("Sum of clicks",$A$1,"campaign_name","BellaCucina_Retargeting")</f>
        <v>4.174704021685393E-2</v>
      </c>
      <c r="J6" s="4">
        <f t="shared" ref="J6:J14" si="0" xml:space="preserve"> E6/C6*1000</f>
        <v>6.6230604745809112</v>
      </c>
    </row>
    <row r="7" spans="1:10" x14ac:dyDescent="0.2">
      <c r="A7" s="3" t="s">
        <v>35</v>
      </c>
      <c r="B7">
        <v>27091</v>
      </c>
      <c r="C7">
        <v>6131607</v>
      </c>
      <c r="D7">
        <v>365185</v>
      </c>
      <c r="E7">
        <v>83621.880000000019</v>
      </c>
      <c r="F7" s="6">
        <f>GETPIVOTDATA("Sum of clicks",$A$1,"campaign_name","BellaCucina_Search_Brand")/GETPIVOTDATA("Sum of impressions",$A$1,"campaign_name","BellaCucina_Search_Brand")</f>
        <v>5.9557796186220022E-2</v>
      </c>
      <c r="G7" s="7">
        <f>GETPIVOTDATA("Sum of spend_usd",$A$1,"campaign_name","BellaCucina_Search_Brand")/GETPIVOTDATA("Sum of clicks",$A$1,"campaign_name","BellaCucina_Search_Brand")</f>
        <v>0.22898498021550726</v>
      </c>
      <c r="H7" s="4">
        <f>GETPIVOTDATA("Sum of spend_usd",$A$1,"campaign_name","BellaCucina_Search_Brand")/GETPIVOTDATA("Sum of conversions",$A$1,"campaign_name","BellaCucina_Search_Brand")</f>
        <v>3.0867033332102918</v>
      </c>
      <c r="I7" s="6">
        <f>GETPIVOTDATA("Sum of conversions",$A$1,"campaign_name","BellaCucina_Search_Brand")/GETPIVOTDATA("Sum of clicks",$A$1,"campaign_name","BellaCucina_Retargeting")</f>
        <v>1.3850409847589765E-2</v>
      </c>
      <c r="J7" s="4">
        <f t="shared" si="0"/>
        <v>13.637840781380806</v>
      </c>
    </row>
    <row r="8" spans="1:10" x14ac:dyDescent="0.2">
      <c r="A8" s="3" t="s">
        <v>44</v>
      </c>
      <c r="B8">
        <v>26167</v>
      </c>
      <c r="C8">
        <v>5851142</v>
      </c>
      <c r="D8">
        <v>352530</v>
      </c>
      <c r="E8">
        <v>81720.059999999954</v>
      </c>
      <c r="F8" s="6">
        <f>GETPIVOTDATA("Sum of clicks",$A$1,"campaign_name","BellaCucina_Search_NonBrand")/GETPIVOTDATA("Sum of impressions",$A$1,"campaign_name","BellaCucina_Search_NonBrand")</f>
        <v>6.0249776881162682E-2</v>
      </c>
      <c r="G8" s="7">
        <f>GETPIVOTDATA("Sum of spend_usd",$A$1,"campaign_name","BellaCucina_Search_NonBrand")/GETPIVOTDATA("Sum of clicks",$A$1,"campaign_name","BellaCucina_Search_NonBrand")</f>
        <v>0.23181022891668782</v>
      </c>
      <c r="H8" s="4">
        <f>GETPIVOTDATA("Sum of spend_usd",$A$1,"campaign_name","BellaCucina_Search_NonBrand")/GETPIVOTDATA("Sum of conversions",$A$1,"campaign_name","BellaCucina_Search_NonBrand")</f>
        <v>3.1230198341422386</v>
      </c>
      <c r="I8" s="6">
        <f>GETPIVOTDATA("Sum of conversions",$A$1,"campaign_name","BellaCucina_Search_NonBrand")/GETPIVOTDATA("Sum of clicks",$A$1,"campaign_name","BellaCucina_Search_NonBrand")</f>
        <v>7.4226306980966161E-2</v>
      </c>
      <c r="J8" s="4">
        <f t="shared" si="0"/>
        <v>13.966514571001689</v>
      </c>
    </row>
    <row r="9" spans="1:10" x14ac:dyDescent="0.2">
      <c r="A9" s="3" t="s">
        <v>56</v>
      </c>
      <c r="B9">
        <v>26507</v>
      </c>
      <c r="C9">
        <v>5850524</v>
      </c>
      <c r="D9">
        <v>354111</v>
      </c>
      <c r="E9">
        <v>80605.36</v>
      </c>
      <c r="F9" s="6">
        <f>GETPIVOTDATA("Sum of clicks",$A$1,"campaign_name","BellaCucina_Search_Weekend")/GETPIVOTDATA("Sum of impressions",$A$1,"campaign_name","BellaCucina_Search_Weekend")</f>
        <v>6.0526373364163617E-2</v>
      </c>
      <c r="G9" s="7">
        <f>GETPIVOTDATA("Sum of spend_usd",$A$1,"campaign_name","BellaCucina_Search_Weekend")/GETPIVOTDATA("Sum of clicks",$A$1,"campaign_name","BellaCucina_Search_Weekend")</f>
        <v>0.22762738237445321</v>
      </c>
      <c r="H9" s="4">
        <f>GETPIVOTDATA("Sum of spend_usd",$A$1,"campaign_name","BellaCucina_Search_Weekend")/GETPIVOTDATA("Sum of conversions",$A$1,"campaign_name","BellaCucina_Search_Weekend")</f>
        <v>3.0409084392801899</v>
      </c>
      <c r="I9" s="6">
        <f>GETPIVOTDATA("Sum of conversions",$A$1,"campaign_name","BellaCucina_Search_Weekend")/GETPIVOTDATA("Sum of clicks",$A$1,"campaign_name","BellaCucina_Search_Weekend")</f>
        <v>7.4855059571716218E-2</v>
      </c>
      <c r="J9" s="4">
        <f t="shared" si="0"/>
        <v>13.777459933503392</v>
      </c>
    </row>
    <row r="10" spans="1:10" x14ac:dyDescent="0.2">
      <c r="A10" s="3" t="s">
        <v>21</v>
      </c>
      <c r="B10">
        <v>15585</v>
      </c>
      <c r="C10">
        <v>10359364</v>
      </c>
      <c r="D10">
        <v>380971</v>
      </c>
      <c r="E10">
        <v>67770.159999999974</v>
      </c>
      <c r="F10" s="6">
        <f>GETPIVOTDATA("Sum of clicks",$A$1,"campaign_name","BellaCucina_SpringFeast")/GETPIVOTDATA("Sum of impressions",$A$1,"campaign_name","BellaCucina_SpringFeast")</f>
        <v>3.6775520196027478E-2</v>
      </c>
      <c r="G10" s="7">
        <f>GETPIVOTDATA("Sum of spend_usd",$A$1,"campaign_name","BellaCucina_SpringFeast")/GETPIVOTDATA("Sum of clicks",$A$1,"campaign_name","BellaCucina_SpringFeast")</f>
        <v>0.17788797572518636</v>
      </c>
      <c r="H10" s="4">
        <f>GETPIVOTDATA("Sum of spend_usd",$A$1,"campaign_name","BellaCucina_SpringFeast")/GETPIVOTDATA("Sum of conversions",$A$1,"campaign_name","BellaCucina_SpringFeast")</f>
        <v>4.3484222008341336</v>
      </c>
      <c r="I10" s="6">
        <f>GETPIVOTDATA("Sum of conversions",$A$1,"campaign_name","BellaCucina_SpringFeast")/GETPIVOTDATA("Sum of clicks",$A$1,"campaign_name","BellaCucina_SpringFeast")</f>
        <v>4.0908625590924244E-2</v>
      </c>
      <c r="J10" s="4">
        <f t="shared" si="0"/>
        <v>6.5419228439120367</v>
      </c>
    </row>
    <row r="11" spans="1:10" x14ac:dyDescent="0.2">
      <c r="A11" s="3" t="s">
        <v>67</v>
      </c>
      <c r="B11">
        <v>5254</v>
      </c>
      <c r="C11">
        <v>1160856</v>
      </c>
      <c r="D11">
        <v>67775</v>
      </c>
      <c r="E11">
        <v>16115.840000000002</v>
      </c>
      <c r="F11" s="6">
        <f>GETPIVOTDATA("Sum of clicks",$A$1,"campaign_name","BellaCucina_SpringFeast_Search")/GETPIVOTDATA("Sum of impressions",$A$1,"campaign_name","BellaCucina_SpringFeast_Search")</f>
        <v>5.8383641037303508E-2</v>
      </c>
      <c r="G11" s="7">
        <f>GETPIVOTDATA("Sum of spend_usd",$A$1,"campaign_name","BellaCucina_SpringFeast_Search")/GETPIVOTDATA("Sum of clicks",$A$1,"campaign_name","BellaCucina_SpringFeast_Search")</f>
        <v>0.23778443378827005</v>
      </c>
      <c r="H11" s="4">
        <f>GETPIVOTDATA("Sum of spend_usd",$A$1,"campaign_name","BellaCucina_SpringFeast_Search")/GETPIVOTDATA("Sum of conversions",$A$1,"campaign_name","BellaCucina_SpringFeast_Search")</f>
        <v>3.0673467834031216</v>
      </c>
      <c r="I11" s="6">
        <f>GETPIVOTDATA("Sum of conversions",$A$1,"campaign_name","BellaCucina_SpringFeast_Search")/GETPIVOTDATA("Sum of clicks",$A$1,"campaign_name","BellaCucina_SpringFeast_Search")</f>
        <v>7.7521209885651046E-2</v>
      </c>
      <c r="J11" s="4">
        <f t="shared" si="0"/>
        <v>13.88272102655282</v>
      </c>
    </row>
    <row r="12" spans="1:10" x14ac:dyDescent="0.2">
      <c r="A12" s="3" t="s">
        <v>20</v>
      </c>
      <c r="B12">
        <v>16556</v>
      </c>
      <c r="C12">
        <v>10761589</v>
      </c>
      <c r="D12">
        <v>407043</v>
      </c>
      <c r="E12">
        <v>72046.990000000005</v>
      </c>
      <c r="F12" s="6">
        <f>GETPIVOTDATA("Sum of clicks",$A$1,"campaign_name","BellaCucina_ValentinesDate")/GETPIVOTDATA("Sum of impressions",$A$1,"campaign_name","BellaCucina_ValentinesDate")</f>
        <v>3.7823689419843112E-2</v>
      </c>
      <c r="G12" s="7">
        <f>GETPIVOTDATA("Sum of spend_usd",$A$1,"campaign_name","BellaCucina_ValentinesDate")/GETPIVOTDATA("Sum of clicks",$A$1,"campaign_name","BellaCucina_ValentinesDate")</f>
        <v>0.1770009311055589</v>
      </c>
      <c r="H12" s="4">
        <f>GETPIVOTDATA("Sum of spend_usd",$A$1,"campaign_name","BellaCucina_ValentinesDate")/GETPIVOTDATA("Sum of conversions",$A$1,"campaign_name","BellaCucina_ValentinesDate")</f>
        <v>4.3517147861802368</v>
      </c>
      <c r="I12" s="6">
        <f>GETPIVOTDATA("Sum of conversions",$A$1,"campaign_name","BellaCucina_ValentinesDate")/GETPIVOTDATA("Sum of clicks",$A$1,"campaign_name","BellaCucina_ValentinesDate")</f>
        <v>4.0673835442447112E-2</v>
      </c>
      <c r="J12" s="4">
        <f t="shared" si="0"/>
        <v>6.694828245159707</v>
      </c>
    </row>
    <row r="13" spans="1:10" x14ac:dyDescent="0.2">
      <c r="A13" s="3" t="s">
        <v>63</v>
      </c>
      <c r="B13">
        <v>5679</v>
      </c>
      <c r="C13">
        <v>1282731</v>
      </c>
      <c r="D13">
        <v>76328</v>
      </c>
      <c r="E13">
        <v>17864.330000000002</v>
      </c>
      <c r="F13" s="6">
        <f>GETPIVOTDATA("Sum of clicks",$A$1,"campaign_name","BellaCucina_ValentinesDate_Search")/GETPIVOTDATA("Sum of impressions",$A$1,"campaign_name","BellaCucina_ValentinesDate_Search")</f>
        <v>5.9504292014459774E-2</v>
      </c>
      <c r="G13" s="7">
        <f>GETPIVOTDATA("Sum of spend_usd",$A$1,"campaign_name","BellaCucina_ValentinesDate_Search")/GETPIVOTDATA("Sum of clicks",$A$1,"campaign_name","BellaCucina_ValentinesDate_Search")</f>
        <v>0.23404687663766904</v>
      </c>
      <c r="H13" s="4">
        <f>GETPIVOTDATA("Sum of spend_usd",$A$1,"campaign_name","BellaCucina_ValentinesDate_Search")/GETPIVOTDATA("Sum of conversions",$A$1,"campaign_name","BellaCucina_ValentinesDate_Search")</f>
        <v>3.1456823384398667</v>
      </c>
      <c r="I13" s="6">
        <f>GETPIVOTDATA("Sum of conversions",$A$1,"campaign_name","BellaCucina_ValentinesDate_Search")/GETPIVOTDATA("Sum of clicks",$A$1,"campaign_name","BellaCucina_ValentinesDate_Search")</f>
        <v>7.440257834608531E-2</v>
      </c>
      <c r="J13" s="4">
        <f t="shared" si="0"/>
        <v>13.926793692520102</v>
      </c>
    </row>
    <row r="14" spans="1:10" x14ac:dyDescent="0.2">
      <c r="A14" s="3" t="s">
        <v>19</v>
      </c>
      <c r="B14">
        <v>27586</v>
      </c>
      <c r="C14">
        <v>18021230</v>
      </c>
      <c r="D14">
        <v>665567</v>
      </c>
      <c r="E14">
        <v>118803.29000000004</v>
      </c>
      <c r="F14" s="6">
        <f>GETPIVOTDATA("Sum of clicks",$A$1,"campaign_name","BellaCucina_WeekendSpecial")/GETPIVOTDATA("Sum of impressions",$A$1,"campaign_name","BellaCucina_WeekendSpecial")</f>
        <v>3.6932384748432821E-2</v>
      </c>
      <c r="G14" s="7">
        <f>GETPIVOTDATA("Sum of spend_usd",$A$1,"campaign_name","BellaCucina_WeekendSpecial")/GETPIVOTDATA("Sum of clicks",$A$1,"campaign_name","BellaCucina_WeekendSpecial")</f>
        <v>0.17849936971033725</v>
      </c>
      <c r="H14" s="4">
        <f>GETPIVOTDATA("Sum of spend_usd",$A$1,"campaign_name","BellaCucina_WeekendSpecial")/GETPIVOTDATA("Sum of conversions",$A$1,"campaign_name","BellaCucina_WeekendSpecial")</f>
        <v>4.306651562386719</v>
      </c>
      <c r="I14" s="6">
        <f>GETPIVOTDATA("Sum of conversions",$A$1,"campaign_name","BellaCucina_WeekendSpecial")/GETPIVOTDATA("Sum of clicks",$A$1,"campaign_name","BellaCucina_WeekendSpecial")</f>
        <v>4.144736743258004E-2</v>
      </c>
      <c r="J14" s="4">
        <f t="shared" si="0"/>
        <v>6.592407399494931</v>
      </c>
    </row>
    <row r="15" spans="1:10" x14ac:dyDescent="0.2">
      <c r="A15" s="3" t="s">
        <v>79</v>
      </c>
      <c r="B15">
        <v>369900</v>
      </c>
      <c r="C15">
        <v>209625352</v>
      </c>
      <c r="D15">
        <v>7624249</v>
      </c>
      <c r="E15">
        <v>1440829.4000000004</v>
      </c>
      <c r="F15" s="9"/>
      <c r="G15" s="9"/>
      <c r="H15" s="9"/>
      <c r="I15" s="9"/>
      <c r="J15" s="9"/>
    </row>
  </sheetData>
  <pageMargins left="0.7" right="0.7" top="0.75" bottom="0.75" header="0.3" footer="0.3"/>
  <pageSetup paperSize="9" orientation="portrait" horizontalDpi="0" verticalDpi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86F1C-230F-E348-9D54-6D3D1390C363}">
  <dimension ref="A1:J5"/>
  <sheetViews>
    <sheetView showGridLines="0" workbookViewId="0">
      <selection sqref="A1:F5"/>
    </sheetView>
  </sheetViews>
  <sheetFormatPr baseColWidth="10" defaultRowHeight="16" x14ac:dyDescent="0.2"/>
  <cols>
    <col min="1" max="1" width="10.5" bestFit="1" customWidth="1"/>
    <col min="2" max="2" width="17.33203125" bestFit="1" customWidth="1"/>
    <col min="3" max="3" width="17.6640625" bestFit="1" customWidth="1"/>
    <col min="4" max="4" width="12.1640625" bestFit="1" customWidth="1"/>
    <col min="5" max="5" width="16" bestFit="1" customWidth="1"/>
  </cols>
  <sheetData>
    <row r="1" spans="1:10" x14ac:dyDescent="0.2">
      <c r="A1" s="2" t="s">
        <v>97</v>
      </c>
      <c r="B1" t="s">
        <v>84</v>
      </c>
      <c r="C1" t="s">
        <v>81</v>
      </c>
      <c r="D1" t="s">
        <v>80</v>
      </c>
      <c r="E1" t="s">
        <v>82</v>
      </c>
      <c r="F1" s="8" t="s">
        <v>95</v>
      </c>
      <c r="G1" s="8" t="s">
        <v>86</v>
      </c>
      <c r="H1" s="8" t="s">
        <v>88</v>
      </c>
      <c r="I1" s="8" t="s">
        <v>96</v>
      </c>
      <c r="J1" s="8" t="s">
        <v>90</v>
      </c>
    </row>
    <row r="2" spans="1:10" x14ac:dyDescent="0.2">
      <c r="A2" s="3" t="s">
        <v>92</v>
      </c>
      <c r="B2">
        <v>123661</v>
      </c>
      <c r="C2">
        <v>70563828</v>
      </c>
      <c r="D2">
        <v>2583469</v>
      </c>
      <c r="E2">
        <v>484827.67000000016</v>
      </c>
      <c r="F2" s="25">
        <f t="shared" ref="F2:G4" si="0">D2/C2</f>
        <v>3.6611803429938639E-2</v>
      </c>
      <c r="G2" s="27">
        <f t="shared" si="0"/>
        <v>0.18766537163790242</v>
      </c>
      <c r="H2" s="26">
        <f>E2/B2</f>
        <v>3.9206190310607236</v>
      </c>
      <c r="I2" s="28">
        <f>B2/D2</f>
        <v>4.7866260442838676E-2</v>
      </c>
      <c r="J2" s="26">
        <f>(E2/C2)*1000</f>
        <v>6.8707676970132656</v>
      </c>
    </row>
    <row r="3" spans="1:10" x14ac:dyDescent="0.2">
      <c r="A3" s="3" t="s">
        <v>93</v>
      </c>
      <c r="B3">
        <v>116327</v>
      </c>
      <c r="C3">
        <v>66404098</v>
      </c>
      <c r="D3">
        <v>2402760</v>
      </c>
      <c r="E3">
        <v>457164.94999999966</v>
      </c>
      <c r="F3" s="25">
        <f t="shared" si="0"/>
        <v>3.6183911420647565E-2</v>
      </c>
      <c r="G3" s="27">
        <f t="shared" si="0"/>
        <v>0.19026658925568915</v>
      </c>
      <c r="H3" s="26">
        <f>E3/B3</f>
        <v>3.9299986245669505</v>
      </c>
      <c r="I3" s="28">
        <f>B3/D3</f>
        <v>4.8413907339892454E-2</v>
      </c>
      <c r="J3" s="26">
        <f>(E3/C3)*1000</f>
        <v>6.8845894119365898</v>
      </c>
    </row>
    <row r="4" spans="1:10" x14ac:dyDescent="0.2">
      <c r="A4" s="3" t="s">
        <v>94</v>
      </c>
      <c r="B4">
        <v>129912</v>
      </c>
      <c r="C4">
        <v>72657426</v>
      </c>
      <c r="D4">
        <v>2638020</v>
      </c>
      <c r="E4">
        <v>498836.78000000067</v>
      </c>
      <c r="F4" s="25">
        <f t="shared" si="0"/>
        <v>3.6307644589556473E-2</v>
      </c>
      <c r="G4" s="27">
        <f t="shared" si="0"/>
        <v>0.18909514711791445</v>
      </c>
      <c r="H4" s="26">
        <f>E4/B4</f>
        <v>3.839805252786507</v>
      </c>
      <c r="I4" s="28">
        <f>B4/D4</f>
        <v>4.9246025428162032E-2</v>
      </c>
      <c r="J4" s="26">
        <f>(E4/C4)*1000</f>
        <v>6.8655993951671324</v>
      </c>
    </row>
    <row r="5" spans="1:10" x14ac:dyDescent="0.2">
      <c r="A5" s="3" t="s">
        <v>79</v>
      </c>
      <c r="B5">
        <v>369900</v>
      </c>
      <c r="C5">
        <v>209625352</v>
      </c>
      <c r="D5">
        <v>7624249</v>
      </c>
      <c r="E5">
        <v>1440829.4000000006</v>
      </c>
      <c r="F5" s="9"/>
      <c r="G5" s="9"/>
      <c r="H5" s="9"/>
      <c r="I5" s="9"/>
      <c r="J5" s="9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6A3A3-2D4B-064F-B8B9-8F0AFF7F2AF0}">
  <dimension ref="A1:E6"/>
  <sheetViews>
    <sheetView showGridLines="0" workbookViewId="0">
      <selection activeCell="C4" sqref="C4"/>
    </sheetView>
  </sheetViews>
  <sheetFormatPr baseColWidth="10" defaultRowHeight="16" x14ac:dyDescent="0.2"/>
  <cols>
    <col min="2" max="2" width="11.5" customWidth="1"/>
    <col min="3" max="3" width="12.83203125" customWidth="1"/>
    <col min="4" max="4" width="12" customWidth="1"/>
  </cols>
  <sheetData>
    <row r="1" spans="1:5" x14ac:dyDescent="0.2">
      <c r="A1" t="s">
        <v>98</v>
      </c>
      <c r="B1" t="s">
        <v>72</v>
      </c>
      <c r="C1" t="s">
        <v>40</v>
      </c>
      <c r="D1" t="s">
        <v>25</v>
      </c>
      <c r="E1" t="s">
        <v>13</v>
      </c>
    </row>
    <row r="2" spans="1:5" x14ac:dyDescent="0.2">
      <c r="A2" s="3" t="s">
        <v>99</v>
      </c>
      <c r="B2">
        <v>46175655</v>
      </c>
      <c r="C2">
        <v>49441304</v>
      </c>
      <c r="D2">
        <v>55911388</v>
      </c>
      <c r="E2">
        <v>58097005</v>
      </c>
    </row>
    <row r="3" spans="1:5" x14ac:dyDescent="0.2">
      <c r="A3" s="3" t="s">
        <v>100</v>
      </c>
      <c r="B3">
        <v>1619995</v>
      </c>
      <c r="C3">
        <v>1653207</v>
      </c>
      <c r="D3">
        <v>2235527</v>
      </c>
      <c r="E3">
        <v>2115520</v>
      </c>
    </row>
    <row r="4" spans="1:5" x14ac:dyDescent="0.2">
      <c r="A4" s="3" t="s">
        <v>101</v>
      </c>
      <c r="B4">
        <v>69994</v>
      </c>
      <c r="C4">
        <v>123327</v>
      </c>
      <c r="D4">
        <v>103413</v>
      </c>
      <c r="E4">
        <v>73166</v>
      </c>
    </row>
    <row r="5" spans="1:5" x14ac:dyDescent="0.2">
      <c r="A5" s="3" t="s">
        <v>95</v>
      </c>
      <c r="B5">
        <v>3.5099999999999999E-2</v>
      </c>
      <c r="C5">
        <v>3.3399999999999999E-2</v>
      </c>
      <c r="D5">
        <v>0.04</v>
      </c>
      <c r="E5">
        <v>3.6400000000000002E-2</v>
      </c>
    </row>
    <row r="6" spans="1:5" x14ac:dyDescent="0.2">
      <c r="A6" t="s">
        <v>96</v>
      </c>
      <c r="B6">
        <v>4.3200000000000002E-2</v>
      </c>
      <c r="C6">
        <v>7.46E-2</v>
      </c>
      <c r="D6">
        <v>4.6300000000000001E-2</v>
      </c>
      <c r="E6">
        <v>3.4599999999999999E-2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C9445-86AF-BA42-B963-F70BFE78018E}">
  <dimension ref="A1:F22"/>
  <sheetViews>
    <sheetView showGridLines="0" tabSelected="1" workbookViewId="0">
      <selection activeCell="O15" sqref="O15"/>
    </sheetView>
  </sheetViews>
  <sheetFormatPr baseColWidth="10" defaultRowHeight="16" x14ac:dyDescent="0.2"/>
  <cols>
    <col min="1" max="1" width="16.83203125" bestFit="1" customWidth="1"/>
    <col min="3" max="3" width="13.83203125" customWidth="1"/>
    <col min="6" max="6" width="13.33203125" customWidth="1"/>
  </cols>
  <sheetData>
    <row r="1" spans="1:6" x14ac:dyDescent="0.2">
      <c r="A1" s="50" t="s">
        <v>127</v>
      </c>
      <c r="B1" s="51"/>
      <c r="C1" s="51"/>
      <c r="D1" s="51"/>
      <c r="E1" s="51"/>
      <c r="F1" s="51"/>
    </row>
    <row r="2" spans="1:6" x14ac:dyDescent="0.2">
      <c r="A2" s="48" t="s">
        <v>107</v>
      </c>
      <c r="B2" s="48" t="s">
        <v>112</v>
      </c>
      <c r="C2" s="48" t="s">
        <v>96</v>
      </c>
      <c r="D2" s="48" t="s">
        <v>95</v>
      </c>
      <c r="E2" s="48" t="s">
        <v>88</v>
      </c>
      <c r="F2" s="48" t="s">
        <v>108</v>
      </c>
    </row>
    <row r="3" spans="1:6" x14ac:dyDescent="0.2">
      <c r="A3" s="33" t="s">
        <v>113</v>
      </c>
      <c r="B3" s="34">
        <v>27774</v>
      </c>
      <c r="C3" s="35">
        <v>4.7600000000000003E-2</v>
      </c>
      <c r="D3" s="35">
        <v>3.6999999999999998E-2</v>
      </c>
      <c r="E3" s="36">
        <v>3.93</v>
      </c>
      <c r="F3" s="37">
        <v>109153</v>
      </c>
    </row>
    <row r="4" spans="1:6" x14ac:dyDescent="0.2">
      <c r="A4" s="33" t="s">
        <v>114</v>
      </c>
      <c r="B4" s="34">
        <v>27273</v>
      </c>
      <c r="C4" s="35">
        <v>4.82E-2</v>
      </c>
      <c r="D4" s="35">
        <v>3.6200000000000003E-2</v>
      </c>
      <c r="E4" s="36">
        <v>3.88</v>
      </c>
      <c r="F4" s="37">
        <v>105845</v>
      </c>
    </row>
    <row r="5" spans="1:6" x14ac:dyDescent="0.2">
      <c r="A5" s="33" t="s">
        <v>115</v>
      </c>
      <c r="B5" s="34">
        <v>27532</v>
      </c>
      <c r="C5" s="35">
        <v>4.82E-2</v>
      </c>
      <c r="D5" s="35">
        <v>3.6499999999999998E-2</v>
      </c>
      <c r="E5" s="36">
        <v>3.94</v>
      </c>
      <c r="F5" s="37">
        <v>108516</v>
      </c>
    </row>
    <row r="6" spans="1:6" x14ac:dyDescent="0.2">
      <c r="A6" s="33" t="s">
        <v>116</v>
      </c>
      <c r="B6" s="34">
        <v>27615</v>
      </c>
      <c r="C6" s="35">
        <v>4.7600000000000003E-2</v>
      </c>
      <c r="D6" s="35">
        <v>3.61E-2</v>
      </c>
      <c r="E6" s="36">
        <v>3.92</v>
      </c>
      <c r="F6" s="37">
        <v>108301</v>
      </c>
    </row>
    <row r="7" spans="1:6" x14ac:dyDescent="0.2">
      <c r="A7" s="33" t="s">
        <v>117</v>
      </c>
      <c r="B7" s="34">
        <v>13467</v>
      </c>
      <c r="C7" s="35">
        <v>4.7699999999999999E-2</v>
      </c>
      <c r="D7" s="35">
        <v>3.7900000000000003E-2</v>
      </c>
      <c r="E7" s="36">
        <v>3.94</v>
      </c>
      <c r="F7" s="37">
        <v>53013</v>
      </c>
    </row>
    <row r="8" spans="1:6" x14ac:dyDescent="0.2">
      <c r="A8" s="38" t="s">
        <v>118</v>
      </c>
      <c r="B8" s="39">
        <v>28867</v>
      </c>
      <c r="C8" s="40">
        <v>4.9299999999999997E-2</v>
      </c>
      <c r="D8" s="40">
        <v>3.6600000000000001E-2</v>
      </c>
      <c r="E8" s="41">
        <v>3.9</v>
      </c>
      <c r="F8" s="42">
        <v>112439</v>
      </c>
    </row>
    <row r="9" spans="1:6" x14ac:dyDescent="0.2">
      <c r="A9" s="38" t="s">
        <v>119</v>
      </c>
      <c r="B9" s="39">
        <v>40381</v>
      </c>
      <c r="C9" s="40">
        <v>4.7500000000000001E-2</v>
      </c>
      <c r="D9" s="40">
        <v>3.6700000000000003E-2</v>
      </c>
      <c r="E9" s="41">
        <v>3.98</v>
      </c>
      <c r="F9" s="42">
        <v>160654</v>
      </c>
    </row>
    <row r="10" spans="1:6" x14ac:dyDescent="0.2">
      <c r="A10" s="38" t="s">
        <v>120</v>
      </c>
      <c r="B10" s="39">
        <v>26478</v>
      </c>
      <c r="C10" s="40">
        <v>4.87E-2</v>
      </c>
      <c r="D10" s="40">
        <v>3.5900000000000001E-2</v>
      </c>
      <c r="E10" s="41">
        <v>3.91</v>
      </c>
      <c r="F10" s="42">
        <v>103551</v>
      </c>
    </row>
    <row r="11" spans="1:6" x14ac:dyDescent="0.2">
      <c r="A11" s="38" t="s">
        <v>121</v>
      </c>
      <c r="B11" s="39">
        <v>20601</v>
      </c>
      <c r="C11" s="40">
        <v>4.8800000000000003E-2</v>
      </c>
      <c r="D11" s="40">
        <v>3.5099999999999999E-2</v>
      </c>
      <c r="E11" s="41">
        <v>3.91</v>
      </c>
      <c r="F11" s="42">
        <v>80520</v>
      </c>
    </row>
    <row r="12" spans="1:6" x14ac:dyDescent="0.2">
      <c r="A12" s="43" t="s">
        <v>122</v>
      </c>
      <c r="B12" s="44">
        <v>25097</v>
      </c>
      <c r="C12" s="45">
        <v>4.9599999999999998E-2</v>
      </c>
      <c r="D12" s="45">
        <v>3.6299999999999999E-2</v>
      </c>
      <c r="E12" s="46">
        <v>3.82</v>
      </c>
      <c r="F12" s="47">
        <v>95964</v>
      </c>
    </row>
    <row r="13" spans="1:6" x14ac:dyDescent="0.2">
      <c r="A13" s="43" t="s">
        <v>123</v>
      </c>
      <c r="B13" s="44">
        <v>24477</v>
      </c>
      <c r="C13" s="45">
        <v>4.9200000000000001E-2</v>
      </c>
      <c r="D13" s="45">
        <v>3.5799999999999998E-2</v>
      </c>
      <c r="E13" s="46">
        <v>3.85</v>
      </c>
      <c r="F13" s="47">
        <v>94116</v>
      </c>
    </row>
    <row r="14" spans="1:6" x14ac:dyDescent="0.2">
      <c r="A14" s="43" t="s">
        <v>124</v>
      </c>
      <c r="B14" s="44">
        <v>33611</v>
      </c>
      <c r="C14" s="45">
        <v>4.9099999999999998E-2</v>
      </c>
      <c r="D14" s="45">
        <v>3.6400000000000002E-2</v>
      </c>
      <c r="E14" s="46">
        <v>3.86</v>
      </c>
      <c r="F14" s="47">
        <v>129667</v>
      </c>
    </row>
    <row r="15" spans="1:6" x14ac:dyDescent="0.2">
      <c r="A15" s="43" t="s">
        <v>125</v>
      </c>
      <c r="B15" s="44">
        <v>31766</v>
      </c>
      <c r="C15" s="45">
        <v>4.9000000000000002E-2</v>
      </c>
      <c r="D15" s="45">
        <v>3.6299999999999999E-2</v>
      </c>
      <c r="E15" s="46">
        <v>3.85</v>
      </c>
      <c r="F15" s="47">
        <v>122348</v>
      </c>
    </row>
    <row r="16" spans="1:6" x14ac:dyDescent="0.2">
      <c r="A16" s="43" t="s">
        <v>126</v>
      </c>
      <c r="B16" s="44">
        <v>14961</v>
      </c>
      <c r="C16" s="45">
        <v>4.9500000000000002E-2</v>
      </c>
      <c r="D16" s="45">
        <v>3.6999999999999998E-2</v>
      </c>
      <c r="E16" s="46">
        <v>3.79</v>
      </c>
      <c r="F16" s="47">
        <v>56742</v>
      </c>
    </row>
    <row r="18" spans="1:6" x14ac:dyDescent="0.2">
      <c r="A18" s="50" t="s">
        <v>128</v>
      </c>
      <c r="B18" s="51"/>
      <c r="C18" s="51"/>
      <c r="D18" s="51"/>
      <c r="E18" s="51"/>
      <c r="F18" s="51"/>
    </row>
    <row r="19" spans="1:6" x14ac:dyDescent="0.2">
      <c r="A19" s="48" t="s">
        <v>107</v>
      </c>
      <c r="B19" s="48" t="s">
        <v>129</v>
      </c>
      <c r="C19" s="48" t="s">
        <v>108</v>
      </c>
      <c r="D19" s="48" t="s">
        <v>101</v>
      </c>
      <c r="E19" s="48" t="s">
        <v>88</v>
      </c>
      <c r="F19" s="48" t="s">
        <v>96</v>
      </c>
    </row>
    <row r="20" spans="1:6" x14ac:dyDescent="0.2">
      <c r="A20" s="33" t="s">
        <v>109</v>
      </c>
      <c r="B20" s="33" t="s">
        <v>130</v>
      </c>
      <c r="C20" s="37">
        <v>121893</v>
      </c>
      <c r="D20" s="34">
        <v>29526</v>
      </c>
      <c r="E20" s="36">
        <v>4.13</v>
      </c>
      <c r="F20" s="35">
        <v>4.4200000000000003E-2</v>
      </c>
    </row>
    <row r="21" spans="1:6" x14ac:dyDescent="0.2">
      <c r="A21" s="38" t="s">
        <v>110</v>
      </c>
      <c r="B21" s="38" t="s">
        <v>131</v>
      </c>
      <c r="C21" s="42">
        <v>89911</v>
      </c>
      <c r="D21" s="39">
        <v>22235</v>
      </c>
      <c r="E21" s="41">
        <v>4.04</v>
      </c>
      <c r="F21" s="40">
        <v>4.5999999999999999E-2</v>
      </c>
    </row>
    <row r="22" spans="1:6" x14ac:dyDescent="0.2">
      <c r="A22" s="43" t="s">
        <v>111</v>
      </c>
      <c r="B22" s="43" t="s">
        <v>132</v>
      </c>
      <c r="C22" s="47">
        <v>83886</v>
      </c>
      <c r="D22" s="44">
        <v>20839</v>
      </c>
      <c r="E22" s="46">
        <v>4.03</v>
      </c>
      <c r="F22" s="45">
        <v>4.6399999999999997E-2</v>
      </c>
    </row>
  </sheetData>
  <mergeCells count="2">
    <mergeCell ref="A1:F1"/>
    <mergeCell ref="A18:F18"/>
  </mergeCells>
  <conditionalFormatting sqref="B3:B1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C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0:C2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0:D2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0:E2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F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0:F2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1EA25-18B0-BC42-80CA-C558107F235E}">
  <dimension ref="A1:I13"/>
  <sheetViews>
    <sheetView workbookViewId="0">
      <selection activeCell="M26" sqref="M26"/>
    </sheetView>
  </sheetViews>
  <sheetFormatPr baseColWidth="10" defaultRowHeight="16" x14ac:dyDescent="0.2"/>
  <cols>
    <col min="1" max="1" width="16" bestFit="1" customWidth="1"/>
    <col min="2" max="2" width="32" customWidth="1"/>
    <col min="9" max="9" width="15.83203125" bestFit="1" customWidth="1"/>
    <col min="10" max="10" width="13" bestFit="1" customWidth="1"/>
  </cols>
  <sheetData>
    <row r="1" spans="1:9" ht="17" x14ac:dyDescent="0.2">
      <c r="A1" s="84" t="s">
        <v>148</v>
      </c>
      <c r="B1" s="85"/>
      <c r="E1" s="94" t="s">
        <v>164</v>
      </c>
      <c r="F1" s="95"/>
      <c r="G1" s="95"/>
      <c r="H1" s="95"/>
      <c r="I1" s="96"/>
    </row>
    <row r="2" spans="1:9" x14ac:dyDescent="0.2">
      <c r="A2" s="86"/>
      <c r="B2" s="87"/>
      <c r="E2" s="91"/>
      <c r="F2" s="92"/>
      <c r="G2" s="92"/>
      <c r="H2" s="92"/>
      <c r="I2" s="93"/>
    </row>
    <row r="3" spans="1:9" x14ac:dyDescent="0.2">
      <c r="A3" s="59" t="s">
        <v>162</v>
      </c>
      <c r="B3" s="58"/>
      <c r="E3" s="72" t="s">
        <v>153</v>
      </c>
      <c r="F3" s="73" t="s">
        <v>154</v>
      </c>
      <c r="G3" s="73" t="s">
        <v>155</v>
      </c>
      <c r="H3" s="73" t="s">
        <v>156</v>
      </c>
      <c r="I3" s="74" t="s">
        <v>157</v>
      </c>
    </row>
    <row r="4" spans="1:9" x14ac:dyDescent="0.2">
      <c r="A4" s="60" t="s">
        <v>163</v>
      </c>
      <c r="B4" s="61" t="s">
        <v>13</v>
      </c>
      <c r="E4" s="75" t="s">
        <v>158</v>
      </c>
      <c r="F4" s="76" t="s">
        <v>40</v>
      </c>
      <c r="G4" s="76" t="s">
        <v>25</v>
      </c>
      <c r="H4" s="76" t="s">
        <v>40</v>
      </c>
      <c r="I4" s="77" t="s">
        <v>13</v>
      </c>
    </row>
    <row r="5" spans="1:9" x14ac:dyDescent="0.2">
      <c r="A5" s="88" t="s">
        <v>149</v>
      </c>
      <c r="B5" s="62">
        <f>IFERROR(_xlfn.XLOOKUP(B4,'Platform Summary'!$A$2:$A$5,'Platform Summary'!$D$2:$D$5),"")</f>
        <v>337654.72</v>
      </c>
      <c r="E5" s="72" t="s">
        <v>159</v>
      </c>
      <c r="F5" s="73" t="s">
        <v>25</v>
      </c>
      <c r="G5" s="73" t="s">
        <v>13</v>
      </c>
      <c r="H5" s="73" t="s">
        <v>25</v>
      </c>
      <c r="I5" s="74" t="s">
        <v>25</v>
      </c>
    </row>
    <row r="6" spans="1:9" x14ac:dyDescent="0.2">
      <c r="A6" s="88" t="s">
        <v>150</v>
      </c>
      <c r="B6" s="63">
        <f>IFERROR(_xlfn.XLOOKUP(B4,'Platform Summary'!$A$2:$A$5,'Platform Summary'!$C$2:$C$5),"")</f>
        <v>58097005</v>
      </c>
      <c r="E6" s="78" t="s">
        <v>160</v>
      </c>
      <c r="F6" s="79" t="s">
        <v>13</v>
      </c>
      <c r="G6" s="79" t="s">
        <v>72</v>
      </c>
      <c r="H6" s="79" t="s">
        <v>13</v>
      </c>
      <c r="I6" s="80" t="s">
        <v>72</v>
      </c>
    </row>
    <row r="7" spans="1:9" ht="17" thickBot="1" x14ac:dyDescent="0.25">
      <c r="A7" s="88" t="s">
        <v>151</v>
      </c>
      <c r="B7" s="64">
        <f>IFERROR(_xlfn.XLOOKUP(B4,'Platform Summary'!$A$2:$A$5,'Platform Summary'!$B$2:$B$5),"")</f>
        <v>2115520</v>
      </c>
      <c r="E7" s="81" t="s">
        <v>161</v>
      </c>
      <c r="F7" s="82" t="s">
        <v>72</v>
      </c>
      <c r="G7" s="82" t="s">
        <v>40</v>
      </c>
      <c r="H7" s="82" t="s">
        <v>72</v>
      </c>
      <c r="I7" s="83" t="s">
        <v>40</v>
      </c>
    </row>
    <row r="8" spans="1:9" x14ac:dyDescent="0.2">
      <c r="A8" s="88" t="s">
        <v>152</v>
      </c>
      <c r="B8" s="63">
        <f>IFERROR(_xlfn.XLOOKUP(B4,'Platform Summary'!$A$2:$A$5,'Platform Summary'!$E$2:$E$5),"")</f>
        <v>73166</v>
      </c>
    </row>
    <row r="9" spans="1:9" x14ac:dyDescent="0.2">
      <c r="A9" s="88" t="s">
        <v>85</v>
      </c>
      <c r="B9" s="65">
        <f>IFERROR(_xlfn.XLOOKUP(B4,'Platform Summary'!$A$2:$A$5,'Platform Summary'!$F$2:$F$5),"")</f>
        <v>3.6413581044324059E-2</v>
      </c>
    </row>
    <row r="10" spans="1:9" x14ac:dyDescent="0.2">
      <c r="A10" s="88" t="s">
        <v>86</v>
      </c>
      <c r="B10" s="66">
        <f>IFERROR(_xlfn.XLOOKUP(B4,'Platform Summary'!$A$2:$A$5,'Platform Summary'!$G$2:$G$5),"")</f>
        <v>0.15960837997277263</v>
      </c>
    </row>
    <row r="11" spans="1:9" x14ac:dyDescent="0.2">
      <c r="A11" s="88" t="s">
        <v>88</v>
      </c>
      <c r="B11" s="67">
        <f>IFERROR(_xlfn.XLOOKUP(B4,'Platform Summary'!$A$2:$A$5,'Platform Summary'!$H$2:$H$5),"")</f>
        <v>4.6149129377033047</v>
      </c>
    </row>
    <row r="12" spans="1:9" x14ac:dyDescent="0.2">
      <c r="A12" s="88" t="s">
        <v>89</v>
      </c>
      <c r="B12" s="68">
        <f>IFERROR(_xlfn.XLOOKUP(B4,'Platform Summary'!$A$2:$A$5,'Platform Summary'!$I$2:$I$5),"")</f>
        <v>3.4585350173952506E-2</v>
      </c>
    </row>
    <row r="13" spans="1:9" ht="17" thickBot="1" x14ac:dyDescent="0.25">
      <c r="A13" s="89" t="s">
        <v>90</v>
      </c>
      <c r="B13" s="69">
        <f>IFERROR(_xlfn.XLOOKUP(B4,'Platform Summary'!$A$2:$A$5,'Platform Summary'!$J$2:$J$5),"")</f>
        <v>5.8119126794918259</v>
      </c>
    </row>
  </sheetData>
  <mergeCells count="4">
    <mergeCell ref="A1:B1"/>
    <mergeCell ref="A2:B2"/>
    <mergeCell ref="A3:B3"/>
    <mergeCell ref="E1:I1"/>
  </mergeCells>
  <dataValidations count="1">
    <dataValidation type="list" allowBlank="1" sqref="B4" xr:uid="{9B8578EB-57F9-0F42-A28C-C6BE2E4BC921}">
      <formula1>"Facebook,Google Ads,Instagram,TikTok"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2F23D-0B75-FC4E-8EDA-854B1027C853}">
  <dimension ref="A1:M2438"/>
  <sheetViews>
    <sheetView workbookViewId="0">
      <selection activeCell="D178" sqref="D178"/>
    </sheetView>
  </sheetViews>
  <sheetFormatPr baseColWidth="10" defaultRowHeight="16" x14ac:dyDescent="0.2"/>
  <cols>
    <col min="3" max="4" width="23.1640625" customWidth="1"/>
    <col min="11" max="11" width="21.6640625" customWidth="1"/>
    <col min="12" max="12" width="13.33203125" bestFit="1" customWidth="1"/>
    <col min="13" max="13" width="14.6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32</v>
      </c>
      <c r="L1" t="s">
        <v>33</v>
      </c>
      <c r="M1" t="s">
        <v>34</v>
      </c>
    </row>
    <row r="2" spans="1:13" x14ac:dyDescent="0.2">
      <c r="A2" s="1">
        <v>46023</v>
      </c>
      <c r="B2" t="s">
        <v>10</v>
      </c>
      <c r="C2" t="s">
        <v>11</v>
      </c>
      <c r="D2" t="s">
        <v>12</v>
      </c>
      <c r="E2">
        <v>123810</v>
      </c>
      <c r="F2">
        <v>3701</v>
      </c>
      <c r="G2">
        <v>627.91999999999996</v>
      </c>
      <c r="H2">
        <v>92175</v>
      </c>
      <c r="I2">
        <v>94</v>
      </c>
      <c r="J2" t="s">
        <v>13</v>
      </c>
    </row>
    <row r="3" spans="1:13" x14ac:dyDescent="0.2">
      <c r="A3" s="1">
        <v>46023</v>
      </c>
      <c r="B3" t="s">
        <v>10</v>
      </c>
      <c r="C3" t="s">
        <v>14</v>
      </c>
      <c r="D3" t="s">
        <v>12</v>
      </c>
      <c r="E3">
        <v>53434</v>
      </c>
      <c r="F3">
        <v>2110</v>
      </c>
      <c r="G3">
        <v>370.7</v>
      </c>
      <c r="H3">
        <v>38937</v>
      </c>
      <c r="I3">
        <v>69</v>
      </c>
      <c r="J3" t="s">
        <v>13</v>
      </c>
    </row>
    <row r="4" spans="1:13" x14ac:dyDescent="0.2">
      <c r="A4" s="1">
        <v>46023</v>
      </c>
      <c r="B4" t="s">
        <v>15</v>
      </c>
      <c r="C4" t="s">
        <v>16</v>
      </c>
      <c r="D4" t="s">
        <v>12</v>
      </c>
      <c r="E4">
        <v>43905</v>
      </c>
      <c r="F4">
        <v>1299</v>
      </c>
      <c r="G4">
        <v>193.95</v>
      </c>
      <c r="H4">
        <v>34254</v>
      </c>
      <c r="I4">
        <v>47</v>
      </c>
      <c r="J4" t="s">
        <v>13</v>
      </c>
    </row>
    <row r="5" spans="1:13" x14ac:dyDescent="0.2">
      <c r="A5" s="1">
        <v>46023</v>
      </c>
      <c r="B5" t="s">
        <v>15</v>
      </c>
      <c r="C5" t="s">
        <v>17</v>
      </c>
      <c r="D5" t="s">
        <v>12</v>
      </c>
      <c r="E5">
        <v>125181</v>
      </c>
      <c r="F5">
        <v>4997</v>
      </c>
      <c r="G5">
        <v>783.43</v>
      </c>
      <c r="H5">
        <v>95753</v>
      </c>
      <c r="I5">
        <v>146</v>
      </c>
      <c r="J5" t="s">
        <v>13</v>
      </c>
    </row>
    <row r="6" spans="1:13" x14ac:dyDescent="0.2">
      <c r="A6" s="1">
        <v>46023</v>
      </c>
      <c r="B6" t="s">
        <v>18</v>
      </c>
      <c r="C6" t="s">
        <v>11</v>
      </c>
      <c r="D6" t="s">
        <v>12</v>
      </c>
      <c r="E6">
        <v>40851</v>
      </c>
      <c r="F6">
        <v>1670</v>
      </c>
      <c r="G6">
        <v>244.47</v>
      </c>
      <c r="H6">
        <v>31139</v>
      </c>
      <c r="I6">
        <v>48</v>
      </c>
      <c r="J6" t="s">
        <v>13</v>
      </c>
    </row>
    <row r="7" spans="1:13" x14ac:dyDescent="0.2">
      <c r="A7" s="1">
        <v>46023</v>
      </c>
      <c r="B7" t="s">
        <v>18</v>
      </c>
      <c r="C7" t="s">
        <v>14</v>
      </c>
      <c r="D7" t="s">
        <v>12</v>
      </c>
      <c r="E7">
        <v>68221</v>
      </c>
      <c r="F7">
        <v>3020</v>
      </c>
      <c r="G7">
        <v>463.46</v>
      </c>
      <c r="H7">
        <v>49751</v>
      </c>
      <c r="I7">
        <v>74</v>
      </c>
      <c r="J7" t="s">
        <v>13</v>
      </c>
    </row>
    <row r="8" spans="1:13" x14ac:dyDescent="0.2">
      <c r="A8" s="1">
        <v>46024</v>
      </c>
      <c r="B8" t="s">
        <v>10</v>
      </c>
      <c r="C8" t="s">
        <v>11</v>
      </c>
      <c r="D8" t="s">
        <v>12</v>
      </c>
      <c r="E8">
        <v>85082</v>
      </c>
      <c r="F8">
        <v>3255</v>
      </c>
      <c r="G8">
        <v>560.79</v>
      </c>
      <c r="H8">
        <v>67467</v>
      </c>
      <c r="I8">
        <v>116</v>
      </c>
      <c r="J8" t="s">
        <v>13</v>
      </c>
    </row>
    <row r="9" spans="1:13" x14ac:dyDescent="0.2">
      <c r="A9" s="1">
        <v>46024</v>
      </c>
      <c r="B9" t="s">
        <v>10</v>
      </c>
      <c r="C9" t="s">
        <v>14</v>
      </c>
      <c r="D9" t="s">
        <v>12</v>
      </c>
      <c r="E9">
        <v>89615</v>
      </c>
      <c r="F9">
        <v>2629</v>
      </c>
      <c r="G9">
        <v>398.89</v>
      </c>
      <c r="H9">
        <v>70156</v>
      </c>
      <c r="I9">
        <v>118</v>
      </c>
      <c r="J9" t="s">
        <v>13</v>
      </c>
    </row>
    <row r="10" spans="1:13" x14ac:dyDescent="0.2">
      <c r="A10" s="1">
        <v>46024</v>
      </c>
      <c r="B10" t="s">
        <v>15</v>
      </c>
      <c r="C10" t="s">
        <v>16</v>
      </c>
      <c r="D10" t="s">
        <v>12</v>
      </c>
      <c r="E10">
        <v>87400</v>
      </c>
      <c r="F10">
        <v>3305</v>
      </c>
      <c r="G10">
        <v>555.84</v>
      </c>
      <c r="H10">
        <v>63328</v>
      </c>
      <c r="I10">
        <v>92</v>
      </c>
      <c r="J10" t="s">
        <v>13</v>
      </c>
    </row>
    <row r="11" spans="1:13" x14ac:dyDescent="0.2">
      <c r="A11" s="1">
        <v>46024</v>
      </c>
      <c r="B11" t="s">
        <v>15</v>
      </c>
      <c r="C11" t="s">
        <v>17</v>
      </c>
      <c r="D11" t="s">
        <v>12</v>
      </c>
      <c r="E11">
        <v>77930</v>
      </c>
      <c r="F11">
        <v>3487</v>
      </c>
      <c r="G11">
        <v>607.48</v>
      </c>
      <c r="H11">
        <v>62862</v>
      </c>
      <c r="I11">
        <v>111</v>
      </c>
      <c r="J11" t="s">
        <v>13</v>
      </c>
    </row>
    <row r="12" spans="1:13" x14ac:dyDescent="0.2">
      <c r="A12" s="1">
        <v>46024</v>
      </c>
      <c r="B12" t="s">
        <v>18</v>
      </c>
      <c r="C12" t="s">
        <v>11</v>
      </c>
      <c r="D12" t="s">
        <v>12</v>
      </c>
      <c r="E12">
        <v>99429</v>
      </c>
      <c r="F12">
        <v>3858</v>
      </c>
      <c r="G12">
        <v>596.41999999999996</v>
      </c>
      <c r="H12">
        <v>75269</v>
      </c>
      <c r="I12">
        <v>105</v>
      </c>
      <c r="J12" t="s">
        <v>13</v>
      </c>
    </row>
    <row r="13" spans="1:13" x14ac:dyDescent="0.2">
      <c r="A13" s="1">
        <v>46024</v>
      </c>
      <c r="B13" t="s">
        <v>18</v>
      </c>
      <c r="C13" t="s">
        <v>14</v>
      </c>
      <c r="D13" t="s">
        <v>12</v>
      </c>
      <c r="E13">
        <v>74993</v>
      </c>
      <c r="F13">
        <v>2994</v>
      </c>
      <c r="G13">
        <v>501.02</v>
      </c>
      <c r="H13">
        <v>54530</v>
      </c>
      <c r="I13">
        <v>115</v>
      </c>
      <c r="J13" t="s">
        <v>13</v>
      </c>
    </row>
    <row r="14" spans="1:13" x14ac:dyDescent="0.2">
      <c r="A14" s="1">
        <v>46025</v>
      </c>
      <c r="B14" t="s">
        <v>10</v>
      </c>
      <c r="C14" t="s">
        <v>11</v>
      </c>
      <c r="D14" t="s">
        <v>12</v>
      </c>
      <c r="E14">
        <v>154014</v>
      </c>
      <c r="F14">
        <v>6221</v>
      </c>
      <c r="G14">
        <v>911.6</v>
      </c>
      <c r="H14">
        <v>116734</v>
      </c>
      <c r="I14">
        <v>296</v>
      </c>
      <c r="J14" t="s">
        <v>13</v>
      </c>
    </row>
    <row r="15" spans="1:13" x14ac:dyDescent="0.2">
      <c r="A15" s="1">
        <v>46025</v>
      </c>
      <c r="B15" t="s">
        <v>10</v>
      </c>
      <c r="C15" t="s">
        <v>14</v>
      </c>
      <c r="D15" t="s">
        <v>12</v>
      </c>
      <c r="E15">
        <v>173440</v>
      </c>
      <c r="F15">
        <v>6885</v>
      </c>
      <c r="G15">
        <v>1024.3800000000001</v>
      </c>
      <c r="H15">
        <v>130501</v>
      </c>
      <c r="I15">
        <v>289</v>
      </c>
      <c r="J15" t="s">
        <v>13</v>
      </c>
    </row>
    <row r="16" spans="1:13" x14ac:dyDescent="0.2">
      <c r="A16" s="1">
        <v>46025</v>
      </c>
      <c r="B16" t="s">
        <v>15</v>
      </c>
      <c r="C16" t="s">
        <v>16</v>
      </c>
      <c r="D16" t="s">
        <v>12</v>
      </c>
      <c r="E16">
        <v>66263</v>
      </c>
      <c r="F16">
        <v>2113</v>
      </c>
      <c r="G16">
        <v>298.52999999999997</v>
      </c>
      <c r="H16">
        <v>49799</v>
      </c>
      <c r="I16">
        <v>61</v>
      </c>
      <c r="J16" t="s">
        <v>13</v>
      </c>
    </row>
    <row r="17" spans="1:10" x14ac:dyDescent="0.2">
      <c r="A17" s="1">
        <v>46025</v>
      </c>
      <c r="B17" t="s">
        <v>15</v>
      </c>
      <c r="C17" t="s">
        <v>17</v>
      </c>
      <c r="D17" t="s">
        <v>12</v>
      </c>
      <c r="E17">
        <v>94714</v>
      </c>
      <c r="F17">
        <v>4122</v>
      </c>
      <c r="G17">
        <v>670.6</v>
      </c>
      <c r="H17">
        <v>74993</v>
      </c>
      <c r="I17">
        <v>113</v>
      </c>
      <c r="J17" t="s">
        <v>13</v>
      </c>
    </row>
    <row r="18" spans="1:10" x14ac:dyDescent="0.2">
      <c r="A18" s="1">
        <v>46025</v>
      </c>
      <c r="B18" t="s">
        <v>19</v>
      </c>
      <c r="C18" t="s">
        <v>11</v>
      </c>
      <c r="D18" t="s">
        <v>12</v>
      </c>
      <c r="E18">
        <v>147609</v>
      </c>
      <c r="F18">
        <v>5125</v>
      </c>
      <c r="G18">
        <v>904.98</v>
      </c>
      <c r="H18">
        <v>113051</v>
      </c>
      <c r="I18">
        <v>148</v>
      </c>
      <c r="J18" t="s">
        <v>13</v>
      </c>
    </row>
    <row r="19" spans="1:10" x14ac:dyDescent="0.2">
      <c r="A19" s="1">
        <v>46025</v>
      </c>
      <c r="B19" t="s">
        <v>19</v>
      </c>
      <c r="C19" t="s">
        <v>14</v>
      </c>
      <c r="D19" t="s">
        <v>12</v>
      </c>
      <c r="E19">
        <v>101255</v>
      </c>
      <c r="F19">
        <v>4117</v>
      </c>
      <c r="G19">
        <v>665.14</v>
      </c>
      <c r="H19">
        <v>80467</v>
      </c>
      <c r="I19">
        <v>136</v>
      </c>
      <c r="J19" t="s">
        <v>13</v>
      </c>
    </row>
    <row r="20" spans="1:10" x14ac:dyDescent="0.2">
      <c r="A20" s="1">
        <v>46025</v>
      </c>
      <c r="B20" t="s">
        <v>18</v>
      </c>
      <c r="C20" t="s">
        <v>11</v>
      </c>
      <c r="D20" t="s">
        <v>12</v>
      </c>
      <c r="E20">
        <v>163077</v>
      </c>
      <c r="F20">
        <v>5673</v>
      </c>
      <c r="G20">
        <v>843.99</v>
      </c>
      <c r="H20">
        <v>133682</v>
      </c>
      <c r="I20">
        <v>199</v>
      </c>
      <c r="J20" t="s">
        <v>13</v>
      </c>
    </row>
    <row r="21" spans="1:10" x14ac:dyDescent="0.2">
      <c r="A21" s="1">
        <v>46025</v>
      </c>
      <c r="B21" t="s">
        <v>18</v>
      </c>
      <c r="C21" t="s">
        <v>14</v>
      </c>
      <c r="D21" t="s">
        <v>12</v>
      </c>
      <c r="E21">
        <v>72681</v>
      </c>
      <c r="F21">
        <v>2968</v>
      </c>
      <c r="G21">
        <v>517.75</v>
      </c>
      <c r="H21">
        <v>53441</v>
      </c>
      <c r="I21">
        <v>77</v>
      </c>
      <c r="J21" t="s">
        <v>13</v>
      </c>
    </row>
    <row r="22" spans="1:10" x14ac:dyDescent="0.2">
      <c r="A22" s="1">
        <v>46026</v>
      </c>
      <c r="B22" t="s">
        <v>10</v>
      </c>
      <c r="C22" t="s">
        <v>11</v>
      </c>
      <c r="D22" t="s">
        <v>12</v>
      </c>
      <c r="E22">
        <v>180868</v>
      </c>
      <c r="F22">
        <v>6362</v>
      </c>
      <c r="G22">
        <v>906.85</v>
      </c>
      <c r="H22">
        <v>137127</v>
      </c>
      <c r="I22">
        <v>304</v>
      </c>
      <c r="J22" t="s">
        <v>13</v>
      </c>
    </row>
    <row r="23" spans="1:10" x14ac:dyDescent="0.2">
      <c r="A23" s="1">
        <v>46026</v>
      </c>
      <c r="B23" t="s">
        <v>10</v>
      </c>
      <c r="C23" t="s">
        <v>14</v>
      </c>
      <c r="D23" t="s">
        <v>12</v>
      </c>
      <c r="E23">
        <v>153092</v>
      </c>
      <c r="F23">
        <v>4940</v>
      </c>
      <c r="G23">
        <v>800.92</v>
      </c>
      <c r="H23">
        <v>124654</v>
      </c>
      <c r="I23">
        <v>196</v>
      </c>
      <c r="J23" t="s">
        <v>13</v>
      </c>
    </row>
    <row r="24" spans="1:10" x14ac:dyDescent="0.2">
      <c r="A24" s="1">
        <v>46026</v>
      </c>
      <c r="B24" t="s">
        <v>15</v>
      </c>
      <c r="C24" t="s">
        <v>16</v>
      </c>
      <c r="D24" t="s">
        <v>12</v>
      </c>
      <c r="E24">
        <v>77019</v>
      </c>
      <c r="F24">
        <v>3049</v>
      </c>
      <c r="G24">
        <v>492.35</v>
      </c>
      <c r="H24">
        <v>57508</v>
      </c>
      <c r="I24">
        <v>117</v>
      </c>
      <c r="J24" t="s">
        <v>13</v>
      </c>
    </row>
    <row r="25" spans="1:10" x14ac:dyDescent="0.2">
      <c r="A25" s="1">
        <v>46026</v>
      </c>
      <c r="B25" t="s">
        <v>15</v>
      </c>
      <c r="C25" t="s">
        <v>17</v>
      </c>
      <c r="D25" t="s">
        <v>12</v>
      </c>
      <c r="E25">
        <v>76469</v>
      </c>
      <c r="F25">
        <v>2522</v>
      </c>
      <c r="G25">
        <v>369.03</v>
      </c>
      <c r="H25">
        <v>55082</v>
      </c>
      <c r="I25">
        <v>102</v>
      </c>
      <c r="J25" t="s">
        <v>13</v>
      </c>
    </row>
    <row r="26" spans="1:10" x14ac:dyDescent="0.2">
      <c r="A26" s="1">
        <v>46026</v>
      </c>
      <c r="B26" t="s">
        <v>19</v>
      </c>
      <c r="C26" t="s">
        <v>11</v>
      </c>
      <c r="D26" t="s">
        <v>12</v>
      </c>
      <c r="E26">
        <v>104330</v>
      </c>
      <c r="F26">
        <v>4644</v>
      </c>
      <c r="G26">
        <v>791.7</v>
      </c>
      <c r="H26">
        <v>80414</v>
      </c>
      <c r="I26">
        <v>115</v>
      </c>
      <c r="J26" t="s">
        <v>13</v>
      </c>
    </row>
    <row r="27" spans="1:10" x14ac:dyDescent="0.2">
      <c r="A27" s="1">
        <v>46026</v>
      </c>
      <c r="B27" t="s">
        <v>19</v>
      </c>
      <c r="C27" t="s">
        <v>14</v>
      </c>
      <c r="D27" t="s">
        <v>12</v>
      </c>
      <c r="E27">
        <v>170742</v>
      </c>
      <c r="F27">
        <v>5647</v>
      </c>
      <c r="G27">
        <v>934.91</v>
      </c>
      <c r="H27">
        <v>133331</v>
      </c>
      <c r="I27">
        <v>146</v>
      </c>
      <c r="J27" t="s">
        <v>13</v>
      </c>
    </row>
    <row r="28" spans="1:10" x14ac:dyDescent="0.2">
      <c r="A28" s="1">
        <v>46026</v>
      </c>
      <c r="B28" t="s">
        <v>18</v>
      </c>
      <c r="C28" t="s">
        <v>11</v>
      </c>
      <c r="D28" t="s">
        <v>12</v>
      </c>
      <c r="E28">
        <v>85643</v>
      </c>
      <c r="F28">
        <v>3183</v>
      </c>
      <c r="G28">
        <v>544.75</v>
      </c>
      <c r="H28">
        <v>66205</v>
      </c>
      <c r="I28">
        <v>70</v>
      </c>
      <c r="J28" t="s">
        <v>13</v>
      </c>
    </row>
    <row r="29" spans="1:10" x14ac:dyDescent="0.2">
      <c r="A29" s="1">
        <v>46026</v>
      </c>
      <c r="B29" t="s">
        <v>18</v>
      </c>
      <c r="C29" t="s">
        <v>14</v>
      </c>
      <c r="D29" t="s">
        <v>12</v>
      </c>
      <c r="E29">
        <v>115481</v>
      </c>
      <c r="F29">
        <v>4192</v>
      </c>
      <c r="G29">
        <v>605.64</v>
      </c>
      <c r="H29">
        <v>87338</v>
      </c>
      <c r="I29">
        <v>199</v>
      </c>
      <c r="J29" t="s">
        <v>13</v>
      </c>
    </row>
    <row r="30" spans="1:10" x14ac:dyDescent="0.2">
      <c r="A30" s="1">
        <v>46027</v>
      </c>
      <c r="B30" t="s">
        <v>10</v>
      </c>
      <c r="C30" t="s">
        <v>11</v>
      </c>
      <c r="D30" t="s">
        <v>12</v>
      </c>
      <c r="E30">
        <v>80306</v>
      </c>
      <c r="F30">
        <v>2575</v>
      </c>
      <c r="G30">
        <v>385.31</v>
      </c>
      <c r="H30">
        <v>62376</v>
      </c>
      <c r="I30">
        <v>61</v>
      </c>
      <c r="J30" t="s">
        <v>13</v>
      </c>
    </row>
    <row r="31" spans="1:10" x14ac:dyDescent="0.2">
      <c r="A31" s="1">
        <v>46027</v>
      </c>
      <c r="B31" t="s">
        <v>10</v>
      </c>
      <c r="C31" t="s">
        <v>14</v>
      </c>
      <c r="D31" t="s">
        <v>12</v>
      </c>
      <c r="E31">
        <v>103699</v>
      </c>
      <c r="F31">
        <v>4342</v>
      </c>
      <c r="G31">
        <v>777.74</v>
      </c>
      <c r="H31">
        <v>80187</v>
      </c>
      <c r="I31">
        <v>109</v>
      </c>
      <c r="J31" t="s">
        <v>13</v>
      </c>
    </row>
    <row r="32" spans="1:10" x14ac:dyDescent="0.2">
      <c r="A32" s="1">
        <v>46027</v>
      </c>
      <c r="B32" t="s">
        <v>15</v>
      </c>
      <c r="C32" t="s">
        <v>16</v>
      </c>
      <c r="D32" t="s">
        <v>12</v>
      </c>
      <c r="E32">
        <v>126474</v>
      </c>
      <c r="F32">
        <v>4563</v>
      </c>
      <c r="G32">
        <v>739.17</v>
      </c>
      <c r="H32">
        <v>94413</v>
      </c>
      <c r="I32">
        <v>203</v>
      </c>
      <c r="J32" t="s">
        <v>13</v>
      </c>
    </row>
    <row r="33" spans="1:10" x14ac:dyDescent="0.2">
      <c r="A33" s="1">
        <v>46027</v>
      </c>
      <c r="B33" t="s">
        <v>15</v>
      </c>
      <c r="C33" t="s">
        <v>17</v>
      </c>
      <c r="D33" t="s">
        <v>12</v>
      </c>
      <c r="E33">
        <v>95461</v>
      </c>
      <c r="F33">
        <v>4237</v>
      </c>
      <c r="G33">
        <v>750.61</v>
      </c>
      <c r="H33">
        <v>75941</v>
      </c>
      <c r="I33">
        <v>169</v>
      </c>
      <c r="J33" t="s">
        <v>13</v>
      </c>
    </row>
    <row r="34" spans="1:10" x14ac:dyDescent="0.2">
      <c r="A34" s="1">
        <v>46027</v>
      </c>
      <c r="B34" t="s">
        <v>18</v>
      </c>
      <c r="C34" t="s">
        <v>11</v>
      </c>
      <c r="D34" t="s">
        <v>12</v>
      </c>
      <c r="E34">
        <v>80857</v>
      </c>
      <c r="F34">
        <v>2812</v>
      </c>
      <c r="G34">
        <v>469.23</v>
      </c>
      <c r="H34">
        <v>61236</v>
      </c>
      <c r="I34">
        <v>127</v>
      </c>
      <c r="J34" t="s">
        <v>13</v>
      </c>
    </row>
    <row r="35" spans="1:10" x14ac:dyDescent="0.2">
      <c r="A35" s="1">
        <v>46027</v>
      </c>
      <c r="B35" t="s">
        <v>18</v>
      </c>
      <c r="C35" t="s">
        <v>14</v>
      </c>
      <c r="D35" t="s">
        <v>12</v>
      </c>
      <c r="E35">
        <v>99177</v>
      </c>
      <c r="F35">
        <v>2980</v>
      </c>
      <c r="G35">
        <v>443.98</v>
      </c>
      <c r="H35">
        <v>74760</v>
      </c>
      <c r="I35">
        <v>111</v>
      </c>
      <c r="J35" t="s">
        <v>13</v>
      </c>
    </row>
    <row r="36" spans="1:10" x14ac:dyDescent="0.2">
      <c r="A36" s="1">
        <v>46028</v>
      </c>
      <c r="B36" t="s">
        <v>10</v>
      </c>
      <c r="C36" t="s">
        <v>11</v>
      </c>
      <c r="D36" t="s">
        <v>12</v>
      </c>
      <c r="E36">
        <v>70161</v>
      </c>
      <c r="F36">
        <v>2666</v>
      </c>
      <c r="G36">
        <v>374.01</v>
      </c>
      <c r="H36">
        <v>55482</v>
      </c>
      <c r="I36">
        <v>62</v>
      </c>
      <c r="J36" t="s">
        <v>13</v>
      </c>
    </row>
    <row r="37" spans="1:10" x14ac:dyDescent="0.2">
      <c r="A37" s="1">
        <v>46028</v>
      </c>
      <c r="B37" t="s">
        <v>10</v>
      </c>
      <c r="C37" t="s">
        <v>14</v>
      </c>
      <c r="D37" t="s">
        <v>12</v>
      </c>
      <c r="E37">
        <v>48834</v>
      </c>
      <c r="F37">
        <v>2119</v>
      </c>
      <c r="G37">
        <v>369.52</v>
      </c>
      <c r="H37">
        <v>35506</v>
      </c>
      <c r="I37">
        <v>59</v>
      </c>
      <c r="J37" t="s">
        <v>13</v>
      </c>
    </row>
    <row r="38" spans="1:10" x14ac:dyDescent="0.2">
      <c r="A38" s="1">
        <v>46028</v>
      </c>
      <c r="B38" t="s">
        <v>15</v>
      </c>
      <c r="C38" t="s">
        <v>16</v>
      </c>
      <c r="D38" t="s">
        <v>12</v>
      </c>
      <c r="E38">
        <v>127684</v>
      </c>
      <c r="F38">
        <v>4628</v>
      </c>
      <c r="G38">
        <v>747.74</v>
      </c>
      <c r="H38">
        <v>101168</v>
      </c>
      <c r="I38">
        <v>207</v>
      </c>
      <c r="J38" t="s">
        <v>13</v>
      </c>
    </row>
    <row r="39" spans="1:10" x14ac:dyDescent="0.2">
      <c r="A39" s="1">
        <v>46028</v>
      </c>
      <c r="B39" t="s">
        <v>15</v>
      </c>
      <c r="C39" t="s">
        <v>17</v>
      </c>
      <c r="D39" t="s">
        <v>12</v>
      </c>
      <c r="E39">
        <v>115525</v>
      </c>
      <c r="F39">
        <v>4162</v>
      </c>
      <c r="G39">
        <v>713.3</v>
      </c>
      <c r="H39">
        <v>92506</v>
      </c>
      <c r="I39">
        <v>112</v>
      </c>
      <c r="J39" t="s">
        <v>13</v>
      </c>
    </row>
    <row r="40" spans="1:10" x14ac:dyDescent="0.2">
      <c r="A40" s="1">
        <v>46028</v>
      </c>
      <c r="B40" t="s">
        <v>18</v>
      </c>
      <c r="C40" t="s">
        <v>11</v>
      </c>
      <c r="D40" t="s">
        <v>12</v>
      </c>
      <c r="E40">
        <v>52704</v>
      </c>
      <c r="F40">
        <v>2066</v>
      </c>
      <c r="G40">
        <v>318.52</v>
      </c>
      <c r="H40">
        <v>40113</v>
      </c>
      <c r="I40">
        <v>91</v>
      </c>
      <c r="J40" t="s">
        <v>13</v>
      </c>
    </row>
    <row r="41" spans="1:10" x14ac:dyDescent="0.2">
      <c r="A41" s="1">
        <v>46028</v>
      </c>
      <c r="B41" t="s">
        <v>18</v>
      </c>
      <c r="C41" t="s">
        <v>14</v>
      </c>
      <c r="D41" t="s">
        <v>12</v>
      </c>
      <c r="E41">
        <v>47100</v>
      </c>
      <c r="F41">
        <v>1857</v>
      </c>
      <c r="G41">
        <v>333.08</v>
      </c>
      <c r="H41">
        <v>34375</v>
      </c>
      <c r="I41">
        <v>60</v>
      </c>
      <c r="J41" t="s">
        <v>13</v>
      </c>
    </row>
    <row r="42" spans="1:10" x14ac:dyDescent="0.2">
      <c r="A42" s="1">
        <v>46029</v>
      </c>
      <c r="B42" t="s">
        <v>10</v>
      </c>
      <c r="C42" t="s">
        <v>11</v>
      </c>
      <c r="D42" t="s">
        <v>12</v>
      </c>
      <c r="E42">
        <v>84473</v>
      </c>
      <c r="F42">
        <v>3514</v>
      </c>
      <c r="G42">
        <v>507.32</v>
      </c>
      <c r="H42">
        <v>62438</v>
      </c>
      <c r="I42">
        <v>126</v>
      </c>
      <c r="J42" t="s">
        <v>13</v>
      </c>
    </row>
    <row r="43" spans="1:10" x14ac:dyDescent="0.2">
      <c r="A43" s="1">
        <v>46029</v>
      </c>
      <c r="B43" t="s">
        <v>10</v>
      </c>
      <c r="C43" t="s">
        <v>14</v>
      </c>
      <c r="D43" t="s">
        <v>12</v>
      </c>
      <c r="E43">
        <v>58373</v>
      </c>
      <c r="F43">
        <v>2053</v>
      </c>
      <c r="G43">
        <v>310.29000000000002</v>
      </c>
      <c r="H43">
        <v>43486</v>
      </c>
      <c r="I43">
        <v>94</v>
      </c>
      <c r="J43" t="s">
        <v>13</v>
      </c>
    </row>
    <row r="44" spans="1:10" x14ac:dyDescent="0.2">
      <c r="A44" s="1">
        <v>46029</v>
      </c>
      <c r="B44" t="s">
        <v>15</v>
      </c>
      <c r="C44" t="s">
        <v>16</v>
      </c>
      <c r="D44" t="s">
        <v>12</v>
      </c>
      <c r="E44">
        <v>98082</v>
      </c>
      <c r="F44">
        <v>4093</v>
      </c>
      <c r="G44">
        <v>713.16</v>
      </c>
      <c r="H44">
        <v>71579</v>
      </c>
      <c r="I44">
        <v>159</v>
      </c>
      <c r="J44" t="s">
        <v>13</v>
      </c>
    </row>
    <row r="45" spans="1:10" x14ac:dyDescent="0.2">
      <c r="A45" s="1">
        <v>46029</v>
      </c>
      <c r="B45" t="s">
        <v>15</v>
      </c>
      <c r="C45" t="s">
        <v>17</v>
      </c>
      <c r="D45" t="s">
        <v>12</v>
      </c>
      <c r="E45">
        <v>110855</v>
      </c>
      <c r="F45">
        <v>4679</v>
      </c>
      <c r="G45">
        <v>836.42</v>
      </c>
      <c r="H45">
        <v>90084</v>
      </c>
      <c r="I45">
        <v>206</v>
      </c>
      <c r="J45" t="s">
        <v>13</v>
      </c>
    </row>
    <row r="46" spans="1:10" x14ac:dyDescent="0.2">
      <c r="A46" s="1">
        <v>46029</v>
      </c>
      <c r="B46" t="s">
        <v>18</v>
      </c>
      <c r="C46" t="s">
        <v>11</v>
      </c>
      <c r="D46" t="s">
        <v>12</v>
      </c>
      <c r="E46">
        <v>61798</v>
      </c>
      <c r="F46">
        <v>2157</v>
      </c>
      <c r="G46">
        <v>343.51</v>
      </c>
      <c r="H46">
        <v>49837</v>
      </c>
      <c r="I46">
        <v>98</v>
      </c>
      <c r="J46" t="s">
        <v>13</v>
      </c>
    </row>
    <row r="47" spans="1:10" x14ac:dyDescent="0.2">
      <c r="A47" s="1">
        <v>46029</v>
      </c>
      <c r="B47" t="s">
        <v>18</v>
      </c>
      <c r="C47" t="s">
        <v>14</v>
      </c>
      <c r="D47" t="s">
        <v>12</v>
      </c>
      <c r="E47">
        <v>61579</v>
      </c>
      <c r="F47">
        <v>2120</v>
      </c>
      <c r="G47">
        <v>380.35</v>
      </c>
      <c r="H47">
        <v>45969</v>
      </c>
      <c r="I47">
        <v>89</v>
      </c>
      <c r="J47" t="s">
        <v>13</v>
      </c>
    </row>
    <row r="48" spans="1:10" x14ac:dyDescent="0.2">
      <c r="A48" s="1">
        <v>46030</v>
      </c>
      <c r="B48" t="s">
        <v>10</v>
      </c>
      <c r="C48" t="s">
        <v>11</v>
      </c>
      <c r="D48" t="s">
        <v>12</v>
      </c>
      <c r="E48">
        <v>99638</v>
      </c>
      <c r="F48">
        <v>3273</v>
      </c>
      <c r="G48">
        <v>549.41999999999996</v>
      </c>
      <c r="H48">
        <v>79017</v>
      </c>
      <c r="I48">
        <v>138</v>
      </c>
      <c r="J48" t="s">
        <v>13</v>
      </c>
    </row>
    <row r="49" spans="1:10" x14ac:dyDescent="0.2">
      <c r="A49" s="1">
        <v>46030</v>
      </c>
      <c r="B49" t="s">
        <v>10</v>
      </c>
      <c r="C49" t="s">
        <v>14</v>
      </c>
      <c r="D49" t="s">
        <v>12</v>
      </c>
      <c r="E49">
        <v>126752</v>
      </c>
      <c r="F49">
        <v>5097</v>
      </c>
      <c r="G49">
        <v>745.14</v>
      </c>
      <c r="H49">
        <v>95022</v>
      </c>
      <c r="I49">
        <v>240</v>
      </c>
      <c r="J49" t="s">
        <v>13</v>
      </c>
    </row>
    <row r="50" spans="1:10" x14ac:dyDescent="0.2">
      <c r="A50" s="1">
        <v>46030</v>
      </c>
      <c r="B50" t="s">
        <v>15</v>
      </c>
      <c r="C50" t="s">
        <v>16</v>
      </c>
      <c r="D50" t="s">
        <v>12</v>
      </c>
      <c r="E50">
        <v>115914</v>
      </c>
      <c r="F50">
        <v>4695</v>
      </c>
      <c r="G50">
        <v>668.75</v>
      </c>
      <c r="H50">
        <v>87093</v>
      </c>
      <c r="I50">
        <v>109</v>
      </c>
      <c r="J50" t="s">
        <v>13</v>
      </c>
    </row>
    <row r="51" spans="1:10" x14ac:dyDescent="0.2">
      <c r="A51" s="1">
        <v>46030</v>
      </c>
      <c r="B51" t="s">
        <v>15</v>
      </c>
      <c r="C51" t="s">
        <v>17</v>
      </c>
      <c r="D51" t="s">
        <v>12</v>
      </c>
      <c r="E51">
        <v>102493</v>
      </c>
      <c r="F51">
        <v>3745</v>
      </c>
      <c r="G51">
        <v>652.04</v>
      </c>
      <c r="H51">
        <v>75408</v>
      </c>
      <c r="I51">
        <v>175</v>
      </c>
      <c r="J51" t="s">
        <v>13</v>
      </c>
    </row>
    <row r="52" spans="1:10" x14ac:dyDescent="0.2">
      <c r="A52" s="1">
        <v>46030</v>
      </c>
      <c r="B52" t="s">
        <v>18</v>
      </c>
      <c r="C52" t="s">
        <v>11</v>
      </c>
      <c r="D52" t="s">
        <v>12</v>
      </c>
      <c r="E52">
        <v>50500</v>
      </c>
      <c r="F52">
        <v>2144</v>
      </c>
      <c r="G52">
        <v>306.04000000000002</v>
      </c>
      <c r="H52">
        <v>36703</v>
      </c>
      <c r="I52">
        <v>95</v>
      </c>
      <c r="J52" t="s">
        <v>13</v>
      </c>
    </row>
    <row r="53" spans="1:10" x14ac:dyDescent="0.2">
      <c r="A53" s="1">
        <v>46030</v>
      </c>
      <c r="B53" t="s">
        <v>18</v>
      </c>
      <c r="C53" t="s">
        <v>14</v>
      </c>
      <c r="D53" t="s">
        <v>12</v>
      </c>
      <c r="E53">
        <v>92923</v>
      </c>
      <c r="F53">
        <v>2791</v>
      </c>
      <c r="G53">
        <v>490.13</v>
      </c>
      <c r="H53">
        <v>69192</v>
      </c>
      <c r="I53">
        <v>104</v>
      </c>
      <c r="J53" t="s">
        <v>13</v>
      </c>
    </row>
    <row r="54" spans="1:10" x14ac:dyDescent="0.2">
      <c r="A54" s="1">
        <v>46031</v>
      </c>
      <c r="B54" t="s">
        <v>10</v>
      </c>
      <c r="C54" t="s">
        <v>11</v>
      </c>
      <c r="D54" t="s">
        <v>12</v>
      </c>
      <c r="E54">
        <v>121183</v>
      </c>
      <c r="F54">
        <v>3562</v>
      </c>
      <c r="G54">
        <v>592.34</v>
      </c>
      <c r="H54">
        <v>94101</v>
      </c>
      <c r="I54">
        <v>107</v>
      </c>
      <c r="J54" t="s">
        <v>13</v>
      </c>
    </row>
    <row r="55" spans="1:10" x14ac:dyDescent="0.2">
      <c r="A55" s="1">
        <v>46031</v>
      </c>
      <c r="B55" t="s">
        <v>10</v>
      </c>
      <c r="C55" t="s">
        <v>14</v>
      </c>
      <c r="D55" t="s">
        <v>12</v>
      </c>
      <c r="E55">
        <v>74179</v>
      </c>
      <c r="F55">
        <v>2334</v>
      </c>
      <c r="G55">
        <v>393.62</v>
      </c>
      <c r="H55">
        <v>55179</v>
      </c>
      <c r="I55">
        <v>75</v>
      </c>
      <c r="J55" t="s">
        <v>13</v>
      </c>
    </row>
    <row r="56" spans="1:10" x14ac:dyDescent="0.2">
      <c r="A56" s="1">
        <v>46031</v>
      </c>
      <c r="B56" t="s">
        <v>15</v>
      </c>
      <c r="C56" t="s">
        <v>16</v>
      </c>
      <c r="D56" t="s">
        <v>12</v>
      </c>
      <c r="E56">
        <v>128039</v>
      </c>
      <c r="F56">
        <v>4990</v>
      </c>
      <c r="G56">
        <v>789.86</v>
      </c>
      <c r="H56">
        <v>104083</v>
      </c>
      <c r="I56">
        <v>231</v>
      </c>
      <c r="J56" t="s">
        <v>13</v>
      </c>
    </row>
    <row r="57" spans="1:10" x14ac:dyDescent="0.2">
      <c r="A57" s="1">
        <v>46031</v>
      </c>
      <c r="B57" t="s">
        <v>15</v>
      </c>
      <c r="C57" t="s">
        <v>17</v>
      </c>
      <c r="D57" t="s">
        <v>12</v>
      </c>
      <c r="E57">
        <v>41220</v>
      </c>
      <c r="F57">
        <v>1475</v>
      </c>
      <c r="G57">
        <v>265.41000000000003</v>
      </c>
      <c r="H57">
        <v>33784</v>
      </c>
      <c r="I57">
        <v>35</v>
      </c>
      <c r="J57" t="s">
        <v>13</v>
      </c>
    </row>
    <row r="58" spans="1:10" x14ac:dyDescent="0.2">
      <c r="A58" s="1">
        <v>46031</v>
      </c>
      <c r="B58" t="s">
        <v>18</v>
      </c>
      <c r="C58" t="s">
        <v>11</v>
      </c>
      <c r="D58" t="s">
        <v>12</v>
      </c>
      <c r="E58">
        <v>67938</v>
      </c>
      <c r="F58">
        <v>2486</v>
      </c>
      <c r="G58">
        <v>361.21</v>
      </c>
      <c r="H58">
        <v>51286</v>
      </c>
      <c r="I58">
        <v>59</v>
      </c>
      <c r="J58" t="s">
        <v>13</v>
      </c>
    </row>
    <row r="59" spans="1:10" x14ac:dyDescent="0.2">
      <c r="A59" s="1">
        <v>46031</v>
      </c>
      <c r="B59" t="s">
        <v>18</v>
      </c>
      <c r="C59" t="s">
        <v>14</v>
      </c>
      <c r="D59" t="s">
        <v>12</v>
      </c>
      <c r="E59">
        <v>72018</v>
      </c>
      <c r="F59">
        <v>2468</v>
      </c>
      <c r="G59">
        <v>361.09</v>
      </c>
      <c r="H59">
        <v>57857</v>
      </c>
      <c r="I59">
        <v>99</v>
      </c>
      <c r="J59" t="s">
        <v>13</v>
      </c>
    </row>
    <row r="60" spans="1:10" x14ac:dyDescent="0.2">
      <c r="A60" s="1">
        <v>46032</v>
      </c>
      <c r="B60" t="s">
        <v>10</v>
      </c>
      <c r="C60" t="s">
        <v>11</v>
      </c>
      <c r="D60" t="s">
        <v>12</v>
      </c>
      <c r="E60">
        <v>168242</v>
      </c>
      <c r="F60">
        <v>7524</v>
      </c>
      <c r="G60">
        <v>1296.26</v>
      </c>
      <c r="H60">
        <v>130033</v>
      </c>
      <c r="I60">
        <v>296</v>
      </c>
      <c r="J60" t="s">
        <v>13</v>
      </c>
    </row>
    <row r="61" spans="1:10" x14ac:dyDescent="0.2">
      <c r="A61" s="1">
        <v>46032</v>
      </c>
      <c r="B61" t="s">
        <v>10</v>
      </c>
      <c r="C61" t="s">
        <v>14</v>
      </c>
      <c r="D61" t="s">
        <v>12</v>
      </c>
      <c r="E61">
        <v>157768</v>
      </c>
      <c r="F61">
        <v>5220</v>
      </c>
      <c r="G61">
        <v>869.32</v>
      </c>
      <c r="H61">
        <v>128406</v>
      </c>
      <c r="I61">
        <v>133</v>
      </c>
      <c r="J61" t="s">
        <v>13</v>
      </c>
    </row>
    <row r="62" spans="1:10" x14ac:dyDescent="0.2">
      <c r="A62" s="1">
        <v>46032</v>
      </c>
      <c r="B62" t="s">
        <v>15</v>
      </c>
      <c r="C62" t="s">
        <v>16</v>
      </c>
      <c r="D62" t="s">
        <v>12</v>
      </c>
      <c r="E62">
        <v>77180</v>
      </c>
      <c r="F62">
        <v>3328</v>
      </c>
      <c r="G62">
        <v>564.75</v>
      </c>
      <c r="H62">
        <v>56769</v>
      </c>
      <c r="I62">
        <v>97</v>
      </c>
      <c r="J62" t="s">
        <v>13</v>
      </c>
    </row>
    <row r="63" spans="1:10" x14ac:dyDescent="0.2">
      <c r="A63" s="1">
        <v>46032</v>
      </c>
      <c r="B63" t="s">
        <v>15</v>
      </c>
      <c r="C63" t="s">
        <v>17</v>
      </c>
      <c r="D63" t="s">
        <v>12</v>
      </c>
      <c r="E63">
        <v>94649</v>
      </c>
      <c r="F63">
        <v>3804</v>
      </c>
      <c r="G63">
        <v>563.54</v>
      </c>
      <c r="H63">
        <v>74150</v>
      </c>
      <c r="I63">
        <v>109</v>
      </c>
      <c r="J63" t="s">
        <v>13</v>
      </c>
    </row>
    <row r="64" spans="1:10" x14ac:dyDescent="0.2">
      <c r="A64" s="1">
        <v>46032</v>
      </c>
      <c r="B64" t="s">
        <v>19</v>
      </c>
      <c r="C64" t="s">
        <v>11</v>
      </c>
      <c r="D64" t="s">
        <v>12</v>
      </c>
      <c r="E64">
        <v>145644</v>
      </c>
      <c r="F64">
        <v>4699</v>
      </c>
      <c r="G64">
        <v>828.56</v>
      </c>
      <c r="H64">
        <v>105603</v>
      </c>
      <c r="I64">
        <v>180</v>
      </c>
      <c r="J64" t="s">
        <v>13</v>
      </c>
    </row>
    <row r="65" spans="1:10" x14ac:dyDescent="0.2">
      <c r="A65" s="1">
        <v>46032</v>
      </c>
      <c r="B65" t="s">
        <v>19</v>
      </c>
      <c r="C65" t="s">
        <v>14</v>
      </c>
      <c r="D65" t="s">
        <v>12</v>
      </c>
      <c r="E65">
        <v>106771</v>
      </c>
      <c r="F65">
        <v>3069</v>
      </c>
      <c r="G65">
        <v>470.61</v>
      </c>
      <c r="H65">
        <v>78271</v>
      </c>
      <c r="I65">
        <v>145</v>
      </c>
      <c r="J65" t="s">
        <v>13</v>
      </c>
    </row>
    <row r="66" spans="1:10" x14ac:dyDescent="0.2">
      <c r="A66" s="1">
        <v>46032</v>
      </c>
      <c r="B66" t="s">
        <v>18</v>
      </c>
      <c r="C66" t="s">
        <v>11</v>
      </c>
      <c r="D66" t="s">
        <v>12</v>
      </c>
      <c r="E66">
        <v>85649</v>
      </c>
      <c r="F66">
        <v>3477</v>
      </c>
      <c r="G66">
        <v>563.51</v>
      </c>
      <c r="H66">
        <v>65330</v>
      </c>
      <c r="I66">
        <v>77</v>
      </c>
      <c r="J66" t="s">
        <v>13</v>
      </c>
    </row>
    <row r="67" spans="1:10" x14ac:dyDescent="0.2">
      <c r="A67" s="1">
        <v>46032</v>
      </c>
      <c r="B67" t="s">
        <v>18</v>
      </c>
      <c r="C67" t="s">
        <v>14</v>
      </c>
      <c r="D67" t="s">
        <v>12</v>
      </c>
      <c r="E67">
        <v>69806</v>
      </c>
      <c r="F67">
        <v>3076</v>
      </c>
      <c r="G67">
        <v>515.66</v>
      </c>
      <c r="H67">
        <v>51300</v>
      </c>
      <c r="I67">
        <v>70</v>
      </c>
      <c r="J67" t="s">
        <v>13</v>
      </c>
    </row>
    <row r="68" spans="1:10" x14ac:dyDescent="0.2">
      <c r="A68" s="1">
        <v>46033</v>
      </c>
      <c r="B68" t="s">
        <v>10</v>
      </c>
      <c r="C68" t="s">
        <v>11</v>
      </c>
      <c r="D68" t="s">
        <v>12</v>
      </c>
      <c r="E68">
        <v>123750</v>
      </c>
      <c r="F68">
        <v>4690</v>
      </c>
      <c r="G68">
        <v>684.38</v>
      </c>
      <c r="H68">
        <v>90677</v>
      </c>
      <c r="I68">
        <v>140</v>
      </c>
      <c r="J68" t="s">
        <v>13</v>
      </c>
    </row>
    <row r="69" spans="1:10" x14ac:dyDescent="0.2">
      <c r="A69" s="1">
        <v>46033</v>
      </c>
      <c r="B69" t="s">
        <v>10</v>
      </c>
      <c r="C69" t="s">
        <v>14</v>
      </c>
      <c r="D69" t="s">
        <v>12</v>
      </c>
      <c r="E69">
        <v>63320</v>
      </c>
      <c r="F69">
        <v>2740</v>
      </c>
      <c r="G69">
        <v>406.62</v>
      </c>
      <c r="H69">
        <v>47170</v>
      </c>
      <c r="I69">
        <v>67</v>
      </c>
      <c r="J69" t="s">
        <v>13</v>
      </c>
    </row>
    <row r="70" spans="1:10" x14ac:dyDescent="0.2">
      <c r="A70" s="1">
        <v>46033</v>
      </c>
      <c r="B70" t="s">
        <v>15</v>
      </c>
      <c r="C70" t="s">
        <v>16</v>
      </c>
      <c r="D70" t="s">
        <v>12</v>
      </c>
      <c r="E70">
        <v>158739</v>
      </c>
      <c r="F70">
        <v>6830</v>
      </c>
      <c r="G70">
        <v>1067.22</v>
      </c>
      <c r="H70">
        <v>124144</v>
      </c>
      <c r="I70">
        <v>177</v>
      </c>
      <c r="J70" t="s">
        <v>13</v>
      </c>
    </row>
    <row r="71" spans="1:10" x14ac:dyDescent="0.2">
      <c r="A71" s="1">
        <v>46033</v>
      </c>
      <c r="B71" t="s">
        <v>15</v>
      </c>
      <c r="C71" t="s">
        <v>17</v>
      </c>
      <c r="D71" t="s">
        <v>12</v>
      </c>
      <c r="E71">
        <v>99440</v>
      </c>
      <c r="F71">
        <v>4245</v>
      </c>
      <c r="G71">
        <v>760.06</v>
      </c>
      <c r="H71">
        <v>79659</v>
      </c>
      <c r="I71">
        <v>190</v>
      </c>
      <c r="J71" t="s">
        <v>13</v>
      </c>
    </row>
    <row r="72" spans="1:10" x14ac:dyDescent="0.2">
      <c r="A72" s="1">
        <v>46033</v>
      </c>
      <c r="B72" t="s">
        <v>19</v>
      </c>
      <c r="C72" t="s">
        <v>11</v>
      </c>
      <c r="D72" t="s">
        <v>12</v>
      </c>
      <c r="E72">
        <v>60547</v>
      </c>
      <c r="F72">
        <v>1879</v>
      </c>
      <c r="G72">
        <v>332.54</v>
      </c>
      <c r="H72">
        <v>48330</v>
      </c>
      <c r="I72">
        <v>61</v>
      </c>
      <c r="J72" t="s">
        <v>13</v>
      </c>
    </row>
    <row r="73" spans="1:10" x14ac:dyDescent="0.2">
      <c r="A73" s="1">
        <v>46033</v>
      </c>
      <c r="B73" t="s">
        <v>19</v>
      </c>
      <c r="C73" t="s">
        <v>14</v>
      </c>
      <c r="D73" t="s">
        <v>12</v>
      </c>
      <c r="E73">
        <v>178928</v>
      </c>
      <c r="F73">
        <v>7638</v>
      </c>
      <c r="G73">
        <v>1317.02</v>
      </c>
      <c r="H73">
        <v>133602</v>
      </c>
      <c r="I73">
        <v>324</v>
      </c>
      <c r="J73" t="s">
        <v>13</v>
      </c>
    </row>
    <row r="74" spans="1:10" x14ac:dyDescent="0.2">
      <c r="A74" s="1">
        <v>46033</v>
      </c>
      <c r="B74" t="s">
        <v>18</v>
      </c>
      <c r="C74" t="s">
        <v>11</v>
      </c>
      <c r="D74" t="s">
        <v>12</v>
      </c>
      <c r="E74">
        <v>75835</v>
      </c>
      <c r="F74">
        <v>2616</v>
      </c>
      <c r="G74">
        <v>370.29</v>
      </c>
      <c r="H74">
        <v>58170</v>
      </c>
      <c r="I74">
        <v>71</v>
      </c>
      <c r="J74" t="s">
        <v>13</v>
      </c>
    </row>
    <row r="75" spans="1:10" x14ac:dyDescent="0.2">
      <c r="A75" s="1">
        <v>46033</v>
      </c>
      <c r="B75" t="s">
        <v>18</v>
      </c>
      <c r="C75" t="s">
        <v>14</v>
      </c>
      <c r="D75" t="s">
        <v>12</v>
      </c>
      <c r="E75">
        <v>140464</v>
      </c>
      <c r="F75">
        <v>4767</v>
      </c>
      <c r="G75">
        <v>823.84</v>
      </c>
      <c r="H75">
        <v>113373</v>
      </c>
      <c r="I75">
        <v>132</v>
      </c>
      <c r="J75" t="s">
        <v>13</v>
      </c>
    </row>
    <row r="76" spans="1:10" x14ac:dyDescent="0.2">
      <c r="A76" s="1">
        <v>46034</v>
      </c>
      <c r="B76" t="s">
        <v>10</v>
      </c>
      <c r="C76" t="s">
        <v>11</v>
      </c>
      <c r="D76" t="s">
        <v>12</v>
      </c>
      <c r="E76">
        <v>126511</v>
      </c>
      <c r="F76">
        <v>3957</v>
      </c>
      <c r="G76">
        <v>605.94000000000005</v>
      </c>
      <c r="H76">
        <v>102022</v>
      </c>
      <c r="I76">
        <v>186</v>
      </c>
      <c r="J76" t="s">
        <v>13</v>
      </c>
    </row>
    <row r="77" spans="1:10" x14ac:dyDescent="0.2">
      <c r="A77" s="1">
        <v>46034</v>
      </c>
      <c r="B77" t="s">
        <v>10</v>
      </c>
      <c r="C77" t="s">
        <v>14</v>
      </c>
      <c r="D77" t="s">
        <v>12</v>
      </c>
      <c r="E77">
        <v>76585</v>
      </c>
      <c r="F77">
        <v>2601</v>
      </c>
      <c r="G77">
        <v>417.14</v>
      </c>
      <c r="H77">
        <v>60345</v>
      </c>
      <c r="I77">
        <v>114</v>
      </c>
      <c r="J77" t="s">
        <v>13</v>
      </c>
    </row>
    <row r="78" spans="1:10" x14ac:dyDescent="0.2">
      <c r="A78" s="1">
        <v>46034</v>
      </c>
      <c r="B78" t="s">
        <v>15</v>
      </c>
      <c r="C78" t="s">
        <v>16</v>
      </c>
      <c r="D78" t="s">
        <v>12</v>
      </c>
      <c r="E78">
        <v>83404</v>
      </c>
      <c r="F78">
        <v>3667</v>
      </c>
      <c r="G78">
        <v>530.29999999999995</v>
      </c>
      <c r="H78">
        <v>68144</v>
      </c>
      <c r="I78">
        <v>97</v>
      </c>
      <c r="J78" t="s">
        <v>13</v>
      </c>
    </row>
    <row r="79" spans="1:10" x14ac:dyDescent="0.2">
      <c r="A79" s="1">
        <v>46034</v>
      </c>
      <c r="B79" t="s">
        <v>15</v>
      </c>
      <c r="C79" t="s">
        <v>17</v>
      </c>
      <c r="D79" t="s">
        <v>12</v>
      </c>
      <c r="E79">
        <v>74795</v>
      </c>
      <c r="F79">
        <v>2142</v>
      </c>
      <c r="G79">
        <v>350.99</v>
      </c>
      <c r="H79">
        <v>56437</v>
      </c>
      <c r="I79">
        <v>90</v>
      </c>
      <c r="J79" t="s">
        <v>13</v>
      </c>
    </row>
    <row r="80" spans="1:10" x14ac:dyDescent="0.2">
      <c r="A80" s="1">
        <v>46034</v>
      </c>
      <c r="B80" t="s">
        <v>18</v>
      </c>
      <c r="C80" t="s">
        <v>11</v>
      </c>
      <c r="D80" t="s">
        <v>12</v>
      </c>
      <c r="E80">
        <v>97199</v>
      </c>
      <c r="F80">
        <v>3723</v>
      </c>
      <c r="G80">
        <v>597.38</v>
      </c>
      <c r="H80">
        <v>73727</v>
      </c>
      <c r="I80">
        <v>137</v>
      </c>
      <c r="J80" t="s">
        <v>13</v>
      </c>
    </row>
    <row r="81" spans="1:10" x14ac:dyDescent="0.2">
      <c r="A81" s="1">
        <v>46034</v>
      </c>
      <c r="B81" t="s">
        <v>18</v>
      </c>
      <c r="C81" t="s">
        <v>14</v>
      </c>
      <c r="D81" t="s">
        <v>12</v>
      </c>
      <c r="E81">
        <v>73386</v>
      </c>
      <c r="F81">
        <v>2110</v>
      </c>
      <c r="G81">
        <v>332.2</v>
      </c>
      <c r="H81">
        <v>56653</v>
      </c>
      <c r="I81">
        <v>90</v>
      </c>
      <c r="J81" t="s">
        <v>13</v>
      </c>
    </row>
    <row r="82" spans="1:10" x14ac:dyDescent="0.2">
      <c r="A82" s="1">
        <v>46035</v>
      </c>
      <c r="B82" t="s">
        <v>10</v>
      </c>
      <c r="C82" t="s">
        <v>11</v>
      </c>
      <c r="D82" t="s">
        <v>12</v>
      </c>
      <c r="E82">
        <v>127900</v>
      </c>
      <c r="F82">
        <v>4009</v>
      </c>
      <c r="G82">
        <v>630.41999999999996</v>
      </c>
      <c r="H82">
        <v>104224</v>
      </c>
      <c r="I82">
        <v>184</v>
      </c>
      <c r="J82" t="s">
        <v>13</v>
      </c>
    </row>
    <row r="83" spans="1:10" x14ac:dyDescent="0.2">
      <c r="A83" s="1">
        <v>46035</v>
      </c>
      <c r="B83" t="s">
        <v>10</v>
      </c>
      <c r="C83" t="s">
        <v>14</v>
      </c>
      <c r="D83" t="s">
        <v>12</v>
      </c>
      <c r="E83">
        <v>121678</v>
      </c>
      <c r="F83">
        <v>4056</v>
      </c>
      <c r="G83">
        <v>705.42</v>
      </c>
      <c r="H83">
        <v>96365</v>
      </c>
      <c r="I83">
        <v>120</v>
      </c>
      <c r="J83" t="s">
        <v>13</v>
      </c>
    </row>
    <row r="84" spans="1:10" x14ac:dyDescent="0.2">
      <c r="A84" s="1">
        <v>46035</v>
      </c>
      <c r="B84" t="s">
        <v>15</v>
      </c>
      <c r="C84" t="s">
        <v>16</v>
      </c>
      <c r="D84" t="s">
        <v>12</v>
      </c>
      <c r="E84">
        <v>80538</v>
      </c>
      <c r="F84">
        <v>3168</v>
      </c>
      <c r="G84">
        <v>484.85</v>
      </c>
      <c r="H84">
        <v>63602</v>
      </c>
      <c r="I84">
        <v>115</v>
      </c>
      <c r="J84" t="s">
        <v>13</v>
      </c>
    </row>
    <row r="85" spans="1:10" x14ac:dyDescent="0.2">
      <c r="A85" s="1">
        <v>46035</v>
      </c>
      <c r="B85" t="s">
        <v>15</v>
      </c>
      <c r="C85" t="s">
        <v>17</v>
      </c>
      <c r="D85" t="s">
        <v>12</v>
      </c>
      <c r="E85">
        <v>65144</v>
      </c>
      <c r="F85">
        <v>2289</v>
      </c>
      <c r="G85">
        <v>406.56</v>
      </c>
      <c r="H85">
        <v>51316</v>
      </c>
      <c r="I85">
        <v>104</v>
      </c>
      <c r="J85" t="s">
        <v>13</v>
      </c>
    </row>
    <row r="86" spans="1:10" x14ac:dyDescent="0.2">
      <c r="A86" s="1">
        <v>46035</v>
      </c>
      <c r="B86" t="s">
        <v>18</v>
      </c>
      <c r="C86" t="s">
        <v>11</v>
      </c>
      <c r="D86" t="s">
        <v>12</v>
      </c>
      <c r="E86">
        <v>120676</v>
      </c>
      <c r="F86">
        <v>4546</v>
      </c>
      <c r="G86">
        <v>710.28</v>
      </c>
      <c r="H86">
        <v>96947</v>
      </c>
      <c r="I86">
        <v>135</v>
      </c>
      <c r="J86" t="s">
        <v>13</v>
      </c>
    </row>
    <row r="87" spans="1:10" x14ac:dyDescent="0.2">
      <c r="A87" s="1">
        <v>46035</v>
      </c>
      <c r="B87" t="s">
        <v>18</v>
      </c>
      <c r="C87" t="s">
        <v>14</v>
      </c>
      <c r="D87" t="s">
        <v>12</v>
      </c>
      <c r="E87">
        <v>67549</v>
      </c>
      <c r="F87">
        <v>2385</v>
      </c>
      <c r="G87">
        <v>389.23</v>
      </c>
      <c r="H87">
        <v>53057</v>
      </c>
      <c r="I87">
        <v>81</v>
      </c>
      <c r="J87" t="s">
        <v>13</v>
      </c>
    </row>
    <row r="88" spans="1:10" x14ac:dyDescent="0.2">
      <c r="A88" s="1">
        <v>46036</v>
      </c>
      <c r="B88" t="s">
        <v>10</v>
      </c>
      <c r="C88" t="s">
        <v>11</v>
      </c>
      <c r="D88" t="s">
        <v>12</v>
      </c>
      <c r="E88">
        <v>97954</v>
      </c>
      <c r="F88">
        <v>3867</v>
      </c>
      <c r="G88">
        <v>620.45000000000005</v>
      </c>
      <c r="H88">
        <v>78301</v>
      </c>
      <c r="I88">
        <v>181</v>
      </c>
      <c r="J88" t="s">
        <v>13</v>
      </c>
    </row>
    <row r="89" spans="1:10" x14ac:dyDescent="0.2">
      <c r="A89" s="1">
        <v>46036</v>
      </c>
      <c r="B89" t="s">
        <v>10</v>
      </c>
      <c r="C89" t="s">
        <v>14</v>
      </c>
      <c r="D89" t="s">
        <v>12</v>
      </c>
      <c r="E89">
        <v>62241</v>
      </c>
      <c r="F89">
        <v>2439</v>
      </c>
      <c r="G89">
        <v>369.15</v>
      </c>
      <c r="H89">
        <v>48945</v>
      </c>
      <c r="I89">
        <v>92</v>
      </c>
      <c r="J89" t="s">
        <v>13</v>
      </c>
    </row>
    <row r="90" spans="1:10" x14ac:dyDescent="0.2">
      <c r="A90" s="1">
        <v>46036</v>
      </c>
      <c r="B90" t="s">
        <v>15</v>
      </c>
      <c r="C90" t="s">
        <v>16</v>
      </c>
      <c r="D90" t="s">
        <v>12</v>
      </c>
      <c r="E90">
        <v>52240</v>
      </c>
      <c r="F90">
        <v>2189</v>
      </c>
      <c r="G90">
        <v>372.23</v>
      </c>
      <c r="H90">
        <v>41127</v>
      </c>
      <c r="I90">
        <v>60</v>
      </c>
      <c r="J90" t="s">
        <v>13</v>
      </c>
    </row>
    <row r="91" spans="1:10" x14ac:dyDescent="0.2">
      <c r="A91" s="1">
        <v>46036</v>
      </c>
      <c r="B91" t="s">
        <v>15</v>
      </c>
      <c r="C91" t="s">
        <v>17</v>
      </c>
      <c r="D91" t="s">
        <v>12</v>
      </c>
      <c r="E91">
        <v>66100</v>
      </c>
      <c r="F91">
        <v>2016</v>
      </c>
      <c r="G91">
        <v>285.97000000000003</v>
      </c>
      <c r="H91">
        <v>54095</v>
      </c>
      <c r="I91">
        <v>76</v>
      </c>
      <c r="J91" t="s">
        <v>13</v>
      </c>
    </row>
    <row r="92" spans="1:10" x14ac:dyDescent="0.2">
      <c r="A92" s="1">
        <v>46036</v>
      </c>
      <c r="B92" t="s">
        <v>18</v>
      </c>
      <c r="C92" t="s">
        <v>11</v>
      </c>
      <c r="D92" t="s">
        <v>12</v>
      </c>
      <c r="E92">
        <v>49545</v>
      </c>
      <c r="F92">
        <v>1770</v>
      </c>
      <c r="G92">
        <v>310.54000000000002</v>
      </c>
      <c r="H92">
        <v>38524</v>
      </c>
      <c r="I92">
        <v>71</v>
      </c>
      <c r="J92" t="s">
        <v>13</v>
      </c>
    </row>
    <row r="93" spans="1:10" x14ac:dyDescent="0.2">
      <c r="A93" s="1">
        <v>46036</v>
      </c>
      <c r="B93" t="s">
        <v>18</v>
      </c>
      <c r="C93" t="s">
        <v>14</v>
      </c>
      <c r="D93" t="s">
        <v>12</v>
      </c>
      <c r="E93">
        <v>90328</v>
      </c>
      <c r="F93">
        <v>3288</v>
      </c>
      <c r="G93">
        <v>492.41</v>
      </c>
      <c r="H93">
        <v>70962</v>
      </c>
      <c r="I93">
        <v>72</v>
      </c>
      <c r="J93" t="s">
        <v>13</v>
      </c>
    </row>
    <row r="94" spans="1:10" x14ac:dyDescent="0.2">
      <c r="A94" s="1">
        <v>46037</v>
      </c>
      <c r="B94" t="s">
        <v>10</v>
      </c>
      <c r="C94" t="s">
        <v>11</v>
      </c>
      <c r="D94" t="s">
        <v>12</v>
      </c>
      <c r="E94">
        <v>53970</v>
      </c>
      <c r="F94">
        <v>2225</v>
      </c>
      <c r="G94">
        <v>330.98</v>
      </c>
      <c r="H94">
        <v>43198</v>
      </c>
      <c r="I94">
        <v>89</v>
      </c>
      <c r="J94" t="s">
        <v>13</v>
      </c>
    </row>
    <row r="95" spans="1:10" x14ac:dyDescent="0.2">
      <c r="A95" s="1">
        <v>46037</v>
      </c>
      <c r="B95" t="s">
        <v>10</v>
      </c>
      <c r="C95" t="s">
        <v>14</v>
      </c>
      <c r="D95" t="s">
        <v>12</v>
      </c>
      <c r="E95">
        <v>100889</v>
      </c>
      <c r="F95">
        <v>2911</v>
      </c>
      <c r="G95">
        <v>436.56</v>
      </c>
      <c r="H95">
        <v>81198</v>
      </c>
      <c r="I95">
        <v>98</v>
      </c>
      <c r="J95" t="s">
        <v>13</v>
      </c>
    </row>
    <row r="96" spans="1:10" x14ac:dyDescent="0.2">
      <c r="A96" s="1">
        <v>46037</v>
      </c>
      <c r="B96" t="s">
        <v>15</v>
      </c>
      <c r="C96" t="s">
        <v>16</v>
      </c>
      <c r="D96" t="s">
        <v>12</v>
      </c>
      <c r="E96">
        <v>100901</v>
      </c>
      <c r="F96">
        <v>3970</v>
      </c>
      <c r="G96">
        <v>712.68</v>
      </c>
      <c r="H96">
        <v>78656</v>
      </c>
      <c r="I96">
        <v>185</v>
      </c>
      <c r="J96" t="s">
        <v>13</v>
      </c>
    </row>
    <row r="97" spans="1:10" x14ac:dyDescent="0.2">
      <c r="A97" s="1">
        <v>46037</v>
      </c>
      <c r="B97" t="s">
        <v>15</v>
      </c>
      <c r="C97" t="s">
        <v>17</v>
      </c>
      <c r="D97" t="s">
        <v>12</v>
      </c>
      <c r="E97">
        <v>98008</v>
      </c>
      <c r="F97">
        <v>3764</v>
      </c>
      <c r="G97">
        <v>635.25</v>
      </c>
      <c r="H97">
        <v>75512</v>
      </c>
      <c r="I97">
        <v>164</v>
      </c>
      <c r="J97" t="s">
        <v>13</v>
      </c>
    </row>
    <row r="98" spans="1:10" x14ac:dyDescent="0.2">
      <c r="A98" s="1">
        <v>46037</v>
      </c>
      <c r="B98" t="s">
        <v>18</v>
      </c>
      <c r="C98" t="s">
        <v>11</v>
      </c>
      <c r="D98" t="s">
        <v>12</v>
      </c>
      <c r="E98">
        <v>111810</v>
      </c>
      <c r="F98">
        <v>3978</v>
      </c>
      <c r="G98">
        <v>582.25</v>
      </c>
      <c r="H98">
        <v>90135</v>
      </c>
      <c r="I98">
        <v>134</v>
      </c>
      <c r="J98" t="s">
        <v>13</v>
      </c>
    </row>
    <row r="99" spans="1:10" x14ac:dyDescent="0.2">
      <c r="A99" s="1">
        <v>46037</v>
      </c>
      <c r="B99" t="s">
        <v>18</v>
      </c>
      <c r="C99" t="s">
        <v>14</v>
      </c>
      <c r="D99" t="s">
        <v>12</v>
      </c>
      <c r="E99">
        <v>72406</v>
      </c>
      <c r="F99">
        <v>3061</v>
      </c>
      <c r="G99">
        <v>462.49</v>
      </c>
      <c r="H99">
        <v>57763</v>
      </c>
      <c r="I99">
        <v>105</v>
      </c>
      <c r="J99" t="s">
        <v>13</v>
      </c>
    </row>
    <row r="100" spans="1:10" x14ac:dyDescent="0.2">
      <c r="A100" s="1">
        <v>46038</v>
      </c>
      <c r="B100" t="s">
        <v>10</v>
      </c>
      <c r="C100" t="s">
        <v>11</v>
      </c>
      <c r="D100" t="s">
        <v>12</v>
      </c>
      <c r="E100">
        <v>71358</v>
      </c>
      <c r="F100">
        <v>2331</v>
      </c>
      <c r="G100">
        <v>333.56</v>
      </c>
      <c r="H100">
        <v>53416</v>
      </c>
      <c r="I100">
        <v>67</v>
      </c>
      <c r="J100" t="s">
        <v>13</v>
      </c>
    </row>
    <row r="101" spans="1:10" x14ac:dyDescent="0.2">
      <c r="A101" s="1">
        <v>46038</v>
      </c>
      <c r="B101" t="s">
        <v>10</v>
      </c>
      <c r="C101" t="s">
        <v>14</v>
      </c>
      <c r="D101" t="s">
        <v>12</v>
      </c>
      <c r="E101">
        <v>81904</v>
      </c>
      <c r="F101">
        <v>3536</v>
      </c>
      <c r="G101">
        <v>506.44</v>
      </c>
      <c r="H101">
        <v>60206</v>
      </c>
      <c r="I101">
        <v>113</v>
      </c>
      <c r="J101" t="s">
        <v>13</v>
      </c>
    </row>
    <row r="102" spans="1:10" x14ac:dyDescent="0.2">
      <c r="A102" s="1">
        <v>46038</v>
      </c>
      <c r="B102" t="s">
        <v>15</v>
      </c>
      <c r="C102" t="s">
        <v>16</v>
      </c>
      <c r="D102" t="s">
        <v>12</v>
      </c>
      <c r="E102">
        <v>60028</v>
      </c>
      <c r="F102">
        <v>2401</v>
      </c>
      <c r="G102">
        <v>342.31</v>
      </c>
      <c r="H102">
        <v>45666</v>
      </c>
      <c r="I102">
        <v>86</v>
      </c>
      <c r="J102" t="s">
        <v>13</v>
      </c>
    </row>
    <row r="103" spans="1:10" x14ac:dyDescent="0.2">
      <c r="A103" s="1">
        <v>46038</v>
      </c>
      <c r="B103" t="s">
        <v>15</v>
      </c>
      <c r="C103" t="s">
        <v>17</v>
      </c>
      <c r="D103" t="s">
        <v>12</v>
      </c>
      <c r="E103">
        <v>94496</v>
      </c>
      <c r="F103">
        <v>2745</v>
      </c>
      <c r="G103">
        <v>475.75</v>
      </c>
      <c r="H103">
        <v>71717</v>
      </c>
      <c r="I103">
        <v>115</v>
      </c>
      <c r="J103" t="s">
        <v>13</v>
      </c>
    </row>
    <row r="104" spans="1:10" x14ac:dyDescent="0.2">
      <c r="A104" s="1">
        <v>46038</v>
      </c>
      <c r="B104" t="s">
        <v>18</v>
      </c>
      <c r="C104" t="s">
        <v>11</v>
      </c>
      <c r="D104" t="s">
        <v>12</v>
      </c>
      <c r="E104">
        <v>42560</v>
      </c>
      <c r="F104">
        <v>1811</v>
      </c>
      <c r="G104">
        <v>309</v>
      </c>
      <c r="H104">
        <v>32262</v>
      </c>
      <c r="I104">
        <v>40</v>
      </c>
      <c r="J104" t="s">
        <v>13</v>
      </c>
    </row>
    <row r="105" spans="1:10" x14ac:dyDescent="0.2">
      <c r="A105" s="1">
        <v>46038</v>
      </c>
      <c r="B105" t="s">
        <v>18</v>
      </c>
      <c r="C105" t="s">
        <v>14</v>
      </c>
      <c r="D105" t="s">
        <v>12</v>
      </c>
      <c r="E105">
        <v>86105</v>
      </c>
      <c r="F105">
        <v>2848</v>
      </c>
      <c r="G105">
        <v>443.15</v>
      </c>
      <c r="H105">
        <v>69673</v>
      </c>
      <c r="I105">
        <v>124</v>
      </c>
      <c r="J105" t="s">
        <v>13</v>
      </c>
    </row>
    <row r="106" spans="1:10" x14ac:dyDescent="0.2">
      <c r="A106" s="1">
        <v>46039</v>
      </c>
      <c r="B106" t="s">
        <v>10</v>
      </c>
      <c r="C106" t="s">
        <v>11</v>
      </c>
      <c r="D106" t="s">
        <v>12</v>
      </c>
      <c r="E106">
        <v>154763</v>
      </c>
      <c r="F106">
        <v>6300</v>
      </c>
      <c r="G106">
        <v>1019.63</v>
      </c>
      <c r="H106">
        <v>120765</v>
      </c>
      <c r="I106">
        <v>174</v>
      </c>
      <c r="J106" t="s">
        <v>13</v>
      </c>
    </row>
    <row r="107" spans="1:10" x14ac:dyDescent="0.2">
      <c r="A107" s="1">
        <v>46039</v>
      </c>
      <c r="B107" t="s">
        <v>10</v>
      </c>
      <c r="C107" t="s">
        <v>14</v>
      </c>
      <c r="D107" t="s">
        <v>12</v>
      </c>
      <c r="E107">
        <v>96264</v>
      </c>
      <c r="F107">
        <v>3142</v>
      </c>
      <c r="G107">
        <v>500.92</v>
      </c>
      <c r="H107">
        <v>73053</v>
      </c>
      <c r="I107">
        <v>123</v>
      </c>
      <c r="J107" t="s">
        <v>13</v>
      </c>
    </row>
    <row r="108" spans="1:10" x14ac:dyDescent="0.2">
      <c r="A108" s="1">
        <v>46039</v>
      </c>
      <c r="B108" t="s">
        <v>15</v>
      </c>
      <c r="C108" t="s">
        <v>16</v>
      </c>
      <c r="D108" t="s">
        <v>12</v>
      </c>
      <c r="E108">
        <v>130191</v>
      </c>
      <c r="F108">
        <v>5248</v>
      </c>
      <c r="G108">
        <v>911.16</v>
      </c>
      <c r="H108">
        <v>105709</v>
      </c>
      <c r="I108">
        <v>249</v>
      </c>
      <c r="J108" t="s">
        <v>13</v>
      </c>
    </row>
    <row r="109" spans="1:10" x14ac:dyDescent="0.2">
      <c r="A109" s="1">
        <v>46039</v>
      </c>
      <c r="B109" t="s">
        <v>15</v>
      </c>
      <c r="C109" t="s">
        <v>17</v>
      </c>
      <c r="D109" t="s">
        <v>12</v>
      </c>
      <c r="E109">
        <v>154011</v>
      </c>
      <c r="F109">
        <v>4382</v>
      </c>
      <c r="G109">
        <v>682.54</v>
      </c>
      <c r="H109">
        <v>119580</v>
      </c>
      <c r="I109">
        <v>99</v>
      </c>
      <c r="J109" t="s">
        <v>13</v>
      </c>
    </row>
    <row r="110" spans="1:10" x14ac:dyDescent="0.2">
      <c r="A110" s="1">
        <v>46039</v>
      </c>
      <c r="B110" t="s">
        <v>19</v>
      </c>
      <c r="C110" t="s">
        <v>11</v>
      </c>
      <c r="D110" t="s">
        <v>12</v>
      </c>
      <c r="E110">
        <v>173944</v>
      </c>
      <c r="F110">
        <v>6137</v>
      </c>
      <c r="G110">
        <v>1071.97</v>
      </c>
      <c r="H110">
        <v>128400</v>
      </c>
      <c r="I110">
        <v>176</v>
      </c>
      <c r="J110" t="s">
        <v>13</v>
      </c>
    </row>
    <row r="111" spans="1:10" x14ac:dyDescent="0.2">
      <c r="A111" s="1">
        <v>46039</v>
      </c>
      <c r="B111" t="s">
        <v>19</v>
      </c>
      <c r="C111" t="s">
        <v>14</v>
      </c>
      <c r="D111" t="s">
        <v>12</v>
      </c>
      <c r="E111">
        <v>116068</v>
      </c>
      <c r="F111">
        <v>3667</v>
      </c>
      <c r="G111">
        <v>561.32000000000005</v>
      </c>
      <c r="H111">
        <v>92404</v>
      </c>
      <c r="I111">
        <v>116</v>
      </c>
      <c r="J111" t="s">
        <v>13</v>
      </c>
    </row>
    <row r="112" spans="1:10" x14ac:dyDescent="0.2">
      <c r="A112" s="1">
        <v>46039</v>
      </c>
      <c r="B112" t="s">
        <v>18</v>
      </c>
      <c r="C112" t="s">
        <v>11</v>
      </c>
      <c r="D112" t="s">
        <v>12</v>
      </c>
      <c r="E112">
        <v>133357</v>
      </c>
      <c r="F112">
        <v>4305</v>
      </c>
      <c r="G112">
        <v>616.79999999999995</v>
      </c>
      <c r="H112">
        <v>96275</v>
      </c>
      <c r="I112">
        <v>155</v>
      </c>
      <c r="J112" t="s">
        <v>13</v>
      </c>
    </row>
    <row r="113" spans="1:10" x14ac:dyDescent="0.2">
      <c r="A113" s="1">
        <v>46039</v>
      </c>
      <c r="B113" t="s">
        <v>18</v>
      </c>
      <c r="C113" t="s">
        <v>14</v>
      </c>
      <c r="D113" t="s">
        <v>12</v>
      </c>
      <c r="E113">
        <v>120217</v>
      </c>
      <c r="F113">
        <v>3824</v>
      </c>
      <c r="G113">
        <v>545.86</v>
      </c>
      <c r="H113">
        <v>98064</v>
      </c>
      <c r="I113">
        <v>88</v>
      </c>
      <c r="J113" t="s">
        <v>13</v>
      </c>
    </row>
    <row r="114" spans="1:10" x14ac:dyDescent="0.2">
      <c r="A114" s="1">
        <v>46040</v>
      </c>
      <c r="B114" t="s">
        <v>10</v>
      </c>
      <c r="C114" t="s">
        <v>11</v>
      </c>
      <c r="D114" t="s">
        <v>12</v>
      </c>
      <c r="E114">
        <v>61693</v>
      </c>
      <c r="F114">
        <v>2723</v>
      </c>
      <c r="G114">
        <v>402.93</v>
      </c>
      <c r="H114">
        <v>44544</v>
      </c>
      <c r="I114">
        <v>70</v>
      </c>
      <c r="J114" t="s">
        <v>13</v>
      </c>
    </row>
    <row r="115" spans="1:10" x14ac:dyDescent="0.2">
      <c r="A115" s="1">
        <v>46040</v>
      </c>
      <c r="B115" t="s">
        <v>10</v>
      </c>
      <c r="C115" t="s">
        <v>14</v>
      </c>
      <c r="D115" t="s">
        <v>12</v>
      </c>
      <c r="E115">
        <v>79161</v>
      </c>
      <c r="F115">
        <v>2853</v>
      </c>
      <c r="G115">
        <v>412.47</v>
      </c>
      <c r="H115">
        <v>64498</v>
      </c>
      <c r="I115">
        <v>97</v>
      </c>
      <c r="J115" t="s">
        <v>13</v>
      </c>
    </row>
    <row r="116" spans="1:10" x14ac:dyDescent="0.2">
      <c r="A116" s="1">
        <v>46040</v>
      </c>
      <c r="B116" t="s">
        <v>15</v>
      </c>
      <c r="C116" t="s">
        <v>16</v>
      </c>
      <c r="D116" t="s">
        <v>12</v>
      </c>
      <c r="E116">
        <v>103020</v>
      </c>
      <c r="F116">
        <v>4227</v>
      </c>
      <c r="G116">
        <v>620.15</v>
      </c>
      <c r="H116">
        <v>80430</v>
      </c>
      <c r="I116">
        <v>175</v>
      </c>
      <c r="J116" t="s">
        <v>13</v>
      </c>
    </row>
    <row r="117" spans="1:10" x14ac:dyDescent="0.2">
      <c r="A117" s="1">
        <v>46040</v>
      </c>
      <c r="B117" t="s">
        <v>15</v>
      </c>
      <c r="C117" t="s">
        <v>17</v>
      </c>
      <c r="D117" t="s">
        <v>12</v>
      </c>
      <c r="E117">
        <v>77016</v>
      </c>
      <c r="F117">
        <v>3174</v>
      </c>
      <c r="G117">
        <v>465.15</v>
      </c>
      <c r="H117">
        <v>57847</v>
      </c>
      <c r="I117">
        <v>117</v>
      </c>
      <c r="J117" t="s">
        <v>13</v>
      </c>
    </row>
    <row r="118" spans="1:10" x14ac:dyDescent="0.2">
      <c r="A118" s="1">
        <v>46040</v>
      </c>
      <c r="B118" t="s">
        <v>19</v>
      </c>
      <c r="C118" t="s">
        <v>11</v>
      </c>
      <c r="D118" t="s">
        <v>12</v>
      </c>
      <c r="E118">
        <v>113243</v>
      </c>
      <c r="F118">
        <v>4279</v>
      </c>
      <c r="G118">
        <v>754.48</v>
      </c>
      <c r="H118">
        <v>85785</v>
      </c>
      <c r="I118">
        <v>198</v>
      </c>
      <c r="J118" t="s">
        <v>13</v>
      </c>
    </row>
    <row r="119" spans="1:10" x14ac:dyDescent="0.2">
      <c r="A119" s="1">
        <v>46040</v>
      </c>
      <c r="B119" t="s">
        <v>19</v>
      </c>
      <c r="C119" t="s">
        <v>14</v>
      </c>
      <c r="D119" t="s">
        <v>12</v>
      </c>
      <c r="E119">
        <v>92393</v>
      </c>
      <c r="F119">
        <v>2706</v>
      </c>
      <c r="G119">
        <v>453.59</v>
      </c>
      <c r="H119">
        <v>72318</v>
      </c>
      <c r="I119">
        <v>66</v>
      </c>
      <c r="J119" t="s">
        <v>13</v>
      </c>
    </row>
    <row r="120" spans="1:10" x14ac:dyDescent="0.2">
      <c r="A120" s="1">
        <v>46040</v>
      </c>
      <c r="B120" t="s">
        <v>18</v>
      </c>
      <c r="C120" t="s">
        <v>11</v>
      </c>
      <c r="D120" t="s">
        <v>12</v>
      </c>
      <c r="E120">
        <v>111340</v>
      </c>
      <c r="F120">
        <v>4726</v>
      </c>
      <c r="G120">
        <v>775.14</v>
      </c>
      <c r="H120">
        <v>81512</v>
      </c>
      <c r="I120">
        <v>224</v>
      </c>
      <c r="J120" t="s">
        <v>13</v>
      </c>
    </row>
    <row r="121" spans="1:10" x14ac:dyDescent="0.2">
      <c r="A121" s="1">
        <v>46040</v>
      </c>
      <c r="B121" t="s">
        <v>18</v>
      </c>
      <c r="C121" t="s">
        <v>14</v>
      </c>
      <c r="D121" t="s">
        <v>12</v>
      </c>
      <c r="E121">
        <v>63536</v>
      </c>
      <c r="F121">
        <v>2154</v>
      </c>
      <c r="G121">
        <v>338.47</v>
      </c>
      <c r="H121">
        <v>48100</v>
      </c>
      <c r="I121">
        <v>75</v>
      </c>
      <c r="J121" t="s">
        <v>13</v>
      </c>
    </row>
    <row r="122" spans="1:10" x14ac:dyDescent="0.2">
      <c r="A122" s="1">
        <v>46041</v>
      </c>
      <c r="B122" t="s">
        <v>10</v>
      </c>
      <c r="C122" t="s">
        <v>11</v>
      </c>
      <c r="D122" t="s">
        <v>12</v>
      </c>
      <c r="E122">
        <v>84725</v>
      </c>
      <c r="F122">
        <v>2390</v>
      </c>
      <c r="G122">
        <v>374.76</v>
      </c>
      <c r="H122">
        <v>65155</v>
      </c>
      <c r="I122">
        <v>79</v>
      </c>
      <c r="J122" t="s">
        <v>13</v>
      </c>
    </row>
    <row r="123" spans="1:10" x14ac:dyDescent="0.2">
      <c r="A123" s="1">
        <v>46041</v>
      </c>
      <c r="B123" t="s">
        <v>10</v>
      </c>
      <c r="C123" t="s">
        <v>14</v>
      </c>
      <c r="D123" t="s">
        <v>12</v>
      </c>
      <c r="E123">
        <v>87472</v>
      </c>
      <c r="F123">
        <v>3394</v>
      </c>
      <c r="G123">
        <v>587.66999999999996</v>
      </c>
      <c r="H123">
        <v>69166</v>
      </c>
      <c r="I123">
        <v>113</v>
      </c>
      <c r="J123" t="s">
        <v>13</v>
      </c>
    </row>
    <row r="124" spans="1:10" x14ac:dyDescent="0.2">
      <c r="A124" s="1">
        <v>46041</v>
      </c>
      <c r="B124" t="s">
        <v>15</v>
      </c>
      <c r="C124" t="s">
        <v>16</v>
      </c>
      <c r="D124" t="s">
        <v>12</v>
      </c>
      <c r="E124">
        <v>108386</v>
      </c>
      <c r="F124">
        <v>4813</v>
      </c>
      <c r="G124">
        <v>725.82</v>
      </c>
      <c r="H124">
        <v>86797</v>
      </c>
      <c r="I124">
        <v>173</v>
      </c>
      <c r="J124" t="s">
        <v>13</v>
      </c>
    </row>
    <row r="125" spans="1:10" x14ac:dyDescent="0.2">
      <c r="A125" s="1">
        <v>46041</v>
      </c>
      <c r="B125" t="s">
        <v>15</v>
      </c>
      <c r="C125" t="s">
        <v>17</v>
      </c>
      <c r="D125" t="s">
        <v>12</v>
      </c>
      <c r="E125">
        <v>103372</v>
      </c>
      <c r="F125">
        <v>3711</v>
      </c>
      <c r="G125">
        <v>642.11</v>
      </c>
      <c r="H125">
        <v>80552</v>
      </c>
      <c r="I125">
        <v>112</v>
      </c>
      <c r="J125" t="s">
        <v>13</v>
      </c>
    </row>
    <row r="126" spans="1:10" x14ac:dyDescent="0.2">
      <c r="A126" s="1">
        <v>46041</v>
      </c>
      <c r="B126" t="s">
        <v>18</v>
      </c>
      <c r="C126" t="s">
        <v>11</v>
      </c>
      <c r="D126" t="s">
        <v>12</v>
      </c>
      <c r="E126">
        <v>72177</v>
      </c>
      <c r="F126">
        <v>3040</v>
      </c>
      <c r="G126">
        <v>436.14</v>
      </c>
      <c r="H126">
        <v>58330</v>
      </c>
      <c r="I126">
        <v>86</v>
      </c>
      <c r="J126" t="s">
        <v>13</v>
      </c>
    </row>
    <row r="127" spans="1:10" x14ac:dyDescent="0.2">
      <c r="A127" s="1">
        <v>46041</v>
      </c>
      <c r="B127" t="s">
        <v>18</v>
      </c>
      <c r="C127" t="s">
        <v>14</v>
      </c>
      <c r="D127" t="s">
        <v>12</v>
      </c>
      <c r="E127">
        <v>100910</v>
      </c>
      <c r="F127">
        <v>3803</v>
      </c>
      <c r="G127">
        <v>634.05999999999995</v>
      </c>
      <c r="H127">
        <v>76049</v>
      </c>
      <c r="I127">
        <v>132</v>
      </c>
      <c r="J127" t="s">
        <v>13</v>
      </c>
    </row>
    <row r="128" spans="1:10" x14ac:dyDescent="0.2">
      <c r="A128" s="1">
        <v>46042</v>
      </c>
      <c r="B128" t="s">
        <v>10</v>
      </c>
      <c r="C128" t="s">
        <v>11</v>
      </c>
      <c r="D128" t="s">
        <v>12</v>
      </c>
      <c r="E128">
        <v>82600</v>
      </c>
      <c r="F128">
        <v>2568</v>
      </c>
      <c r="G128">
        <v>381.31</v>
      </c>
      <c r="H128">
        <v>66062</v>
      </c>
      <c r="I128">
        <v>79</v>
      </c>
      <c r="J128" t="s">
        <v>13</v>
      </c>
    </row>
    <row r="129" spans="1:10" x14ac:dyDescent="0.2">
      <c r="A129" s="1">
        <v>46042</v>
      </c>
      <c r="B129" t="s">
        <v>10</v>
      </c>
      <c r="C129" t="s">
        <v>14</v>
      </c>
      <c r="D129" t="s">
        <v>12</v>
      </c>
      <c r="E129">
        <v>118139</v>
      </c>
      <c r="F129">
        <v>4716</v>
      </c>
      <c r="G129">
        <v>712.36</v>
      </c>
      <c r="H129">
        <v>85180</v>
      </c>
      <c r="I129">
        <v>219</v>
      </c>
      <c r="J129" t="s">
        <v>13</v>
      </c>
    </row>
    <row r="130" spans="1:10" x14ac:dyDescent="0.2">
      <c r="A130" s="1">
        <v>46042</v>
      </c>
      <c r="B130" t="s">
        <v>15</v>
      </c>
      <c r="C130" t="s">
        <v>16</v>
      </c>
      <c r="D130" t="s">
        <v>12</v>
      </c>
      <c r="E130">
        <v>51221</v>
      </c>
      <c r="F130">
        <v>1644</v>
      </c>
      <c r="G130">
        <v>256.89</v>
      </c>
      <c r="H130">
        <v>39722</v>
      </c>
      <c r="I130">
        <v>46</v>
      </c>
      <c r="J130" t="s">
        <v>13</v>
      </c>
    </row>
    <row r="131" spans="1:10" x14ac:dyDescent="0.2">
      <c r="A131" s="1">
        <v>46042</v>
      </c>
      <c r="B131" t="s">
        <v>15</v>
      </c>
      <c r="C131" t="s">
        <v>17</v>
      </c>
      <c r="D131" t="s">
        <v>12</v>
      </c>
      <c r="E131">
        <v>102402</v>
      </c>
      <c r="F131">
        <v>3991</v>
      </c>
      <c r="G131">
        <v>637.09</v>
      </c>
      <c r="H131">
        <v>81849</v>
      </c>
      <c r="I131">
        <v>97</v>
      </c>
      <c r="J131" t="s">
        <v>13</v>
      </c>
    </row>
    <row r="132" spans="1:10" x14ac:dyDescent="0.2">
      <c r="A132" s="1">
        <v>46042</v>
      </c>
      <c r="B132" t="s">
        <v>18</v>
      </c>
      <c r="C132" t="s">
        <v>11</v>
      </c>
      <c r="D132" t="s">
        <v>12</v>
      </c>
      <c r="E132">
        <v>69045</v>
      </c>
      <c r="F132">
        <v>2407</v>
      </c>
      <c r="G132">
        <v>360.41</v>
      </c>
      <c r="H132">
        <v>54296</v>
      </c>
      <c r="I132">
        <v>76</v>
      </c>
      <c r="J132" t="s">
        <v>13</v>
      </c>
    </row>
    <row r="133" spans="1:10" x14ac:dyDescent="0.2">
      <c r="A133" s="1">
        <v>46042</v>
      </c>
      <c r="B133" t="s">
        <v>18</v>
      </c>
      <c r="C133" t="s">
        <v>14</v>
      </c>
      <c r="D133" t="s">
        <v>12</v>
      </c>
      <c r="E133">
        <v>112544</v>
      </c>
      <c r="F133">
        <v>4167</v>
      </c>
      <c r="G133">
        <v>654.29999999999995</v>
      </c>
      <c r="H133">
        <v>89426</v>
      </c>
      <c r="I133">
        <v>127</v>
      </c>
      <c r="J133" t="s">
        <v>13</v>
      </c>
    </row>
    <row r="134" spans="1:10" x14ac:dyDescent="0.2">
      <c r="A134" s="1">
        <v>46043</v>
      </c>
      <c r="B134" t="s">
        <v>10</v>
      </c>
      <c r="C134" t="s">
        <v>11</v>
      </c>
      <c r="D134" t="s">
        <v>12</v>
      </c>
      <c r="E134">
        <v>99473</v>
      </c>
      <c r="F134">
        <v>3243</v>
      </c>
      <c r="G134">
        <v>486.63</v>
      </c>
      <c r="H134">
        <v>72820</v>
      </c>
      <c r="I134">
        <v>87</v>
      </c>
      <c r="J134" t="s">
        <v>13</v>
      </c>
    </row>
    <row r="135" spans="1:10" x14ac:dyDescent="0.2">
      <c r="A135" s="1">
        <v>46043</v>
      </c>
      <c r="B135" t="s">
        <v>10</v>
      </c>
      <c r="C135" t="s">
        <v>14</v>
      </c>
      <c r="D135" t="s">
        <v>12</v>
      </c>
      <c r="E135">
        <v>55670</v>
      </c>
      <c r="F135">
        <v>2261</v>
      </c>
      <c r="G135">
        <v>402.54</v>
      </c>
      <c r="H135">
        <v>43924</v>
      </c>
      <c r="I135">
        <v>61</v>
      </c>
      <c r="J135" t="s">
        <v>13</v>
      </c>
    </row>
    <row r="136" spans="1:10" x14ac:dyDescent="0.2">
      <c r="A136" s="1">
        <v>46043</v>
      </c>
      <c r="B136" t="s">
        <v>15</v>
      </c>
      <c r="C136" t="s">
        <v>16</v>
      </c>
      <c r="D136" t="s">
        <v>12</v>
      </c>
      <c r="E136">
        <v>103464</v>
      </c>
      <c r="F136">
        <v>3383</v>
      </c>
      <c r="G136">
        <v>553.4</v>
      </c>
      <c r="H136">
        <v>82359</v>
      </c>
      <c r="I136">
        <v>126</v>
      </c>
      <c r="J136" t="s">
        <v>13</v>
      </c>
    </row>
    <row r="137" spans="1:10" x14ac:dyDescent="0.2">
      <c r="A137" s="1">
        <v>46043</v>
      </c>
      <c r="B137" t="s">
        <v>15</v>
      </c>
      <c r="C137" t="s">
        <v>17</v>
      </c>
      <c r="D137" t="s">
        <v>12</v>
      </c>
      <c r="E137">
        <v>53176</v>
      </c>
      <c r="F137">
        <v>2241</v>
      </c>
      <c r="G137">
        <v>340.3</v>
      </c>
      <c r="H137">
        <v>40205</v>
      </c>
      <c r="I137">
        <v>66</v>
      </c>
      <c r="J137" t="s">
        <v>13</v>
      </c>
    </row>
    <row r="138" spans="1:10" x14ac:dyDescent="0.2">
      <c r="A138" s="1">
        <v>46043</v>
      </c>
      <c r="B138" t="s">
        <v>18</v>
      </c>
      <c r="C138" t="s">
        <v>11</v>
      </c>
      <c r="D138" t="s">
        <v>12</v>
      </c>
      <c r="E138">
        <v>110010</v>
      </c>
      <c r="F138">
        <v>3317</v>
      </c>
      <c r="G138">
        <v>470.42</v>
      </c>
      <c r="H138">
        <v>79807</v>
      </c>
      <c r="I138">
        <v>98</v>
      </c>
      <c r="J138" t="s">
        <v>13</v>
      </c>
    </row>
    <row r="139" spans="1:10" x14ac:dyDescent="0.2">
      <c r="A139" s="1">
        <v>46043</v>
      </c>
      <c r="B139" t="s">
        <v>18</v>
      </c>
      <c r="C139" t="s">
        <v>14</v>
      </c>
      <c r="D139" t="s">
        <v>12</v>
      </c>
      <c r="E139">
        <v>56551</v>
      </c>
      <c r="F139">
        <v>2196</v>
      </c>
      <c r="G139">
        <v>373.57</v>
      </c>
      <c r="H139">
        <v>41296</v>
      </c>
      <c r="I139">
        <v>49</v>
      </c>
      <c r="J139" t="s">
        <v>13</v>
      </c>
    </row>
    <row r="140" spans="1:10" x14ac:dyDescent="0.2">
      <c r="A140" s="1">
        <v>46044</v>
      </c>
      <c r="B140" t="s">
        <v>10</v>
      </c>
      <c r="C140" t="s">
        <v>11</v>
      </c>
      <c r="D140" t="s">
        <v>12</v>
      </c>
      <c r="E140">
        <v>77268</v>
      </c>
      <c r="F140">
        <v>2780</v>
      </c>
      <c r="G140">
        <v>438.18</v>
      </c>
      <c r="H140">
        <v>57057</v>
      </c>
      <c r="I140">
        <v>64</v>
      </c>
      <c r="J140" t="s">
        <v>13</v>
      </c>
    </row>
    <row r="141" spans="1:10" x14ac:dyDescent="0.2">
      <c r="A141" s="1">
        <v>46044</v>
      </c>
      <c r="B141" t="s">
        <v>10</v>
      </c>
      <c r="C141" t="s">
        <v>14</v>
      </c>
      <c r="D141" t="s">
        <v>12</v>
      </c>
      <c r="E141">
        <v>102616</v>
      </c>
      <c r="F141">
        <v>3072</v>
      </c>
      <c r="G141">
        <v>438.11</v>
      </c>
      <c r="H141">
        <v>78929</v>
      </c>
      <c r="I141">
        <v>113</v>
      </c>
      <c r="J141" t="s">
        <v>13</v>
      </c>
    </row>
    <row r="142" spans="1:10" x14ac:dyDescent="0.2">
      <c r="A142" s="1">
        <v>46044</v>
      </c>
      <c r="B142" t="s">
        <v>15</v>
      </c>
      <c r="C142" t="s">
        <v>16</v>
      </c>
      <c r="D142" t="s">
        <v>12</v>
      </c>
      <c r="E142">
        <v>129974</v>
      </c>
      <c r="F142">
        <v>3757</v>
      </c>
      <c r="G142">
        <v>548.4</v>
      </c>
      <c r="H142">
        <v>100896</v>
      </c>
      <c r="I142">
        <v>112</v>
      </c>
      <c r="J142" t="s">
        <v>13</v>
      </c>
    </row>
    <row r="143" spans="1:10" x14ac:dyDescent="0.2">
      <c r="A143" s="1">
        <v>46044</v>
      </c>
      <c r="B143" t="s">
        <v>15</v>
      </c>
      <c r="C143" t="s">
        <v>17</v>
      </c>
      <c r="D143" t="s">
        <v>12</v>
      </c>
      <c r="E143">
        <v>72530</v>
      </c>
      <c r="F143">
        <v>2176</v>
      </c>
      <c r="G143">
        <v>371.18</v>
      </c>
      <c r="H143">
        <v>56619</v>
      </c>
      <c r="I143">
        <v>92</v>
      </c>
      <c r="J143" t="s">
        <v>13</v>
      </c>
    </row>
    <row r="144" spans="1:10" x14ac:dyDescent="0.2">
      <c r="A144" s="1">
        <v>46044</v>
      </c>
      <c r="B144" t="s">
        <v>18</v>
      </c>
      <c r="C144" t="s">
        <v>11</v>
      </c>
      <c r="D144" t="s">
        <v>12</v>
      </c>
      <c r="E144">
        <v>69581</v>
      </c>
      <c r="F144">
        <v>2865</v>
      </c>
      <c r="G144">
        <v>444.69</v>
      </c>
      <c r="H144">
        <v>56419</v>
      </c>
      <c r="I144">
        <v>85</v>
      </c>
      <c r="J144" t="s">
        <v>13</v>
      </c>
    </row>
    <row r="145" spans="1:10" x14ac:dyDescent="0.2">
      <c r="A145" s="1">
        <v>46044</v>
      </c>
      <c r="B145" t="s">
        <v>18</v>
      </c>
      <c r="C145" t="s">
        <v>14</v>
      </c>
      <c r="D145" t="s">
        <v>12</v>
      </c>
      <c r="E145">
        <v>117139</v>
      </c>
      <c r="F145">
        <v>5251</v>
      </c>
      <c r="G145">
        <v>799.28</v>
      </c>
      <c r="H145">
        <v>91614</v>
      </c>
      <c r="I145">
        <v>198</v>
      </c>
      <c r="J145" t="s">
        <v>13</v>
      </c>
    </row>
    <row r="146" spans="1:10" x14ac:dyDescent="0.2">
      <c r="A146" s="1">
        <v>46045</v>
      </c>
      <c r="B146" t="s">
        <v>10</v>
      </c>
      <c r="C146" t="s">
        <v>11</v>
      </c>
      <c r="D146" t="s">
        <v>12</v>
      </c>
      <c r="E146">
        <v>53006</v>
      </c>
      <c r="F146">
        <v>2338</v>
      </c>
      <c r="G146">
        <v>346.75</v>
      </c>
      <c r="H146">
        <v>39282</v>
      </c>
      <c r="I146">
        <v>91</v>
      </c>
      <c r="J146" t="s">
        <v>13</v>
      </c>
    </row>
    <row r="147" spans="1:10" x14ac:dyDescent="0.2">
      <c r="A147" s="1">
        <v>46045</v>
      </c>
      <c r="B147" t="s">
        <v>10</v>
      </c>
      <c r="C147" t="s">
        <v>14</v>
      </c>
      <c r="D147" t="s">
        <v>12</v>
      </c>
      <c r="E147">
        <v>60585</v>
      </c>
      <c r="F147">
        <v>1943</v>
      </c>
      <c r="G147">
        <v>314.92</v>
      </c>
      <c r="H147">
        <v>44569</v>
      </c>
      <c r="I147">
        <v>63</v>
      </c>
      <c r="J147" t="s">
        <v>13</v>
      </c>
    </row>
    <row r="148" spans="1:10" x14ac:dyDescent="0.2">
      <c r="A148" s="1">
        <v>46045</v>
      </c>
      <c r="B148" t="s">
        <v>15</v>
      </c>
      <c r="C148" t="s">
        <v>16</v>
      </c>
      <c r="D148" t="s">
        <v>12</v>
      </c>
      <c r="E148">
        <v>117832</v>
      </c>
      <c r="F148">
        <v>4240</v>
      </c>
      <c r="G148">
        <v>599.14</v>
      </c>
      <c r="H148">
        <v>88233</v>
      </c>
      <c r="I148">
        <v>124</v>
      </c>
      <c r="J148" t="s">
        <v>13</v>
      </c>
    </row>
    <row r="149" spans="1:10" x14ac:dyDescent="0.2">
      <c r="A149" s="1">
        <v>46045</v>
      </c>
      <c r="B149" t="s">
        <v>15</v>
      </c>
      <c r="C149" t="s">
        <v>17</v>
      </c>
      <c r="D149" t="s">
        <v>12</v>
      </c>
      <c r="E149">
        <v>99510</v>
      </c>
      <c r="F149">
        <v>2906</v>
      </c>
      <c r="G149">
        <v>433.97</v>
      </c>
      <c r="H149">
        <v>74279</v>
      </c>
      <c r="I149">
        <v>123</v>
      </c>
      <c r="J149" t="s">
        <v>13</v>
      </c>
    </row>
    <row r="150" spans="1:10" x14ac:dyDescent="0.2">
      <c r="A150" s="1">
        <v>46045</v>
      </c>
      <c r="B150" t="s">
        <v>18</v>
      </c>
      <c r="C150" t="s">
        <v>11</v>
      </c>
      <c r="D150" t="s">
        <v>12</v>
      </c>
      <c r="E150">
        <v>117304</v>
      </c>
      <c r="F150">
        <v>4603</v>
      </c>
      <c r="G150">
        <v>816.33</v>
      </c>
      <c r="H150">
        <v>89445</v>
      </c>
      <c r="I150">
        <v>166</v>
      </c>
      <c r="J150" t="s">
        <v>13</v>
      </c>
    </row>
    <row r="151" spans="1:10" x14ac:dyDescent="0.2">
      <c r="A151" s="1">
        <v>46045</v>
      </c>
      <c r="B151" t="s">
        <v>18</v>
      </c>
      <c r="C151" t="s">
        <v>14</v>
      </c>
      <c r="D151" t="s">
        <v>12</v>
      </c>
      <c r="E151">
        <v>124886</v>
      </c>
      <c r="F151">
        <v>3813</v>
      </c>
      <c r="G151">
        <v>574.33000000000004</v>
      </c>
      <c r="H151">
        <v>91694</v>
      </c>
      <c r="I151">
        <v>89</v>
      </c>
      <c r="J151" t="s">
        <v>13</v>
      </c>
    </row>
    <row r="152" spans="1:10" x14ac:dyDescent="0.2">
      <c r="A152" s="1">
        <v>46046</v>
      </c>
      <c r="B152" t="s">
        <v>10</v>
      </c>
      <c r="C152" t="s">
        <v>11</v>
      </c>
      <c r="D152" t="s">
        <v>12</v>
      </c>
      <c r="E152">
        <v>112446</v>
      </c>
      <c r="F152">
        <v>4285</v>
      </c>
      <c r="G152">
        <v>741.17</v>
      </c>
      <c r="H152">
        <v>91319</v>
      </c>
      <c r="I152">
        <v>143</v>
      </c>
      <c r="J152" t="s">
        <v>13</v>
      </c>
    </row>
    <row r="153" spans="1:10" x14ac:dyDescent="0.2">
      <c r="A153" s="1">
        <v>46046</v>
      </c>
      <c r="B153" t="s">
        <v>10</v>
      </c>
      <c r="C153" t="s">
        <v>14</v>
      </c>
      <c r="D153" t="s">
        <v>12</v>
      </c>
      <c r="E153">
        <v>142006</v>
      </c>
      <c r="F153">
        <v>5638</v>
      </c>
      <c r="G153">
        <v>947.12</v>
      </c>
      <c r="H153">
        <v>115630</v>
      </c>
      <c r="I153">
        <v>197</v>
      </c>
      <c r="J153" t="s">
        <v>13</v>
      </c>
    </row>
    <row r="154" spans="1:10" x14ac:dyDescent="0.2">
      <c r="A154" s="1">
        <v>46046</v>
      </c>
      <c r="B154" t="s">
        <v>15</v>
      </c>
      <c r="C154" t="s">
        <v>16</v>
      </c>
      <c r="D154" t="s">
        <v>12</v>
      </c>
      <c r="E154">
        <v>146610</v>
      </c>
      <c r="F154">
        <v>5196</v>
      </c>
      <c r="G154">
        <v>851.74</v>
      </c>
      <c r="H154">
        <v>118599</v>
      </c>
      <c r="I154">
        <v>213</v>
      </c>
      <c r="J154" t="s">
        <v>13</v>
      </c>
    </row>
    <row r="155" spans="1:10" x14ac:dyDescent="0.2">
      <c r="A155" s="1">
        <v>46046</v>
      </c>
      <c r="B155" t="s">
        <v>15</v>
      </c>
      <c r="C155" t="s">
        <v>17</v>
      </c>
      <c r="D155" t="s">
        <v>12</v>
      </c>
      <c r="E155">
        <v>166780</v>
      </c>
      <c r="F155">
        <v>5379</v>
      </c>
      <c r="G155">
        <v>772.71</v>
      </c>
      <c r="H155">
        <v>136124</v>
      </c>
      <c r="I155">
        <v>235</v>
      </c>
      <c r="J155" t="s">
        <v>13</v>
      </c>
    </row>
    <row r="156" spans="1:10" x14ac:dyDescent="0.2">
      <c r="A156" s="1">
        <v>46046</v>
      </c>
      <c r="B156" t="s">
        <v>19</v>
      </c>
      <c r="C156" t="s">
        <v>11</v>
      </c>
      <c r="D156" t="s">
        <v>12</v>
      </c>
      <c r="E156">
        <v>161548</v>
      </c>
      <c r="F156">
        <v>6135</v>
      </c>
      <c r="G156">
        <v>863.99</v>
      </c>
      <c r="H156">
        <v>128669</v>
      </c>
      <c r="I156">
        <v>265</v>
      </c>
      <c r="J156" t="s">
        <v>13</v>
      </c>
    </row>
    <row r="157" spans="1:10" x14ac:dyDescent="0.2">
      <c r="A157" s="1">
        <v>46046</v>
      </c>
      <c r="B157" t="s">
        <v>19</v>
      </c>
      <c r="C157" t="s">
        <v>14</v>
      </c>
      <c r="D157" t="s">
        <v>12</v>
      </c>
      <c r="E157">
        <v>161740</v>
      </c>
      <c r="F157">
        <v>4639</v>
      </c>
      <c r="G157">
        <v>789.79</v>
      </c>
      <c r="H157">
        <v>124062</v>
      </c>
      <c r="I157">
        <v>180</v>
      </c>
      <c r="J157" t="s">
        <v>13</v>
      </c>
    </row>
    <row r="158" spans="1:10" x14ac:dyDescent="0.2">
      <c r="A158" s="1">
        <v>46046</v>
      </c>
      <c r="B158" t="s">
        <v>18</v>
      </c>
      <c r="C158" t="s">
        <v>11</v>
      </c>
      <c r="D158" t="s">
        <v>12</v>
      </c>
      <c r="E158">
        <v>107041</v>
      </c>
      <c r="F158">
        <v>3327</v>
      </c>
      <c r="G158">
        <v>543.67999999999995</v>
      </c>
      <c r="H158">
        <v>83864</v>
      </c>
      <c r="I158">
        <v>115</v>
      </c>
      <c r="J158" t="s">
        <v>13</v>
      </c>
    </row>
    <row r="159" spans="1:10" x14ac:dyDescent="0.2">
      <c r="A159" s="1">
        <v>46046</v>
      </c>
      <c r="B159" t="s">
        <v>18</v>
      </c>
      <c r="C159" t="s">
        <v>14</v>
      </c>
      <c r="D159" t="s">
        <v>12</v>
      </c>
      <c r="E159">
        <v>72742</v>
      </c>
      <c r="F159">
        <v>2617</v>
      </c>
      <c r="G159">
        <v>409.13</v>
      </c>
      <c r="H159">
        <v>54709</v>
      </c>
      <c r="I159">
        <v>64</v>
      </c>
      <c r="J159" t="s">
        <v>13</v>
      </c>
    </row>
    <row r="160" spans="1:10" x14ac:dyDescent="0.2">
      <c r="A160" s="1">
        <v>46047</v>
      </c>
      <c r="B160" t="s">
        <v>10</v>
      </c>
      <c r="C160" t="s">
        <v>11</v>
      </c>
      <c r="D160" t="s">
        <v>12</v>
      </c>
      <c r="E160">
        <v>85510</v>
      </c>
      <c r="F160">
        <v>2873</v>
      </c>
      <c r="G160">
        <v>481.94</v>
      </c>
      <c r="H160">
        <v>64031</v>
      </c>
      <c r="I160">
        <v>133</v>
      </c>
      <c r="J160" t="s">
        <v>13</v>
      </c>
    </row>
    <row r="161" spans="1:10" x14ac:dyDescent="0.2">
      <c r="A161" s="1">
        <v>46047</v>
      </c>
      <c r="B161" t="s">
        <v>10</v>
      </c>
      <c r="C161" t="s">
        <v>14</v>
      </c>
      <c r="D161" t="s">
        <v>12</v>
      </c>
      <c r="E161">
        <v>156942</v>
      </c>
      <c r="F161">
        <v>4492</v>
      </c>
      <c r="G161">
        <v>644.70000000000005</v>
      </c>
      <c r="H161">
        <v>116959</v>
      </c>
      <c r="I161">
        <v>112</v>
      </c>
      <c r="J161" t="s">
        <v>13</v>
      </c>
    </row>
    <row r="162" spans="1:10" x14ac:dyDescent="0.2">
      <c r="A162" s="1">
        <v>46047</v>
      </c>
      <c r="B162" t="s">
        <v>15</v>
      </c>
      <c r="C162" t="s">
        <v>16</v>
      </c>
      <c r="D162" t="s">
        <v>12</v>
      </c>
      <c r="E162">
        <v>130166</v>
      </c>
      <c r="F162">
        <v>5558</v>
      </c>
      <c r="G162">
        <v>961.52</v>
      </c>
      <c r="H162">
        <v>93734</v>
      </c>
      <c r="I162">
        <v>247</v>
      </c>
      <c r="J162" t="s">
        <v>13</v>
      </c>
    </row>
    <row r="163" spans="1:10" x14ac:dyDescent="0.2">
      <c r="A163" s="1">
        <v>46047</v>
      </c>
      <c r="B163" t="s">
        <v>15</v>
      </c>
      <c r="C163" t="s">
        <v>17</v>
      </c>
      <c r="D163" t="s">
        <v>12</v>
      </c>
      <c r="E163">
        <v>140772</v>
      </c>
      <c r="F163">
        <v>4930</v>
      </c>
      <c r="G163">
        <v>727.19</v>
      </c>
      <c r="H163">
        <v>106448</v>
      </c>
      <c r="I163">
        <v>205</v>
      </c>
      <c r="J163" t="s">
        <v>13</v>
      </c>
    </row>
    <row r="164" spans="1:10" x14ac:dyDescent="0.2">
      <c r="A164" s="1">
        <v>46047</v>
      </c>
      <c r="B164" t="s">
        <v>19</v>
      </c>
      <c r="C164" t="s">
        <v>11</v>
      </c>
      <c r="D164" t="s">
        <v>12</v>
      </c>
      <c r="E164">
        <v>170762</v>
      </c>
      <c r="F164">
        <v>6064</v>
      </c>
      <c r="G164">
        <v>861.48</v>
      </c>
      <c r="H164">
        <v>127508</v>
      </c>
      <c r="I164">
        <v>154</v>
      </c>
      <c r="J164" t="s">
        <v>13</v>
      </c>
    </row>
    <row r="165" spans="1:10" x14ac:dyDescent="0.2">
      <c r="A165" s="1">
        <v>46047</v>
      </c>
      <c r="B165" t="s">
        <v>19</v>
      </c>
      <c r="C165" t="s">
        <v>14</v>
      </c>
      <c r="D165" t="s">
        <v>12</v>
      </c>
      <c r="E165">
        <v>108852</v>
      </c>
      <c r="F165">
        <v>3858</v>
      </c>
      <c r="G165">
        <v>647.87</v>
      </c>
      <c r="H165">
        <v>79695</v>
      </c>
      <c r="I165">
        <v>182</v>
      </c>
      <c r="J165" t="s">
        <v>13</v>
      </c>
    </row>
    <row r="166" spans="1:10" x14ac:dyDescent="0.2">
      <c r="A166" s="1">
        <v>46047</v>
      </c>
      <c r="B166" t="s">
        <v>18</v>
      </c>
      <c r="C166" t="s">
        <v>11</v>
      </c>
      <c r="D166" t="s">
        <v>12</v>
      </c>
      <c r="E166">
        <v>167728</v>
      </c>
      <c r="F166">
        <v>6975</v>
      </c>
      <c r="G166">
        <v>1174.53</v>
      </c>
      <c r="H166">
        <v>125976</v>
      </c>
      <c r="I166">
        <v>155</v>
      </c>
      <c r="J166" t="s">
        <v>13</v>
      </c>
    </row>
    <row r="167" spans="1:10" x14ac:dyDescent="0.2">
      <c r="A167" s="1">
        <v>46047</v>
      </c>
      <c r="B167" t="s">
        <v>18</v>
      </c>
      <c r="C167" t="s">
        <v>14</v>
      </c>
      <c r="D167" t="s">
        <v>12</v>
      </c>
      <c r="E167">
        <v>130866</v>
      </c>
      <c r="F167">
        <v>3871</v>
      </c>
      <c r="G167">
        <v>695.58</v>
      </c>
      <c r="H167">
        <v>106170</v>
      </c>
      <c r="I167">
        <v>131</v>
      </c>
      <c r="J167" t="s">
        <v>13</v>
      </c>
    </row>
    <row r="168" spans="1:10" x14ac:dyDescent="0.2">
      <c r="A168" s="1">
        <v>46048</v>
      </c>
      <c r="B168" t="s">
        <v>10</v>
      </c>
      <c r="C168" t="s">
        <v>11</v>
      </c>
      <c r="D168" t="s">
        <v>12</v>
      </c>
      <c r="E168">
        <v>55396</v>
      </c>
      <c r="F168">
        <v>2161</v>
      </c>
      <c r="G168">
        <v>315.85000000000002</v>
      </c>
      <c r="H168">
        <v>45051</v>
      </c>
      <c r="I168">
        <v>63</v>
      </c>
      <c r="J168" t="s">
        <v>13</v>
      </c>
    </row>
    <row r="169" spans="1:10" x14ac:dyDescent="0.2">
      <c r="A169" s="1">
        <v>46048</v>
      </c>
      <c r="B169" t="s">
        <v>10</v>
      </c>
      <c r="C169" t="s">
        <v>14</v>
      </c>
      <c r="D169" t="s">
        <v>12</v>
      </c>
      <c r="E169">
        <v>75838</v>
      </c>
      <c r="F169">
        <v>2659</v>
      </c>
      <c r="G169">
        <v>423.58</v>
      </c>
      <c r="H169">
        <v>58184</v>
      </c>
      <c r="I169">
        <v>90</v>
      </c>
      <c r="J169" t="s">
        <v>13</v>
      </c>
    </row>
    <row r="170" spans="1:10" x14ac:dyDescent="0.2">
      <c r="A170" s="1">
        <v>46048</v>
      </c>
      <c r="B170" t="s">
        <v>15</v>
      </c>
      <c r="C170" t="s">
        <v>16</v>
      </c>
      <c r="D170" t="s">
        <v>12</v>
      </c>
      <c r="E170">
        <v>58958</v>
      </c>
      <c r="F170">
        <v>2035</v>
      </c>
      <c r="G170">
        <v>359.94</v>
      </c>
      <c r="H170">
        <v>45446</v>
      </c>
      <c r="I170">
        <v>91</v>
      </c>
      <c r="J170" t="s">
        <v>13</v>
      </c>
    </row>
    <row r="171" spans="1:10" x14ac:dyDescent="0.2">
      <c r="A171" s="1">
        <v>46048</v>
      </c>
      <c r="B171" t="s">
        <v>15</v>
      </c>
      <c r="C171" t="s">
        <v>17</v>
      </c>
      <c r="D171" t="s">
        <v>12</v>
      </c>
      <c r="E171">
        <v>49150</v>
      </c>
      <c r="F171">
        <v>1607</v>
      </c>
      <c r="G171">
        <v>275.76</v>
      </c>
      <c r="H171">
        <v>37427</v>
      </c>
      <c r="I171">
        <v>74</v>
      </c>
      <c r="J171" t="s">
        <v>13</v>
      </c>
    </row>
    <row r="172" spans="1:10" x14ac:dyDescent="0.2">
      <c r="A172" s="1">
        <v>46048</v>
      </c>
      <c r="B172" t="s">
        <v>18</v>
      </c>
      <c r="C172" t="s">
        <v>11</v>
      </c>
      <c r="D172" t="s">
        <v>12</v>
      </c>
      <c r="E172">
        <v>106550</v>
      </c>
      <c r="F172">
        <v>3467</v>
      </c>
      <c r="G172">
        <v>485.74</v>
      </c>
      <c r="H172">
        <v>84452</v>
      </c>
      <c r="I172">
        <v>151</v>
      </c>
      <c r="J172" t="s">
        <v>13</v>
      </c>
    </row>
    <row r="173" spans="1:10" x14ac:dyDescent="0.2">
      <c r="A173" s="1">
        <v>46048</v>
      </c>
      <c r="B173" t="s">
        <v>18</v>
      </c>
      <c r="C173" t="s">
        <v>14</v>
      </c>
      <c r="D173" t="s">
        <v>12</v>
      </c>
      <c r="E173">
        <v>116011</v>
      </c>
      <c r="F173">
        <v>5218</v>
      </c>
      <c r="G173">
        <v>832.72</v>
      </c>
      <c r="H173">
        <v>85251</v>
      </c>
      <c r="I173">
        <v>187</v>
      </c>
      <c r="J173" t="s">
        <v>13</v>
      </c>
    </row>
    <row r="174" spans="1:10" x14ac:dyDescent="0.2">
      <c r="A174" s="1">
        <v>46049</v>
      </c>
      <c r="B174" t="s">
        <v>10</v>
      </c>
      <c r="C174" t="s">
        <v>11</v>
      </c>
      <c r="D174" t="s">
        <v>12</v>
      </c>
      <c r="E174">
        <v>85236</v>
      </c>
      <c r="F174">
        <v>2868</v>
      </c>
      <c r="G174">
        <v>489.04</v>
      </c>
      <c r="H174">
        <v>64585</v>
      </c>
      <c r="I174">
        <v>132</v>
      </c>
      <c r="J174" t="s">
        <v>13</v>
      </c>
    </row>
    <row r="175" spans="1:10" x14ac:dyDescent="0.2">
      <c r="A175" s="1">
        <v>46049</v>
      </c>
      <c r="B175" t="s">
        <v>10</v>
      </c>
      <c r="C175" t="s">
        <v>14</v>
      </c>
      <c r="D175" t="s">
        <v>12</v>
      </c>
      <c r="E175">
        <v>64727</v>
      </c>
      <c r="F175">
        <v>2891</v>
      </c>
      <c r="G175">
        <v>432.36</v>
      </c>
      <c r="H175">
        <v>49082</v>
      </c>
      <c r="I175">
        <v>127</v>
      </c>
      <c r="J175" t="s">
        <v>13</v>
      </c>
    </row>
    <row r="176" spans="1:10" x14ac:dyDescent="0.2">
      <c r="A176" s="1">
        <v>46049</v>
      </c>
      <c r="B176" t="s">
        <v>15</v>
      </c>
      <c r="C176" t="s">
        <v>16</v>
      </c>
      <c r="D176" t="s">
        <v>12</v>
      </c>
      <c r="E176">
        <v>93841</v>
      </c>
      <c r="F176">
        <v>2697</v>
      </c>
      <c r="G176">
        <v>457.92</v>
      </c>
      <c r="H176">
        <v>74183</v>
      </c>
      <c r="I176">
        <v>116</v>
      </c>
      <c r="J176" t="s">
        <v>13</v>
      </c>
    </row>
    <row r="177" spans="1:10" x14ac:dyDescent="0.2">
      <c r="A177" s="1">
        <v>46049</v>
      </c>
      <c r="B177" t="s">
        <v>15</v>
      </c>
      <c r="C177" t="s">
        <v>17</v>
      </c>
      <c r="D177" t="s">
        <v>12</v>
      </c>
      <c r="E177">
        <v>90604</v>
      </c>
      <c r="F177">
        <v>4059</v>
      </c>
      <c r="G177">
        <v>696.91</v>
      </c>
      <c r="H177">
        <v>71142</v>
      </c>
      <c r="I177">
        <v>105</v>
      </c>
      <c r="J177" t="s">
        <v>13</v>
      </c>
    </row>
    <row r="178" spans="1:10" x14ac:dyDescent="0.2">
      <c r="A178" s="1">
        <v>46049</v>
      </c>
      <c r="B178" t="s">
        <v>18</v>
      </c>
      <c r="C178" t="s">
        <v>11</v>
      </c>
      <c r="D178" t="s">
        <v>12</v>
      </c>
      <c r="E178">
        <v>44852</v>
      </c>
      <c r="F178">
        <v>1352</v>
      </c>
      <c r="G178">
        <v>241.49</v>
      </c>
      <c r="H178">
        <v>33782</v>
      </c>
      <c r="I178">
        <v>33</v>
      </c>
      <c r="J178" t="s">
        <v>13</v>
      </c>
    </row>
    <row r="179" spans="1:10" x14ac:dyDescent="0.2">
      <c r="A179" s="1">
        <v>46049</v>
      </c>
      <c r="B179" t="s">
        <v>18</v>
      </c>
      <c r="C179" t="s">
        <v>14</v>
      </c>
      <c r="D179" t="s">
        <v>12</v>
      </c>
      <c r="E179">
        <v>97711</v>
      </c>
      <c r="F179">
        <v>2901</v>
      </c>
      <c r="G179">
        <v>511.79</v>
      </c>
      <c r="H179">
        <v>70501</v>
      </c>
      <c r="I179">
        <v>74</v>
      </c>
      <c r="J179" t="s">
        <v>13</v>
      </c>
    </row>
    <row r="180" spans="1:10" x14ac:dyDescent="0.2">
      <c r="A180" s="1">
        <v>46050</v>
      </c>
      <c r="B180" t="s">
        <v>10</v>
      </c>
      <c r="C180" t="s">
        <v>11</v>
      </c>
      <c r="D180" t="s">
        <v>12</v>
      </c>
      <c r="E180">
        <v>125823</v>
      </c>
      <c r="F180">
        <v>5597</v>
      </c>
      <c r="G180">
        <v>800.33</v>
      </c>
      <c r="H180">
        <v>100425</v>
      </c>
      <c r="I180">
        <v>161</v>
      </c>
      <c r="J180" t="s">
        <v>13</v>
      </c>
    </row>
    <row r="181" spans="1:10" x14ac:dyDescent="0.2">
      <c r="A181" s="1">
        <v>46050</v>
      </c>
      <c r="B181" t="s">
        <v>10</v>
      </c>
      <c r="C181" t="s">
        <v>14</v>
      </c>
      <c r="D181" t="s">
        <v>12</v>
      </c>
      <c r="E181">
        <v>121691</v>
      </c>
      <c r="F181">
        <v>4840</v>
      </c>
      <c r="G181">
        <v>803.41</v>
      </c>
      <c r="H181">
        <v>97982</v>
      </c>
      <c r="I181">
        <v>213</v>
      </c>
      <c r="J181" t="s">
        <v>13</v>
      </c>
    </row>
    <row r="182" spans="1:10" x14ac:dyDescent="0.2">
      <c r="A182" s="1">
        <v>46050</v>
      </c>
      <c r="B182" t="s">
        <v>15</v>
      </c>
      <c r="C182" t="s">
        <v>16</v>
      </c>
      <c r="D182" t="s">
        <v>12</v>
      </c>
      <c r="E182">
        <v>109942</v>
      </c>
      <c r="F182">
        <v>3788</v>
      </c>
      <c r="G182">
        <v>578.29999999999995</v>
      </c>
      <c r="H182">
        <v>87059</v>
      </c>
      <c r="I182">
        <v>158</v>
      </c>
      <c r="J182" t="s">
        <v>13</v>
      </c>
    </row>
    <row r="183" spans="1:10" x14ac:dyDescent="0.2">
      <c r="A183" s="1">
        <v>46050</v>
      </c>
      <c r="B183" t="s">
        <v>15</v>
      </c>
      <c r="C183" t="s">
        <v>17</v>
      </c>
      <c r="D183" t="s">
        <v>12</v>
      </c>
      <c r="E183">
        <v>110912</v>
      </c>
      <c r="F183">
        <v>3173</v>
      </c>
      <c r="G183">
        <v>452.9</v>
      </c>
      <c r="H183">
        <v>86856</v>
      </c>
      <c r="I183">
        <v>145</v>
      </c>
      <c r="J183" t="s">
        <v>13</v>
      </c>
    </row>
    <row r="184" spans="1:10" x14ac:dyDescent="0.2">
      <c r="A184" s="1">
        <v>46050</v>
      </c>
      <c r="B184" t="s">
        <v>18</v>
      </c>
      <c r="C184" t="s">
        <v>11</v>
      </c>
      <c r="D184" t="s">
        <v>12</v>
      </c>
      <c r="E184">
        <v>69817</v>
      </c>
      <c r="F184">
        <v>2841</v>
      </c>
      <c r="G184">
        <v>447.06</v>
      </c>
      <c r="H184">
        <v>50955</v>
      </c>
      <c r="I184">
        <v>109</v>
      </c>
      <c r="J184" t="s">
        <v>13</v>
      </c>
    </row>
    <row r="185" spans="1:10" x14ac:dyDescent="0.2">
      <c r="A185" s="1">
        <v>46050</v>
      </c>
      <c r="B185" t="s">
        <v>18</v>
      </c>
      <c r="C185" t="s">
        <v>14</v>
      </c>
      <c r="D185" t="s">
        <v>12</v>
      </c>
      <c r="E185">
        <v>53173</v>
      </c>
      <c r="F185">
        <v>1889</v>
      </c>
      <c r="G185">
        <v>316.89999999999998</v>
      </c>
      <c r="H185">
        <v>43088</v>
      </c>
      <c r="I185">
        <v>43</v>
      </c>
      <c r="J185" t="s">
        <v>13</v>
      </c>
    </row>
    <row r="186" spans="1:10" x14ac:dyDescent="0.2">
      <c r="A186" s="1">
        <v>46051</v>
      </c>
      <c r="B186" t="s">
        <v>10</v>
      </c>
      <c r="C186" t="s">
        <v>11</v>
      </c>
      <c r="D186" t="s">
        <v>12</v>
      </c>
      <c r="E186">
        <v>47355</v>
      </c>
      <c r="F186">
        <v>1562</v>
      </c>
      <c r="G186">
        <v>242.1</v>
      </c>
      <c r="H186">
        <v>34784</v>
      </c>
      <c r="I186">
        <v>55</v>
      </c>
      <c r="J186" t="s">
        <v>13</v>
      </c>
    </row>
    <row r="187" spans="1:10" x14ac:dyDescent="0.2">
      <c r="A187" s="1">
        <v>46051</v>
      </c>
      <c r="B187" t="s">
        <v>10</v>
      </c>
      <c r="C187" t="s">
        <v>14</v>
      </c>
      <c r="D187" t="s">
        <v>12</v>
      </c>
      <c r="E187">
        <v>114177</v>
      </c>
      <c r="F187">
        <v>4520</v>
      </c>
      <c r="G187">
        <v>665.35</v>
      </c>
      <c r="H187">
        <v>84206</v>
      </c>
      <c r="I187">
        <v>171</v>
      </c>
      <c r="J187" t="s">
        <v>13</v>
      </c>
    </row>
    <row r="188" spans="1:10" x14ac:dyDescent="0.2">
      <c r="A188" s="1">
        <v>46051</v>
      </c>
      <c r="B188" t="s">
        <v>15</v>
      </c>
      <c r="C188" t="s">
        <v>16</v>
      </c>
      <c r="D188" t="s">
        <v>12</v>
      </c>
      <c r="E188">
        <v>90140</v>
      </c>
      <c r="F188">
        <v>3473</v>
      </c>
      <c r="G188">
        <v>519.67999999999995</v>
      </c>
      <c r="H188">
        <v>73129</v>
      </c>
      <c r="I188">
        <v>89</v>
      </c>
      <c r="J188" t="s">
        <v>13</v>
      </c>
    </row>
    <row r="189" spans="1:10" x14ac:dyDescent="0.2">
      <c r="A189" s="1">
        <v>46051</v>
      </c>
      <c r="B189" t="s">
        <v>15</v>
      </c>
      <c r="C189" t="s">
        <v>17</v>
      </c>
      <c r="D189" t="s">
        <v>12</v>
      </c>
      <c r="E189">
        <v>100443</v>
      </c>
      <c r="F189">
        <v>3901</v>
      </c>
      <c r="G189">
        <v>617.85</v>
      </c>
      <c r="H189">
        <v>79016</v>
      </c>
      <c r="I189">
        <v>176</v>
      </c>
      <c r="J189" t="s">
        <v>13</v>
      </c>
    </row>
    <row r="190" spans="1:10" x14ac:dyDescent="0.2">
      <c r="A190" s="1">
        <v>46051</v>
      </c>
      <c r="B190" t="s">
        <v>18</v>
      </c>
      <c r="C190" t="s">
        <v>11</v>
      </c>
      <c r="D190" t="s">
        <v>12</v>
      </c>
      <c r="E190">
        <v>100981</v>
      </c>
      <c r="F190">
        <v>4374</v>
      </c>
      <c r="G190">
        <v>730.91</v>
      </c>
      <c r="H190">
        <v>74301</v>
      </c>
      <c r="I190">
        <v>146</v>
      </c>
      <c r="J190" t="s">
        <v>13</v>
      </c>
    </row>
    <row r="191" spans="1:10" x14ac:dyDescent="0.2">
      <c r="A191" s="1">
        <v>46051</v>
      </c>
      <c r="B191" t="s">
        <v>18</v>
      </c>
      <c r="C191" t="s">
        <v>14</v>
      </c>
      <c r="D191" t="s">
        <v>12</v>
      </c>
      <c r="E191">
        <v>85293</v>
      </c>
      <c r="F191">
        <v>3820</v>
      </c>
      <c r="G191">
        <v>580.51</v>
      </c>
      <c r="H191">
        <v>69616</v>
      </c>
      <c r="I191">
        <v>152</v>
      </c>
      <c r="J191" t="s">
        <v>13</v>
      </c>
    </row>
    <row r="192" spans="1:10" x14ac:dyDescent="0.2">
      <c r="A192" s="1">
        <v>46052</v>
      </c>
      <c r="B192" t="s">
        <v>10</v>
      </c>
      <c r="C192" t="s">
        <v>11</v>
      </c>
      <c r="D192" t="s">
        <v>12</v>
      </c>
      <c r="E192">
        <v>99878</v>
      </c>
      <c r="F192">
        <v>4231</v>
      </c>
      <c r="G192">
        <v>626.05999999999995</v>
      </c>
      <c r="H192">
        <v>75754</v>
      </c>
      <c r="I192">
        <v>146</v>
      </c>
      <c r="J192" t="s">
        <v>13</v>
      </c>
    </row>
    <row r="193" spans="1:10" x14ac:dyDescent="0.2">
      <c r="A193" s="1">
        <v>46052</v>
      </c>
      <c r="B193" t="s">
        <v>10</v>
      </c>
      <c r="C193" t="s">
        <v>14</v>
      </c>
      <c r="D193" t="s">
        <v>12</v>
      </c>
      <c r="E193">
        <v>71091</v>
      </c>
      <c r="F193">
        <v>2451</v>
      </c>
      <c r="G193">
        <v>378.33</v>
      </c>
      <c r="H193">
        <v>53288</v>
      </c>
      <c r="I193">
        <v>98</v>
      </c>
      <c r="J193" t="s">
        <v>13</v>
      </c>
    </row>
    <row r="194" spans="1:10" x14ac:dyDescent="0.2">
      <c r="A194" s="1">
        <v>46052</v>
      </c>
      <c r="B194" t="s">
        <v>15</v>
      </c>
      <c r="C194" t="s">
        <v>16</v>
      </c>
      <c r="D194" t="s">
        <v>12</v>
      </c>
      <c r="E194">
        <v>42875</v>
      </c>
      <c r="F194">
        <v>1913</v>
      </c>
      <c r="G194">
        <v>318.19</v>
      </c>
      <c r="H194">
        <v>32046</v>
      </c>
      <c r="I194">
        <v>70</v>
      </c>
      <c r="J194" t="s">
        <v>13</v>
      </c>
    </row>
    <row r="195" spans="1:10" x14ac:dyDescent="0.2">
      <c r="A195" s="1">
        <v>46052</v>
      </c>
      <c r="B195" t="s">
        <v>15</v>
      </c>
      <c r="C195" t="s">
        <v>17</v>
      </c>
      <c r="D195" t="s">
        <v>12</v>
      </c>
      <c r="E195">
        <v>129889</v>
      </c>
      <c r="F195">
        <v>5355</v>
      </c>
      <c r="G195">
        <v>958.25</v>
      </c>
      <c r="H195">
        <v>105347</v>
      </c>
      <c r="I195">
        <v>221</v>
      </c>
      <c r="J195" t="s">
        <v>13</v>
      </c>
    </row>
    <row r="196" spans="1:10" x14ac:dyDescent="0.2">
      <c r="A196" s="1">
        <v>46052</v>
      </c>
      <c r="B196" t="s">
        <v>18</v>
      </c>
      <c r="C196" t="s">
        <v>11</v>
      </c>
      <c r="D196" t="s">
        <v>12</v>
      </c>
      <c r="E196">
        <v>77512</v>
      </c>
      <c r="F196">
        <v>3192</v>
      </c>
      <c r="G196">
        <v>476.26</v>
      </c>
      <c r="H196">
        <v>62024</v>
      </c>
      <c r="I196">
        <v>88</v>
      </c>
      <c r="J196" t="s">
        <v>13</v>
      </c>
    </row>
    <row r="197" spans="1:10" x14ac:dyDescent="0.2">
      <c r="A197" s="1">
        <v>46052</v>
      </c>
      <c r="B197" t="s">
        <v>18</v>
      </c>
      <c r="C197" t="s">
        <v>14</v>
      </c>
      <c r="D197" t="s">
        <v>12</v>
      </c>
      <c r="E197">
        <v>64920</v>
      </c>
      <c r="F197">
        <v>2503</v>
      </c>
      <c r="G197">
        <v>418.28</v>
      </c>
      <c r="H197">
        <v>51422</v>
      </c>
      <c r="I197">
        <v>97</v>
      </c>
      <c r="J197" t="s">
        <v>13</v>
      </c>
    </row>
    <row r="198" spans="1:10" x14ac:dyDescent="0.2">
      <c r="A198" s="1">
        <v>46053</v>
      </c>
      <c r="B198" t="s">
        <v>10</v>
      </c>
      <c r="C198" t="s">
        <v>11</v>
      </c>
      <c r="D198" t="s">
        <v>12</v>
      </c>
      <c r="E198">
        <v>81097</v>
      </c>
      <c r="F198">
        <v>3136</v>
      </c>
      <c r="G198">
        <v>552.36</v>
      </c>
      <c r="H198">
        <v>63631</v>
      </c>
      <c r="I198">
        <v>94</v>
      </c>
      <c r="J198" t="s">
        <v>13</v>
      </c>
    </row>
    <row r="199" spans="1:10" x14ac:dyDescent="0.2">
      <c r="A199" s="1">
        <v>46053</v>
      </c>
      <c r="B199" t="s">
        <v>10</v>
      </c>
      <c r="C199" t="s">
        <v>14</v>
      </c>
      <c r="D199" t="s">
        <v>12</v>
      </c>
      <c r="E199">
        <v>136890</v>
      </c>
      <c r="F199">
        <v>3910</v>
      </c>
      <c r="G199">
        <v>604.46</v>
      </c>
      <c r="H199">
        <v>100359</v>
      </c>
      <c r="I199">
        <v>178</v>
      </c>
      <c r="J199" t="s">
        <v>13</v>
      </c>
    </row>
    <row r="200" spans="1:10" x14ac:dyDescent="0.2">
      <c r="A200" s="1">
        <v>46053</v>
      </c>
      <c r="B200" t="s">
        <v>15</v>
      </c>
      <c r="C200" t="s">
        <v>16</v>
      </c>
      <c r="D200" t="s">
        <v>12</v>
      </c>
      <c r="E200">
        <v>115952</v>
      </c>
      <c r="F200">
        <v>4720</v>
      </c>
      <c r="G200">
        <v>693.96</v>
      </c>
      <c r="H200">
        <v>85017</v>
      </c>
      <c r="I200">
        <v>170</v>
      </c>
      <c r="J200" t="s">
        <v>13</v>
      </c>
    </row>
    <row r="201" spans="1:10" x14ac:dyDescent="0.2">
      <c r="A201" s="1">
        <v>46053</v>
      </c>
      <c r="B201" t="s">
        <v>15</v>
      </c>
      <c r="C201" t="s">
        <v>17</v>
      </c>
      <c r="D201" t="s">
        <v>12</v>
      </c>
      <c r="E201">
        <v>123134</v>
      </c>
      <c r="F201">
        <v>4558</v>
      </c>
      <c r="G201">
        <v>804.67</v>
      </c>
      <c r="H201">
        <v>98882</v>
      </c>
      <c r="I201">
        <v>130</v>
      </c>
      <c r="J201" t="s">
        <v>13</v>
      </c>
    </row>
    <row r="202" spans="1:10" x14ac:dyDescent="0.2">
      <c r="A202" s="1">
        <v>46053</v>
      </c>
      <c r="B202" t="s">
        <v>19</v>
      </c>
      <c r="C202" t="s">
        <v>11</v>
      </c>
      <c r="D202" t="s">
        <v>12</v>
      </c>
      <c r="E202">
        <v>144418</v>
      </c>
      <c r="F202">
        <v>6418</v>
      </c>
      <c r="G202">
        <v>974.29</v>
      </c>
      <c r="H202">
        <v>116551</v>
      </c>
      <c r="I202">
        <v>275</v>
      </c>
      <c r="J202" t="s">
        <v>13</v>
      </c>
    </row>
    <row r="203" spans="1:10" x14ac:dyDescent="0.2">
      <c r="A203" s="1">
        <v>46053</v>
      </c>
      <c r="B203" t="s">
        <v>19</v>
      </c>
      <c r="C203" t="s">
        <v>14</v>
      </c>
      <c r="D203" t="s">
        <v>12</v>
      </c>
      <c r="E203">
        <v>141939</v>
      </c>
      <c r="F203">
        <v>6297</v>
      </c>
      <c r="G203">
        <v>917.03</v>
      </c>
      <c r="H203">
        <v>115914</v>
      </c>
      <c r="I203">
        <v>279</v>
      </c>
      <c r="J203" t="s">
        <v>13</v>
      </c>
    </row>
    <row r="204" spans="1:10" x14ac:dyDescent="0.2">
      <c r="A204" s="1">
        <v>46053</v>
      </c>
      <c r="B204" t="s">
        <v>18</v>
      </c>
      <c r="C204" t="s">
        <v>11</v>
      </c>
      <c r="D204" t="s">
        <v>12</v>
      </c>
      <c r="E204">
        <v>179753</v>
      </c>
      <c r="F204">
        <v>8027</v>
      </c>
      <c r="G204">
        <v>1434.35</v>
      </c>
      <c r="H204">
        <v>143884</v>
      </c>
      <c r="I204">
        <v>252</v>
      </c>
      <c r="J204" t="s">
        <v>13</v>
      </c>
    </row>
    <row r="205" spans="1:10" x14ac:dyDescent="0.2">
      <c r="A205" s="1">
        <v>46053</v>
      </c>
      <c r="B205" t="s">
        <v>18</v>
      </c>
      <c r="C205" t="s">
        <v>14</v>
      </c>
      <c r="D205" t="s">
        <v>12</v>
      </c>
      <c r="E205">
        <v>128403</v>
      </c>
      <c r="F205">
        <v>3625</v>
      </c>
      <c r="G205">
        <v>585.29999999999995</v>
      </c>
      <c r="H205">
        <v>98289</v>
      </c>
      <c r="I205">
        <v>143</v>
      </c>
      <c r="J205" t="s">
        <v>13</v>
      </c>
    </row>
    <row r="206" spans="1:10" x14ac:dyDescent="0.2">
      <c r="A206" s="1">
        <v>46054</v>
      </c>
      <c r="B206" t="s">
        <v>10</v>
      </c>
      <c r="C206" t="s">
        <v>11</v>
      </c>
      <c r="D206" t="s">
        <v>12</v>
      </c>
      <c r="E206">
        <v>179375</v>
      </c>
      <c r="F206">
        <v>5821</v>
      </c>
      <c r="G206">
        <v>903.66</v>
      </c>
      <c r="H206">
        <v>140603</v>
      </c>
      <c r="I206">
        <v>184</v>
      </c>
      <c r="J206" t="s">
        <v>13</v>
      </c>
    </row>
    <row r="207" spans="1:10" x14ac:dyDescent="0.2">
      <c r="A207" s="1">
        <v>46054</v>
      </c>
      <c r="B207" t="s">
        <v>10</v>
      </c>
      <c r="C207" t="s">
        <v>14</v>
      </c>
      <c r="D207" t="s">
        <v>12</v>
      </c>
      <c r="E207">
        <v>179832</v>
      </c>
      <c r="F207">
        <v>5750</v>
      </c>
      <c r="G207">
        <v>810.76</v>
      </c>
      <c r="H207">
        <v>145380</v>
      </c>
      <c r="I207">
        <v>210</v>
      </c>
      <c r="J207" t="s">
        <v>13</v>
      </c>
    </row>
    <row r="208" spans="1:10" x14ac:dyDescent="0.2">
      <c r="A208" s="1">
        <v>46054</v>
      </c>
      <c r="B208" t="s">
        <v>15</v>
      </c>
      <c r="C208" t="s">
        <v>16</v>
      </c>
      <c r="D208" t="s">
        <v>12</v>
      </c>
      <c r="E208">
        <v>167949</v>
      </c>
      <c r="F208">
        <v>5334</v>
      </c>
      <c r="G208">
        <v>760.25</v>
      </c>
      <c r="H208">
        <v>134759</v>
      </c>
      <c r="I208">
        <v>243</v>
      </c>
      <c r="J208" t="s">
        <v>13</v>
      </c>
    </row>
    <row r="209" spans="1:10" x14ac:dyDescent="0.2">
      <c r="A209" s="1">
        <v>46054</v>
      </c>
      <c r="B209" t="s">
        <v>15</v>
      </c>
      <c r="C209" t="s">
        <v>17</v>
      </c>
      <c r="D209" t="s">
        <v>12</v>
      </c>
      <c r="E209">
        <v>111451</v>
      </c>
      <c r="F209">
        <v>4350</v>
      </c>
      <c r="G209">
        <v>629.29999999999995</v>
      </c>
      <c r="H209">
        <v>80750</v>
      </c>
      <c r="I209">
        <v>99</v>
      </c>
      <c r="J209" t="s">
        <v>13</v>
      </c>
    </row>
    <row r="210" spans="1:10" x14ac:dyDescent="0.2">
      <c r="A210" s="1">
        <v>46054</v>
      </c>
      <c r="B210" t="s">
        <v>19</v>
      </c>
      <c r="C210" t="s">
        <v>11</v>
      </c>
      <c r="D210" t="s">
        <v>12</v>
      </c>
      <c r="E210">
        <v>146396</v>
      </c>
      <c r="F210">
        <v>4388</v>
      </c>
      <c r="G210">
        <v>655.53</v>
      </c>
      <c r="H210">
        <v>113274</v>
      </c>
      <c r="I210">
        <v>140</v>
      </c>
      <c r="J210" t="s">
        <v>13</v>
      </c>
    </row>
    <row r="211" spans="1:10" x14ac:dyDescent="0.2">
      <c r="A211" s="1">
        <v>46054</v>
      </c>
      <c r="B211" t="s">
        <v>19</v>
      </c>
      <c r="C211" t="s">
        <v>14</v>
      </c>
      <c r="D211" t="s">
        <v>12</v>
      </c>
      <c r="E211">
        <v>124080</v>
      </c>
      <c r="F211">
        <v>4888</v>
      </c>
      <c r="G211">
        <v>829.62</v>
      </c>
      <c r="H211">
        <v>101075</v>
      </c>
      <c r="I211">
        <v>160</v>
      </c>
      <c r="J211" t="s">
        <v>13</v>
      </c>
    </row>
    <row r="212" spans="1:10" x14ac:dyDescent="0.2">
      <c r="A212" s="1">
        <v>46054</v>
      </c>
      <c r="B212" t="s">
        <v>20</v>
      </c>
      <c r="C212" t="s">
        <v>11</v>
      </c>
      <c r="D212" t="s">
        <v>12</v>
      </c>
      <c r="E212">
        <v>84354</v>
      </c>
      <c r="F212">
        <v>3631</v>
      </c>
      <c r="G212">
        <v>603.46</v>
      </c>
      <c r="H212">
        <v>67767</v>
      </c>
      <c r="I212">
        <v>138</v>
      </c>
      <c r="J212" t="s">
        <v>13</v>
      </c>
    </row>
    <row r="213" spans="1:10" x14ac:dyDescent="0.2">
      <c r="A213" s="1">
        <v>46054</v>
      </c>
      <c r="B213" t="s">
        <v>20</v>
      </c>
      <c r="C213" t="s">
        <v>14</v>
      </c>
      <c r="D213" t="s">
        <v>12</v>
      </c>
      <c r="E213">
        <v>107332</v>
      </c>
      <c r="F213">
        <v>3064</v>
      </c>
      <c r="G213">
        <v>474.37</v>
      </c>
      <c r="H213">
        <v>82037</v>
      </c>
      <c r="I213">
        <v>143</v>
      </c>
      <c r="J213" t="s">
        <v>13</v>
      </c>
    </row>
    <row r="214" spans="1:10" x14ac:dyDescent="0.2">
      <c r="A214" s="1">
        <v>46055</v>
      </c>
      <c r="B214" t="s">
        <v>10</v>
      </c>
      <c r="C214" t="s">
        <v>11</v>
      </c>
      <c r="D214" t="s">
        <v>12</v>
      </c>
      <c r="E214">
        <v>87537</v>
      </c>
      <c r="F214">
        <v>2598</v>
      </c>
      <c r="G214">
        <v>434.98</v>
      </c>
      <c r="H214">
        <v>67792</v>
      </c>
      <c r="I214">
        <v>123</v>
      </c>
      <c r="J214" t="s">
        <v>13</v>
      </c>
    </row>
    <row r="215" spans="1:10" x14ac:dyDescent="0.2">
      <c r="A215" s="1">
        <v>46055</v>
      </c>
      <c r="B215" t="s">
        <v>10</v>
      </c>
      <c r="C215" t="s">
        <v>14</v>
      </c>
      <c r="D215" t="s">
        <v>12</v>
      </c>
      <c r="E215">
        <v>87012</v>
      </c>
      <c r="F215">
        <v>2525</v>
      </c>
      <c r="G215">
        <v>381.36</v>
      </c>
      <c r="H215">
        <v>71073</v>
      </c>
      <c r="I215">
        <v>117</v>
      </c>
      <c r="J215" t="s">
        <v>13</v>
      </c>
    </row>
    <row r="216" spans="1:10" x14ac:dyDescent="0.2">
      <c r="A216" s="1">
        <v>46055</v>
      </c>
      <c r="B216" t="s">
        <v>15</v>
      </c>
      <c r="C216" t="s">
        <v>16</v>
      </c>
      <c r="D216" t="s">
        <v>12</v>
      </c>
      <c r="E216">
        <v>99600</v>
      </c>
      <c r="F216">
        <v>2944</v>
      </c>
      <c r="G216">
        <v>437.14</v>
      </c>
      <c r="H216">
        <v>78081</v>
      </c>
      <c r="I216">
        <v>139</v>
      </c>
      <c r="J216" t="s">
        <v>13</v>
      </c>
    </row>
    <row r="217" spans="1:10" x14ac:dyDescent="0.2">
      <c r="A217" s="1">
        <v>46055</v>
      </c>
      <c r="B217" t="s">
        <v>15</v>
      </c>
      <c r="C217" t="s">
        <v>17</v>
      </c>
      <c r="D217" t="s">
        <v>12</v>
      </c>
      <c r="E217">
        <v>46629</v>
      </c>
      <c r="F217">
        <v>1929</v>
      </c>
      <c r="G217">
        <v>288.85000000000002</v>
      </c>
      <c r="H217">
        <v>34160</v>
      </c>
      <c r="I217">
        <v>70</v>
      </c>
      <c r="J217" t="s">
        <v>13</v>
      </c>
    </row>
    <row r="218" spans="1:10" x14ac:dyDescent="0.2">
      <c r="A218" s="1">
        <v>46055</v>
      </c>
      <c r="B218" t="s">
        <v>20</v>
      </c>
      <c r="C218" t="s">
        <v>11</v>
      </c>
      <c r="D218" t="s">
        <v>12</v>
      </c>
      <c r="E218">
        <v>48992</v>
      </c>
      <c r="F218">
        <v>2062</v>
      </c>
      <c r="G218">
        <v>334.39</v>
      </c>
      <c r="H218">
        <v>38147</v>
      </c>
      <c r="I218">
        <v>88</v>
      </c>
      <c r="J218" t="s">
        <v>13</v>
      </c>
    </row>
    <row r="219" spans="1:10" x14ac:dyDescent="0.2">
      <c r="A219" s="1">
        <v>46055</v>
      </c>
      <c r="B219" t="s">
        <v>20</v>
      </c>
      <c r="C219" t="s">
        <v>14</v>
      </c>
      <c r="D219" t="s">
        <v>12</v>
      </c>
      <c r="E219">
        <v>70539</v>
      </c>
      <c r="F219">
        <v>2369</v>
      </c>
      <c r="G219">
        <v>345.64</v>
      </c>
      <c r="H219">
        <v>57140</v>
      </c>
      <c r="I219">
        <v>52</v>
      </c>
      <c r="J219" t="s">
        <v>13</v>
      </c>
    </row>
    <row r="220" spans="1:10" x14ac:dyDescent="0.2">
      <c r="A220" s="1">
        <v>46056</v>
      </c>
      <c r="B220" t="s">
        <v>10</v>
      </c>
      <c r="C220" t="s">
        <v>11</v>
      </c>
      <c r="D220" t="s">
        <v>12</v>
      </c>
      <c r="E220">
        <v>58964</v>
      </c>
      <c r="F220">
        <v>2640</v>
      </c>
      <c r="G220">
        <v>426.65</v>
      </c>
      <c r="H220">
        <v>47162</v>
      </c>
      <c r="I220">
        <v>65</v>
      </c>
      <c r="J220" t="s">
        <v>13</v>
      </c>
    </row>
    <row r="221" spans="1:10" x14ac:dyDescent="0.2">
      <c r="A221" s="1">
        <v>46056</v>
      </c>
      <c r="B221" t="s">
        <v>10</v>
      </c>
      <c r="C221" t="s">
        <v>14</v>
      </c>
      <c r="D221" t="s">
        <v>12</v>
      </c>
      <c r="E221">
        <v>43379</v>
      </c>
      <c r="F221">
        <v>1311</v>
      </c>
      <c r="G221">
        <v>202.33</v>
      </c>
      <c r="H221">
        <v>34653</v>
      </c>
      <c r="I221">
        <v>48</v>
      </c>
      <c r="J221" t="s">
        <v>13</v>
      </c>
    </row>
    <row r="222" spans="1:10" x14ac:dyDescent="0.2">
      <c r="A222" s="1">
        <v>46056</v>
      </c>
      <c r="B222" t="s">
        <v>15</v>
      </c>
      <c r="C222" t="s">
        <v>16</v>
      </c>
      <c r="D222" t="s">
        <v>12</v>
      </c>
      <c r="E222">
        <v>42068</v>
      </c>
      <c r="F222">
        <v>1302</v>
      </c>
      <c r="G222">
        <v>185.01</v>
      </c>
      <c r="H222">
        <v>33409</v>
      </c>
      <c r="I222">
        <v>46</v>
      </c>
      <c r="J222" t="s">
        <v>13</v>
      </c>
    </row>
    <row r="223" spans="1:10" x14ac:dyDescent="0.2">
      <c r="A223" s="1">
        <v>46056</v>
      </c>
      <c r="B223" t="s">
        <v>15</v>
      </c>
      <c r="C223" t="s">
        <v>17</v>
      </c>
      <c r="D223" t="s">
        <v>12</v>
      </c>
      <c r="E223">
        <v>48330</v>
      </c>
      <c r="F223">
        <v>1744</v>
      </c>
      <c r="G223">
        <v>298.43</v>
      </c>
      <c r="H223">
        <v>37278</v>
      </c>
      <c r="I223">
        <v>43</v>
      </c>
      <c r="J223" t="s">
        <v>13</v>
      </c>
    </row>
    <row r="224" spans="1:10" x14ac:dyDescent="0.2">
      <c r="A224" s="1">
        <v>46056</v>
      </c>
      <c r="B224" t="s">
        <v>20</v>
      </c>
      <c r="C224" t="s">
        <v>11</v>
      </c>
      <c r="D224" t="s">
        <v>12</v>
      </c>
      <c r="E224">
        <v>106039</v>
      </c>
      <c r="F224">
        <v>3368</v>
      </c>
      <c r="G224">
        <v>554.39</v>
      </c>
      <c r="H224">
        <v>84059</v>
      </c>
      <c r="I224">
        <v>153</v>
      </c>
      <c r="J224" t="s">
        <v>13</v>
      </c>
    </row>
    <row r="225" spans="1:10" x14ac:dyDescent="0.2">
      <c r="A225" s="1">
        <v>46056</v>
      </c>
      <c r="B225" t="s">
        <v>20</v>
      </c>
      <c r="C225" t="s">
        <v>14</v>
      </c>
      <c r="D225" t="s">
        <v>12</v>
      </c>
      <c r="E225">
        <v>126363</v>
      </c>
      <c r="F225">
        <v>4658</v>
      </c>
      <c r="G225">
        <v>737.46</v>
      </c>
      <c r="H225">
        <v>103163</v>
      </c>
      <c r="I225">
        <v>109</v>
      </c>
      <c r="J225" t="s">
        <v>13</v>
      </c>
    </row>
    <row r="226" spans="1:10" x14ac:dyDescent="0.2">
      <c r="A226" s="1">
        <v>46057</v>
      </c>
      <c r="B226" t="s">
        <v>10</v>
      </c>
      <c r="C226" t="s">
        <v>11</v>
      </c>
      <c r="D226" t="s">
        <v>12</v>
      </c>
      <c r="E226">
        <v>102781</v>
      </c>
      <c r="F226">
        <v>4358</v>
      </c>
      <c r="G226">
        <v>684.43</v>
      </c>
      <c r="H226">
        <v>75111</v>
      </c>
      <c r="I226">
        <v>176</v>
      </c>
      <c r="J226" t="s">
        <v>13</v>
      </c>
    </row>
    <row r="227" spans="1:10" x14ac:dyDescent="0.2">
      <c r="A227" s="1">
        <v>46057</v>
      </c>
      <c r="B227" t="s">
        <v>10</v>
      </c>
      <c r="C227" t="s">
        <v>14</v>
      </c>
      <c r="D227" t="s">
        <v>12</v>
      </c>
      <c r="E227">
        <v>98138</v>
      </c>
      <c r="F227">
        <v>2870</v>
      </c>
      <c r="G227">
        <v>411.07</v>
      </c>
      <c r="H227">
        <v>76629</v>
      </c>
      <c r="I227">
        <v>68</v>
      </c>
      <c r="J227" t="s">
        <v>13</v>
      </c>
    </row>
    <row r="228" spans="1:10" x14ac:dyDescent="0.2">
      <c r="A228" s="1">
        <v>46057</v>
      </c>
      <c r="B228" t="s">
        <v>15</v>
      </c>
      <c r="C228" t="s">
        <v>16</v>
      </c>
      <c r="D228" t="s">
        <v>12</v>
      </c>
      <c r="E228">
        <v>76046</v>
      </c>
      <c r="F228">
        <v>2936</v>
      </c>
      <c r="G228">
        <v>479.79</v>
      </c>
      <c r="H228">
        <v>60168</v>
      </c>
      <c r="I228">
        <v>93</v>
      </c>
      <c r="J228" t="s">
        <v>13</v>
      </c>
    </row>
    <row r="229" spans="1:10" x14ac:dyDescent="0.2">
      <c r="A229" s="1">
        <v>46057</v>
      </c>
      <c r="B229" t="s">
        <v>15</v>
      </c>
      <c r="C229" t="s">
        <v>17</v>
      </c>
      <c r="D229" t="s">
        <v>12</v>
      </c>
      <c r="E229">
        <v>118301</v>
      </c>
      <c r="F229">
        <v>4379</v>
      </c>
      <c r="G229">
        <v>692.53</v>
      </c>
      <c r="H229">
        <v>92338</v>
      </c>
      <c r="I229">
        <v>107</v>
      </c>
      <c r="J229" t="s">
        <v>13</v>
      </c>
    </row>
    <row r="230" spans="1:10" x14ac:dyDescent="0.2">
      <c r="A230" s="1">
        <v>46057</v>
      </c>
      <c r="B230" t="s">
        <v>20</v>
      </c>
      <c r="C230" t="s">
        <v>11</v>
      </c>
      <c r="D230" t="s">
        <v>12</v>
      </c>
      <c r="E230">
        <v>54996</v>
      </c>
      <c r="F230">
        <v>2337</v>
      </c>
      <c r="G230">
        <v>388.03</v>
      </c>
      <c r="H230">
        <v>43826</v>
      </c>
      <c r="I230">
        <v>95</v>
      </c>
      <c r="J230" t="s">
        <v>13</v>
      </c>
    </row>
    <row r="231" spans="1:10" x14ac:dyDescent="0.2">
      <c r="A231" s="1">
        <v>46057</v>
      </c>
      <c r="B231" t="s">
        <v>20</v>
      </c>
      <c r="C231" t="s">
        <v>14</v>
      </c>
      <c r="D231" t="s">
        <v>12</v>
      </c>
      <c r="E231">
        <v>68183</v>
      </c>
      <c r="F231">
        <v>2407</v>
      </c>
      <c r="G231">
        <v>422.49</v>
      </c>
      <c r="H231">
        <v>51913</v>
      </c>
      <c r="I231">
        <v>104</v>
      </c>
      <c r="J231" t="s">
        <v>13</v>
      </c>
    </row>
    <row r="232" spans="1:10" x14ac:dyDescent="0.2">
      <c r="A232" s="1">
        <v>46058</v>
      </c>
      <c r="B232" t="s">
        <v>10</v>
      </c>
      <c r="C232" t="s">
        <v>11</v>
      </c>
      <c r="D232" t="s">
        <v>12</v>
      </c>
      <c r="E232">
        <v>92262</v>
      </c>
      <c r="F232">
        <v>3235</v>
      </c>
      <c r="G232">
        <v>465.2</v>
      </c>
      <c r="H232">
        <v>70366</v>
      </c>
      <c r="I232">
        <v>127</v>
      </c>
      <c r="J232" t="s">
        <v>13</v>
      </c>
    </row>
    <row r="233" spans="1:10" x14ac:dyDescent="0.2">
      <c r="A233" s="1">
        <v>46058</v>
      </c>
      <c r="B233" t="s">
        <v>10</v>
      </c>
      <c r="C233" t="s">
        <v>14</v>
      </c>
      <c r="D233" t="s">
        <v>12</v>
      </c>
      <c r="E233">
        <v>89060</v>
      </c>
      <c r="F233">
        <v>3937</v>
      </c>
      <c r="G233">
        <v>659.34</v>
      </c>
      <c r="H233">
        <v>68347</v>
      </c>
      <c r="I233">
        <v>95</v>
      </c>
      <c r="J233" t="s">
        <v>13</v>
      </c>
    </row>
    <row r="234" spans="1:10" x14ac:dyDescent="0.2">
      <c r="A234" s="1">
        <v>46058</v>
      </c>
      <c r="B234" t="s">
        <v>15</v>
      </c>
      <c r="C234" t="s">
        <v>16</v>
      </c>
      <c r="D234" t="s">
        <v>12</v>
      </c>
      <c r="E234">
        <v>51188</v>
      </c>
      <c r="F234">
        <v>1514</v>
      </c>
      <c r="G234">
        <v>217.81</v>
      </c>
      <c r="H234">
        <v>40637</v>
      </c>
      <c r="I234">
        <v>65</v>
      </c>
      <c r="J234" t="s">
        <v>13</v>
      </c>
    </row>
    <row r="235" spans="1:10" x14ac:dyDescent="0.2">
      <c r="A235" s="1">
        <v>46058</v>
      </c>
      <c r="B235" t="s">
        <v>15</v>
      </c>
      <c r="C235" t="s">
        <v>17</v>
      </c>
      <c r="D235" t="s">
        <v>12</v>
      </c>
      <c r="E235">
        <v>112924</v>
      </c>
      <c r="F235">
        <v>3277</v>
      </c>
      <c r="G235">
        <v>584.16999999999996</v>
      </c>
      <c r="H235">
        <v>87648</v>
      </c>
      <c r="I235">
        <v>129</v>
      </c>
      <c r="J235" t="s">
        <v>13</v>
      </c>
    </row>
    <row r="236" spans="1:10" x14ac:dyDescent="0.2">
      <c r="A236" s="1">
        <v>46058</v>
      </c>
      <c r="B236" t="s">
        <v>20</v>
      </c>
      <c r="C236" t="s">
        <v>11</v>
      </c>
      <c r="D236" t="s">
        <v>12</v>
      </c>
      <c r="E236">
        <v>93845</v>
      </c>
      <c r="F236">
        <v>3191</v>
      </c>
      <c r="G236">
        <v>531.66</v>
      </c>
      <c r="H236">
        <v>74609</v>
      </c>
      <c r="I236">
        <v>142</v>
      </c>
      <c r="J236" t="s">
        <v>13</v>
      </c>
    </row>
    <row r="237" spans="1:10" x14ac:dyDescent="0.2">
      <c r="A237" s="1">
        <v>46058</v>
      </c>
      <c r="B237" t="s">
        <v>20</v>
      </c>
      <c r="C237" t="s">
        <v>14</v>
      </c>
      <c r="D237" t="s">
        <v>12</v>
      </c>
      <c r="E237">
        <v>46743</v>
      </c>
      <c r="F237">
        <v>2078</v>
      </c>
      <c r="G237">
        <v>340.83</v>
      </c>
      <c r="H237">
        <v>35298</v>
      </c>
      <c r="I237">
        <v>76</v>
      </c>
      <c r="J237" t="s">
        <v>13</v>
      </c>
    </row>
    <row r="238" spans="1:10" x14ac:dyDescent="0.2">
      <c r="A238" s="1">
        <v>46059</v>
      </c>
      <c r="B238" t="s">
        <v>10</v>
      </c>
      <c r="C238" t="s">
        <v>11</v>
      </c>
      <c r="D238" t="s">
        <v>12</v>
      </c>
      <c r="E238">
        <v>67884</v>
      </c>
      <c r="F238">
        <v>2079</v>
      </c>
      <c r="G238">
        <v>331.16</v>
      </c>
      <c r="H238">
        <v>54628</v>
      </c>
      <c r="I238">
        <v>64</v>
      </c>
      <c r="J238" t="s">
        <v>13</v>
      </c>
    </row>
    <row r="239" spans="1:10" x14ac:dyDescent="0.2">
      <c r="A239" s="1">
        <v>46059</v>
      </c>
      <c r="B239" t="s">
        <v>10</v>
      </c>
      <c r="C239" t="s">
        <v>14</v>
      </c>
      <c r="D239" t="s">
        <v>12</v>
      </c>
      <c r="E239">
        <v>112910</v>
      </c>
      <c r="F239">
        <v>3867</v>
      </c>
      <c r="G239">
        <v>659.34</v>
      </c>
      <c r="H239">
        <v>87777</v>
      </c>
      <c r="I239">
        <v>166</v>
      </c>
      <c r="J239" t="s">
        <v>13</v>
      </c>
    </row>
    <row r="240" spans="1:10" x14ac:dyDescent="0.2">
      <c r="A240" s="1">
        <v>46059</v>
      </c>
      <c r="B240" t="s">
        <v>15</v>
      </c>
      <c r="C240" t="s">
        <v>16</v>
      </c>
      <c r="D240" t="s">
        <v>12</v>
      </c>
      <c r="E240">
        <v>113526</v>
      </c>
      <c r="F240">
        <v>5059</v>
      </c>
      <c r="G240">
        <v>873.88</v>
      </c>
      <c r="H240">
        <v>88704</v>
      </c>
      <c r="I240">
        <v>195</v>
      </c>
      <c r="J240" t="s">
        <v>13</v>
      </c>
    </row>
    <row r="241" spans="1:10" x14ac:dyDescent="0.2">
      <c r="A241" s="1">
        <v>46059</v>
      </c>
      <c r="B241" t="s">
        <v>15</v>
      </c>
      <c r="C241" t="s">
        <v>17</v>
      </c>
      <c r="D241" t="s">
        <v>12</v>
      </c>
      <c r="E241">
        <v>43441</v>
      </c>
      <c r="F241">
        <v>1666</v>
      </c>
      <c r="G241">
        <v>277.08</v>
      </c>
      <c r="H241">
        <v>34290</v>
      </c>
      <c r="I241">
        <v>37</v>
      </c>
      <c r="J241" t="s">
        <v>13</v>
      </c>
    </row>
    <row r="242" spans="1:10" x14ac:dyDescent="0.2">
      <c r="A242" s="1">
        <v>46059</v>
      </c>
      <c r="B242" t="s">
        <v>20</v>
      </c>
      <c r="C242" t="s">
        <v>11</v>
      </c>
      <c r="D242" t="s">
        <v>12</v>
      </c>
      <c r="E242">
        <v>75818</v>
      </c>
      <c r="F242">
        <v>3028</v>
      </c>
      <c r="G242">
        <v>461.34</v>
      </c>
      <c r="H242">
        <v>57165</v>
      </c>
      <c r="I242">
        <v>67</v>
      </c>
      <c r="J242" t="s">
        <v>13</v>
      </c>
    </row>
    <row r="243" spans="1:10" x14ac:dyDescent="0.2">
      <c r="A243" s="1">
        <v>46059</v>
      </c>
      <c r="B243" t="s">
        <v>20</v>
      </c>
      <c r="C243" t="s">
        <v>14</v>
      </c>
      <c r="D243" t="s">
        <v>12</v>
      </c>
      <c r="E243">
        <v>58776</v>
      </c>
      <c r="F243">
        <v>2211</v>
      </c>
      <c r="G243">
        <v>344.99</v>
      </c>
      <c r="H243">
        <v>43152</v>
      </c>
      <c r="I243">
        <v>85</v>
      </c>
      <c r="J243" t="s">
        <v>13</v>
      </c>
    </row>
    <row r="244" spans="1:10" x14ac:dyDescent="0.2">
      <c r="A244" s="1">
        <v>46060</v>
      </c>
      <c r="B244" t="s">
        <v>10</v>
      </c>
      <c r="C244" t="s">
        <v>11</v>
      </c>
      <c r="D244" t="s">
        <v>12</v>
      </c>
      <c r="E244">
        <v>61625</v>
      </c>
      <c r="F244">
        <v>1821</v>
      </c>
      <c r="G244">
        <v>293.58</v>
      </c>
      <c r="H244">
        <v>46688</v>
      </c>
      <c r="I244">
        <v>61</v>
      </c>
      <c r="J244" t="s">
        <v>13</v>
      </c>
    </row>
    <row r="245" spans="1:10" x14ac:dyDescent="0.2">
      <c r="A245" s="1">
        <v>46060</v>
      </c>
      <c r="B245" t="s">
        <v>10</v>
      </c>
      <c r="C245" t="s">
        <v>14</v>
      </c>
      <c r="D245" t="s">
        <v>12</v>
      </c>
      <c r="E245">
        <v>84883</v>
      </c>
      <c r="F245">
        <v>2910</v>
      </c>
      <c r="G245">
        <v>491.39</v>
      </c>
      <c r="H245">
        <v>67709</v>
      </c>
      <c r="I245">
        <v>106</v>
      </c>
      <c r="J245" t="s">
        <v>13</v>
      </c>
    </row>
    <row r="246" spans="1:10" x14ac:dyDescent="0.2">
      <c r="A246" s="1">
        <v>46060</v>
      </c>
      <c r="B246" t="s">
        <v>15</v>
      </c>
      <c r="C246" t="s">
        <v>16</v>
      </c>
      <c r="D246" t="s">
        <v>12</v>
      </c>
      <c r="E246">
        <v>71589</v>
      </c>
      <c r="F246">
        <v>3079</v>
      </c>
      <c r="G246">
        <v>450.22</v>
      </c>
      <c r="H246">
        <v>56945</v>
      </c>
      <c r="I246">
        <v>71</v>
      </c>
      <c r="J246" t="s">
        <v>13</v>
      </c>
    </row>
    <row r="247" spans="1:10" x14ac:dyDescent="0.2">
      <c r="A247" s="1">
        <v>46060</v>
      </c>
      <c r="B247" t="s">
        <v>15</v>
      </c>
      <c r="C247" t="s">
        <v>17</v>
      </c>
      <c r="D247" t="s">
        <v>12</v>
      </c>
      <c r="E247">
        <v>70970</v>
      </c>
      <c r="F247">
        <v>2315</v>
      </c>
      <c r="G247">
        <v>385.4</v>
      </c>
      <c r="H247">
        <v>54545</v>
      </c>
      <c r="I247">
        <v>77</v>
      </c>
      <c r="J247" t="s">
        <v>13</v>
      </c>
    </row>
    <row r="248" spans="1:10" x14ac:dyDescent="0.2">
      <c r="A248" s="1">
        <v>46060</v>
      </c>
      <c r="B248" t="s">
        <v>19</v>
      </c>
      <c r="C248" t="s">
        <v>11</v>
      </c>
      <c r="D248" t="s">
        <v>12</v>
      </c>
      <c r="E248">
        <v>106125</v>
      </c>
      <c r="F248">
        <v>3360</v>
      </c>
      <c r="G248">
        <v>539.26</v>
      </c>
      <c r="H248">
        <v>80073</v>
      </c>
      <c r="I248">
        <v>83</v>
      </c>
      <c r="J248" t="s">
        <v>13</v>
      </c>
    </row>
    <row r="249" spans="1:10" x14ac:dyDescent="0.2">
      <c r="A249" s="1">
        <v>46060</v>
      </c>
      <c r="B249" t="s">
        <v>19</v>
      </c>
      <c r="C249" t="s">
        <v>14</v>
      </c>
      <c r="D249" t="s">
        <v>12</v>
      </c>
      <c r="E249">
        <v>180453</v>
      </c>
      <c r="F249">
        <v>7134</v>
      </c>
      <c r="G249">
        <v>1137.6300000000001</v>
      </c>
      <c r="H249">
        <v>141964</v>
      </c>
      <c r="I249">
        <v>165</v>
      </c>
      <c r="J249" t="s">
        <v>13</v>
      </c>
    </row>
    <row r="250" spans="1:10" x14ac:dyDescent="0.2">
      <c r="A250" s="1">
        <v>46060</v>
      </c>
      <c r="B250" t="s">
        <v>20</v>
      </c>
      <c r="C250" t="s">
        <v>11</v>
      </c>
      <c r="D250" t="s">
        <v>12</v>
      </c>
      <c r="E250">
        <v>128529</v>
      </c>
      <c r="F250">
        <v>5749</v>
      </c>
      <c r="G250">
        <v>817.46</v>
      </c>
      <c r="H250">
        <v>95168</v>
      </c>
      <c r="I250">
        <v>267</v>
      </c>
      <c r="J250" t="s">
        <v>13</v>
      </c>
    </row>
    <row r="251" spans="1:10" x14ac:dyDescent="0.2">
      <c r="A251" s="1">
        <v>46060</v>
      </c>
      <c r="B251" t="s">
        <v>20</v>
      </c>
      <c r="C251" t="s">
        <v>14</v>
      </c>
      <c r="D251" t="s">
        <v>12</v>
      </c>
      <c r="E251">
        <v>81181</v>
      </c>
      <c r="F251">
        <v>3327</v>
      </c>
      <c r="G251">
        <v>504.3</v>
      </c>
      <c r="H251">
        <v>59424</v>
      </c>
      <c r="I251">
        <v>116</v>
      </c>
      <c r="J251" t="s">
        <v>13</v>
      </c>
    </row>
    <row r="252" spans="1:10" x14ac:dyDescent="0.2">
      <c r="A252" s="1">
        <v>46061</v>
      </c>
      <c r="B252" t="s">
        <v>10</v>
      </c>
      <c r="C252" t="s">
        <v>11</v>
      </c>
      <c r="D252" t="s">
        <v>12</v>
      </c>
      <c r="E252">
        <v>135024</v>
      </c>
      <c r="F252">
        <v>4183</v>
      </c>
      <c r="G252">
        <v>649.24</v>
      </c>
      <c r="H252">
        <v>106718</v>
      </c>
      <c r="I252">
        <v>146</v>
      </c>
      <c r="J252" t="s">
        <v>13</v>
      </c>
    </row>
    <row r="253" spans="1:10" x14ac:dyDescent="0.2">
      <c r="A253" s="1">
        <v>46061</v>
      </c>
      <c r="B253" t="s">
        <v>10</v>
      </c>
      <c r="C253" t="s">
        <v>14</v>
      </c>
      <c r="D253" t="s">
        <v>12</v>
      </c>
      <c r="E253">
        <v>178586</v>
      </c>
      <c r="F253">
        <v>7448</v>
      </c>
      <c r="G253">
        <v>1064.19</v>
      </c>
      <c r="H253">
        <v>143971</v>
      </c>
      <c r="I253">
        <v>172</v>
      </c>
      <c r="J253" t="s">
        <v>13</v>
      </c>
    </row>
    <row r="254" spans="1:10" x14ac:dyDescent="0.2">
      <c r="A254" s="1">
        <v>46061</v>
      </c>
      <c r="B254" t="s">
        <v>15</v>
      </c>
      <c r="C254" t="s">
        <v>16</v>
      </c>
      <c r="D254" t="s">
        <v>12</v>
      </c>
      <c r="E254">
        <v>59438</v>
      </c>
      <c r="F254">
        <v>2128</v>
      </c>
      <c r="G254">
        <v>304.55</v>
      </c>
      <c r="H254">
        <v>44656</v>
      </c>
      <c r="I254">
        <v>70</v>
      </c>
      <c r="J254" t="s">
        <v>13</v>
      </c>
    </row>
    <row r="255" spans="1:10" x14ac:dyDescent="0.2">
      <c r="A255" s="1">
        <v>46061</v>
      </c>
      <c r="B255" t="s">
        <v>15</v>
      </c>
      <c r="C255" t="s">
        <v>17</v>
      </c>
      <c r="D255" t="s">
        <v>12</v>
      </c>
      <c r="E255">
        <v>130211</v>
      </c>
      <c r="F255">
        <v>5216</v>
      </c>
      <c r="G255">
        <v>817.39</v>
      </c>
      <c r="H255">
        <v>95251</v>
      </c>
      <c r="I255">
        <v>117</v>
      </c>
      <c r="J255" t="s">
        <v>13</v>
      </c>
    </row>
    <row r="256" spans="1:10" x14ac:dyDescent="0.2">
      <c r="A256" s="1">
        <v>46061</v>
      </c>
      <c r="B256" t="s">
        <v>19</v>
      </c>
      <c r="C256" t="s">
        <v>11</v>
      </c>
      <c r="D256" t="s">
        <v>12</v>
      </c>
      <c r="E256">
        <v>115595</v>
      </c>
      <c r="F256">
        <v>3574</v>
      </c>
      <c r="G256">
        <v>635.83000000000004</v>
      </c>
      <c r="H256">
        <v>88546</v>
      </c>
      <c r="I256">
        <v>142</v>
      </c>
      <c r="J256" t="s">
        <v>13</v>
      </c>
    </row>
    <row r="257" spans="1:10" x14ac:dyDescent="0.2">
      <c r="A257" s="1">
        <v>46061</v>
      </c>
      <c r="B257" t="s">
        <v>19</v>
      </c>
      <c r="C257" t="s">
        <v>14</v>
      </c>
      <c r="D257" t="s">
        <v>12</v>
      </c>
      <c r="E257">
        <v>122399</v>
      </c>
      <c r="F257">
        <v>3610</v>
      </c>
      <c r="G257">
        <v>627.34</v>
      </c>
      <c r="H257">
        <v>91105</v>
      </c>
      <c r="I257">
        <v>134</v>
      </c>
      <c r="J257" t="s">
        <v>13</v>
      </c>
    </row>
    <row r="258" spans="1:10" x14ac:dyDescent="0.2">
      <c r="A258" s="1">
        <v>46061</v>
      </c>
      <c r="B258" t="s">
        <v>20</v>
      </c>
      <c r="C258" t="s">
        <v>11</v>
      </c>
      <c r="D258" t="s">
        <v>12</v>
      </c>
      <c r="E258">
        <v>152146</v>
      </c>
      <c r="F258">
        <v>4463</v>
      </c>
      <c r="G258">
        <v>780.23</v>
      </c>
      <c r="H258">
        <v>120892</v>
      </c>
      <c r="I258">
        <v>123</v>
      </c>
      <c r="J258" t="s">
        <v>13</v>
      </c>
    </row>
    <row r="259" spans="1:10" x14ac:dyDescent="0.2">
      <c r="A259" s="1">
        <v>46061</v>
      </c>
      <c r="B259" t="s">
        <v>20</v>
      </c>
      <c r="C259" t="s">
        <v>14</v>
      </c>
      <c r="D259" t="s">
        <v>12</v>
      </c>
      <c r="E259">
        <v>86851</v>
      </c>
      <c r="F259">
        <v>2544</v>
      </c>
      <c r="G259">
        <v>420.6</v>
      </c>
      <c r="H259">
        <v>67141</v>
      </c>
      <c r="I259">
        <v>68</v>
      </c>
      <c r="J259" t="s">
        <v>13</v>
      </c>
    </row>
    <row r="260" spans="1:10" x14ac:dyDescent="0.2">
      <c r="A260" s="1">
        <v>46062</v>
      </c>
      <c r="B260" t="s">
        <v>10</v>
      </c>
      <c r="C260" t="s">
        <v>11</v>
      </c>
      <c r="D260" t="s">
        <v>12</v>
      </c>
      <c r="E260">
        <v>137268</v>
      </c>
      <c r="F260">
        <v>4662</v>
      </c>
      <c r="G260">
        <v>831.37</v>
      </c>
      <c r="H260">
        <v>107692</v>
      </c>
      <c r="I260">
        <v>120</v>
      </c>
      <c r="J260" t="s">
        <v>13</v>
      </c>
    </row>
    <row r="261" spans="1:10" x14ac:dyDescent="0.2">
      <c r="A261" s="1">
        <v>46062</v>
      </c>
      <c r="B261" t="s">
        <v>10</v>
      </c>
      <c r="C261" t="s">
        <v>14</v>
      </c>
      <c r="D261" t="s">
        <v>12</v>
      </c>
      <c r="E261">
        <v>85558</v>
      </c>
      <c r="F261">
        <v>2608</v>
      </c>
      <c r="G261">
        <v>385.7</v>
      </c>
      <c r="H261">
        <v>66755</v>
      </c>
      <c r="I261">
        <v>108</v>
      </c>
      <c r="J261" t="s">
        <v>13</v>
      </c>
    </row>
    <row r="262" spans="1:10" x14ac:dyDescent="0.2">
      <c r="A262" s="1">
        <v>46062</v>
      </c>
      <c r="B262" t="s">
        <v>15</v>
      </c>
      <c r="C262" t="s">
        <v>16</v>
      </c>
      <c r="D262" t="s">
        <v>12</v>
      </c>
      <c r="E262">
        <v>201468</v>
      </c>
      <c r="F262">
        <v>5899</v>
      </c>
      <c r="G262">
        <v>1050.33</v>
      </c>
      <c r="H262">
        <v>157708</v>
      </c>
      <c r="I262">
        <v>200</v>
      </c>
      <c r="J262" t="s">
        <v>13</v>
      </c>
    </row>
    <row r="263" spans="1:10" x14ac:dyDescent="0.2">
      <c r="A263" s="1">
        <v>46062</v>
      </c>
      <c r="B263" t="s">
        <v>15</v>
      </c>
      <c r="C263" t="s">
        <v>17</v>
      </c>
      <c r="D263" t="s">
        <v>12</v>
      </c>
      <c r="E263">
        <v>182222</v>
      </c>
      <c r="F263">
        <v>7456</v>
      </c>
      <c r="G263">
        <v>1177.72</v>
      </c>
      <c r="H263">
        <v>148039</v>
      </c>
      <c r="I263">
        <v>273</v>
      </c>
      <c r="J263" t="s">
        <v>13</v>
      </c>
    </row>
    <row r="264" spans="1:10" x14ac:dyDescent="0.2">
      <c r="A264" s="1">
        <v>46062</v>
      </c>
      <c r="B264" t="s">
        <v>20</v>
      </c>
      <c r="C264" t="s">
        <v>11</v>
      </c>
      <c r="D264" t="s">
        <v>12</v>
      </c>
      <c r="E264">
        <v>197230</v>
      </c>
      <c r="F264">
        <v>8830</v>
      </c>
      <c r="G264">
        <v>1350.36</v>
      </c>
      <c r="H264">
        <v>161156</v>
      </c>
      <c r="I264">
        <v>266</v>
      </c>
      <c r="J264" t="s">
        <v>13</v>
      </c>
    </row>
    <row r="265" spans="1:10" x14ac:dyDescent="0.2">
      <c r="A265" s="1">
        <v>46062</v>
      </c>
      <c r="B265" t="s">
        <v>20</v>
      </c>
      <c r="C265" t="s">
        <v>14</v>
      </c>
      <c r="D265" t="s">
        <v>12</v>
      </c>
      <c r="E265">
        <v>156224</v>
      </c>
      <c r="F265">
        <v>4555</v>
      </c>
      <c r="G265">
        <v>718.27</v>
      </c>
      <c r="H265">
        <v>117212</v>
      </c>
      <c r="I265">
        <v>132</v>
      </c>
      <c r="J265" t="s">
        <v>13</v>
      </c>
    </row>
    <row r="266" spans="1:10" x14ac:dyDescent="0.2">
      <c r="A266" s="1">
        <v>46063</v>
      </c>
      <c r="B266" t="s">
        <v>10</v>
      </c>
      <c r="C266" t="s">
        <v>11</v>
      </c>
      <c r="D266" t="s">
        <v>12</v>
      </c>
      <c r="E266">
        <v>75779</v>
      </c>
      <c r="F266">
        <v>2575</v>
      </c>
      <c r="G266">
        <v>368.14</v>
      </c>
      <c r="H266">
        <v>58059</v>
      </c>
      <c r="I266">
        <v>59</v>
      </c>
      <c r="J266" t="s">
        <v>13</v>
      </c>
    </row>
    <row r="267" spans="1:10" x14ac:dyDescent="0.2">
      <c r="A267" s="1">
        <v>46063</v>
      </c>
      <c r="B267" t="s">
        <v>10</v>
      </c>
      <c r="C267" t="s">
        <v>14</v>
      </c>
      <c r="D267" t="s">
        <v>12</v>
      </c>
      <c r="E267">
        <v>141329</v>
      </c>
      <c r="F267">
        <v>5955</v>
      </c>
      <c r="G267">
        <v>851.98</v>
      </c>
      <c r="H267">
        <v>113971</v>
      </c>
      <c r="I267">
        <v>263</v>
      </c>
      <c r="J267" t="s">
        <v>13</v>
      </c>
    </row>
    <row r="268" spans="1:10" x14ac:dyDescent="0.2">
      <c r="A268" s="1">
        <v>46063</v>
      </c>
      <c r="B268" t="s">
        <v>15</v>
      </c>
      <c r="C268" t="s">
        <v>16</v>
      </c>
      <c r="D268" t="s">
        <v>12</v>
      </c>
      <c r="E268">
        <v>192976</v>
      </c>
      <c r="F268">
        <v>7352</v>
      </c>
      <c r="G268">
        <v>1142.3499999999999</v>
      </c>
      <c r="H268">
        <v>150141</v>
      </c>
      <c r="I268">
        <v>344</v>
      </c>
      <c r="J268" t="s">
        <v>13</v>
      </c>
    </row>
    <row r="269" spans="1:10" x14ac:dyDescent="0.2">
      <c r="A269" s="1">
        <v>46063</v>
      </c>
      <c r="B269" t="s">
        <v>15</v>
      </c>
      <c r="C269" t="s">
        <v>17</v>
      </c>
      <c r="D269" t="s">
        <v>12</v>
      </c>
      <c r="E269">
        <v>72601</v>
      </c>
      <c r="F269">
        <v>2587</v>
      </c>
      <c r="G269">
        <v>445.98</v>
      </c>
      <c r="H269">
        <v>57005</v>
      </c>
      <c r="I269">
        <v>78</v>
      </c>
      <c r="J269" t="s">
        <v>13</v>
      </c>
    </row>
    <row r="270" spans="1:10" x14ac:dyDescent="0.2">
      <c r="A270" s="1">
        <v>46063</v>
      </c>
      <c r="B270" t="s">
        <v>20</v>
      </c>
      <c r="C270" t="s">
        <v>11</v>
      </c>
      <c r="D270" t="s">
        <v>12</v>
      </c>
      <c r="E270">
        <v>163745</v>
      </c>
      <c r="F270">
        <v>5980</v>
      </c>
      <c r="G270">
        <v>1066.29</v>
      </c>
      <c r="H270">
        <v>125273</v>
      </c>
      <c r="I270">
        <v>257</v>
      </c>
      <c r="J270" t="s">
        <v>13</v>
      </c>
    </row>
    <row r="271" spans="1:10" x14ac:dyDescent="0.2">
      <c r="A271" s="1">
        <v>46063</v>
      </c>
      <c r="B271" t="s">
        <v>20</v>
      </c>
      <c r="C271" t="s">
        <v>14</v>
      </c>
      <c r="D271" t="s">
        <v>12</v>
      </c>
      <c r="E271">
        <v>136024</v>
      </c>
      <c r="F271">
        <v>6080</v>
      </c>
      <c r="G271">
        <v>871.71</v>
      </c>
      <c r="H271">
        <v>106726</v>
      </c>
      <c r="I271">
        <v>139</v>
      </c>
      <c r="J271" t="s">
        <v>13</v>
      </c>
    </row>
    <row r="272" spans="1:10" x14ac:dyDescent="0.2">
      <c r="A272" s="1">
        <v>46064</v>
      </c>
      <c r="B272" t="s">
        <v>10</v>
      </c>
      <c r="C272" t="s">
        <v>11</v>
      </c>
      <c r="D272" t="s">
        <v>12</v>
      </c>
      <c r="E272">
        <v>155803</v>
      </c>
      <c r="F272">
        <v>6987</v>
      </c>
      <c r="G272">
        <v>1124.6500000000001</v>
      </c>
      <c r="H272">
        <v>121679</v>
      </c>
      <c r="I272">
        <v>219</v>
      </c>
      <c r="J272" t="s">
        <v>13</v>
      </c>
    </row>
    <row r="273" spans="1:10" x14ac:dyDescent="0.2">
      <c r="A273" s="1">
        <v>46064</v>
      </c>
      <c r="B273" t="s">
        <v>10</v>
      </c>
      <c r="C273" t="s">
        <v>14</v>
      </c>
      <c r="D273" t="s">
        <v>12</v>
      </c>
      <c r="E273">
        <v>123326</v>
      </c>
      <c r="F273">
        <v>4265</v>
      </c>
      <c r="G273">
        <v>729.22</v>
      </c>
      <c r="H273">
        <v>97167</v>
      </c>
      <c r="I273">
        <v>99</v>
      </c>
      <c r="J273" t="s">
        <v>13</v>
      </c>
    </row>
    <row r="274" spans="1:10" x14ac:dyDescent="0.2">
      <c r="A274" s="1">
        <v>46064</v>
      </c>
      <c r="B274" t="s">
        <v>15</v>
      </c>
      <c r="C274" t="s">
        <v>16</v>
      </c>
      <c r="D274" t="s">
        <v>12</v>
      </c>
      <c r="E274">
        <v>196305</v>
      </c>
      <c r="F274">
        <v>7656</v>
      </c>
      <c r="G274">
        <v>1092.02</v>
      </c>
      <c r="H274">
        <v>143194</v>
      </c>
      <c r="I274">
        <v>303</v>
      </c>
      <c r="J274" t="s">
        <v>13</v>
      </c>
    </row>
    <row r="275" spans="1:10" x14ac:dyDescent="0.2">
      <c r="A275" s="1">
        <v>46064</v>
      </c>
      <c r="B275" t="s">
        <v>15</v>
      </c>
      <c r="C275" t="s">
        <v>17</v>
      </c>
      <c r="D275" t="s">
        <v>12</v>
      </c>
      <c r="E275">
        <v>123588</v>
      </c>
      <c r="F275">
        <v>3989</v>
      </c>
      <c r="G275">
        <v>694.34</v>
      </c>
      <c r="H275">
        <v>100902</v>
      </c>
      <c r="I275">
        <v>150</v>
      </c>
      <c r="J275" t="s">
        <v>13</v>
      </c>
    </row>
    <row r="276" spans="1:10" x14ac:dyDescent="0.2">
      <c r="A276" s="1">
        <v>46064</v>
      </c>
      <c r="B276" t="s">
        <v>20</v>
      </c>
      <c r="C276" t="s">
        <v>11</v>
      </c>
      <c r="D276" t="s">
        <v>12</v>
      </c>
      <c r="E276">
        <v>95534</v>
      </c>
      <c r="F276">
        <v>3216</v>
      </c>
      <c r="G276">
        <v>525.20000000000005</v>
      </c>
      <c r="H276">
        <v>70135</v>
      </c>
      <c r="I276">
        <v>100</v>
      </c>
      <c r="J276" t="s">
        <v>13</v>
      </c>
    </row>
    <row r="277" spans="1:10" x14ac:dyDescent="0.2">
      <c r="A277" s="1">
        <v>46064</v>
      </c>
      <c r="B277" t="s">
        <v>20</v>
      </c>
      <c r="C277" t="s">
        <v>14</v>
      </c>
      <c r="D277" t="s">
        <v>12</v>
      </c>
      <c r="E277">
        <v>201584</v>
      </c>
      <c r="F277">
        <v>8037</v>
      </c>
      <c r="G277">
        <v>1251.19</v>
      </c>
      <c r="H277">
        <v>157135</v>
      </c>
      <c r="I277">
        <v>372</v>
      </c>
      <c r="J277" t="s">
        <v>13</v>
      </c>
    </row>
    <row r="278" spans="1:10" x14ac:dyDescent="0.2">
      <c r="A278" s="1">
        <v>46065</v>
      </c>
      <c r="B278" t="s">
        <v>10</v>
      </c>
      <c r="C278" t="s">
        <v>11</v>
      </c>
      <c r="D278" t="s">
        <v>12</v>
      </c>
      <c r="E278">
        <v>128923</v>
      </c>
      <c r="F278">
        <v>4834</v>
      </c>
      <c r="G278">
        <v>801.19</v>
      </c>
      <c r="H278">
        <v>97059</v>
      </c>
      <c r="I278">
        <v>122</v>
      </c>
      <c r="J278" t="s">
        <v>13</v>
      </c>
    </row>
    <row r="279" spans="1:10" x14ac:dyDescent="0.2">
      <c r="A279" s="1">
        <v>46065</v>
      </c>
      <c r="B279" t="s">
        <v>10</v>
      </c>
      <c r="C279" t="s">
        <v>14</v>
      </c>
      <c r="D279" t="s">
        <v>12</v>
      </c>
      <c r="E279">
        <v>207740</v>
      </c>
      <c r="F279">
        <v>9039</v>
      </c>
      <c r="G279">
        <v>1299.25</v>
      </c>
      <c r="H279">
        <v>163500</v>
      </c>
      <c r="I279">
        <v>318</v>
      </c>
      <c r="J279" t="s">
        <v>13</v>
      </c>
    </row>
    <row r="280" spans="1:10" x14ac:dyDescent="0.2">
      <c r="A280" s="1">
        <v>46065</v>
      </c>
      <c r="B280" t="s">
        <v>15</v>
      </c>
      <c r="C280" t="s">
        <v>16</v>
      </c>
      <c r="D280" t="s">
        <v>12</v>
      </c>
      <c r="E280">
        <v>67822</v>
      </c>
      <c r="F280">
        <v>2317</v>
      </c>
      <c r="G280">
        <v>341.09</v>
      </c>
      <c r="H280">
        <v>50284</v>
      </c>
      <c r="I280">
        <v>108</v>
      </c>
      <c r="J280" t="s">
        <v>13</v>
      </c>
    </row>
    <row r="281" spans="1:10" x14ac:dyDescent="0.2">
      <c r="A281" s="1">
        <v>46065</v>
      </c>
      <c r="B281" t="s">
        <v>15</v>
      </c>
      <c r="C281" t="s">
        <v>17</v>
      </c>
      <c r="D281" t="s">
        <v>12</v>
      </c>
      <c r="E281">
        <v>165977</v>
      </c>
      <c r="F281">
        <v>5189</v>
      </c>
      <c r="G281">
        <v>934.02</v>
      </c>
      <c r="H281">
        <v>122075</v>
      </c>
      <c r="I281">
        <v>154</v>
      </c>
      <c r="J281" t="s">
        <v>13</v>
      </c>
    </row>
    <row r="282" spans="1:10" x14ac:dyDescent="0.2">
      <c r="A282" s="1">
        <v>46065</v>
      </c>
      <c r="B282" t="s">
        <v>20</v>
      </c>
      <c r="C282" t="s">
        <v>11</v>
      </c>
      <c r="D282" t="s">
        <v>12</v>
      </c>
      <c r="E282">
        <v>85209</v>
      </c>
      <c r="F282">
        <v>3121</v>
      </c>
      <c r="G282">
        <v>504.32</v>
      </c>
      <c r="H282">
        <v>67644</v>
      </c>
      <c r="I282">
        <v>111</v>
      </c>
      <c r="J282" t="s">
        <v>13</v>
      </c>
    </row>
    <row r="283" spans="1:10" x14ac:dyDescent="0.2">
      <c r="A283" s="1">
        <v>46065</v>
      </c>
      <c r="B283" t="s">
        <v>20</v>
      </c>
      <c r="C283" t="s">
        <v>14</v>
      </c>
      <c r="D283" t="s">
        <v>12</v>
      </c>
      <c r="E283">
        <v>202816</v>
      </c>
      <c r="F283">
        <v>6839</v>
      </c>
      <c r="G283">
        <v>1167.0899999999999</v>
      </c>
      <c r="H283">
        <v>148685</v>
      </c>
      <c r="I283">
        <v>217</v>
      </c>
      <c r="J283" t="s">
        <v>13</v>
      </c>
    </row>
    <row r="284" spans="1:10" x14ac:dyDescent="0.2">
      <c r="A284" s="1">
        <v>46066</v>
      </c>
      <c r="B284" t="s">
        <v>10</v>
      </c>
      <c r="C284" t="s">
        <v>11</v>
      </c>
      <c r="D284" t="s">
        <v>12</v>
      </c>
      <c r="E284">
        <v>98025</v>
      </c>
      <c r="F284">
        <v>3046</v>
      </c>
      <c r="G284">
        <v>510.86</v>
      </c>
      <c r="H284">
        <v>76702</v>
      </c>
      <c r="I284">
        <v>138</v>
      </c>
      <c r="J284" t="s">
        <v>13</v>
      </c>
    </row>
    <row r="285" spans="1:10" x14ac:dyDescent="0.2">
      <c r="A285" s="1">
        <v>46066</v>
      </c>
      <c r="B285" t="s">
        <v>10</v>
      </c>
      <c r="C285" t="s">
        <v>14</v>
      </c>
      <c r="D285" t="s">
        <v>12</v>
      </c>
      <c r="E285">
        <v>155785</v>
      </c>
      <c r="F285">
        <v>4477</v>
      </c>
      <c r="G285">
        <v>692.02</v>
      </c>
      <c r="H285">
        <v>123375</v>
      </c>
      <c r="I285">
        <v>211</v>
      </c>
      <c r="J285" t="s">
        <v>13</v>
      </c>
    </row>
    <row r="286" spans="1:10" x14ac:dyDescent="0.2">
      <c r="A286" s="1">
        <v>46066</v>
      </c>
      <c r="B286" t="s">
        <v>15</v>
      </c>
      <c r="C286" t="s">
        <v>16</v>
      </c>
      <c r="D286" t="s">
        <v>12</v>
      </c>
      <c r="E286">
        <v>192049</v>
      </c>
      <c r="F286">
        <v>6307</v>
      </c>
      <c r="G286">
        <v>1071.82</v>
      </c>
      <c r="H286">
        <v>146896</v>
      </c>
      <c r="I286">
        <v>226</v>
      </c>
      <c r="J286" t="s">
        <v>13</v>
      </c>
    </row>
    <row r="287" spans="1:10" x14ac:dyDescent="0.2">
      <c r="A287" s="1">
        <v>46066</v>
      </c>
      <c r="B287" t="s">
        <v>15</v>
      </c>
      <c r="C287" t="s">
        <v>17</v>
      </c>
      <c r="D287" t="s">
        <v>12</v>
      </c>
      <c r="E287">
        <v>128899</v>
      </c>
      <c r="F287">
        <v>5725</v>
      </c>
      <c r="G287">
        <v>981.12</v>
      </c>
      <c r="H287">
        <v>104459</v>
      </c>
      <c r="I287">
        <v>154</v>
      </c>
      <c r="J287" t="s">
        <v>13</v>
      </c>
    </row>
    <row r="288" spans="1:10" x14ac:dyDescent="0.2">
      <c r="A288" s="1">
        <v>46066</v>
      </c>
      <c r="B288" t="s">
        <v>20</v>
      </c>
      <c r="C288" t="s">
        <v>11</v>
      </c>
      <c r="D288" t="s">
        <v>12</v>
      </c>
      <c r="E288">
        <v>206251</v>
      </c>
      <c r="F288">
        <v>9095</v>
      </c>
      <c r="G288">
        <v>1631.44</v>
      </c>
      <c r="H288">
        <v>158022</v>
      </c>
      <c r="I288">
        <v>266</v>
      </c>
      <c r="J288" t="s">
        <v>13</v>
      </c>
    </row>
    <row r="289" spans="1:10" x14ac:dyDescent="0.2">
      <c r="A289" s="1">
        <v>46066</v>
      </c>
      <c r="B289" t="s">
        <v>20</v>
      </c>
      <c r="C289" t="s">
        <v>14</v>
      </c>
      <c r="D289" t="s">
        <v>12</v>
      </c>
      <c r="E289">
        <v>144083</v>
      </c>
      <c r="F289">
        <v>5266</v>
      </c>
      <c r="G289">
        <v>825.43</v>
      </c>
      <c r="H289">
        <v>106074</v>
      </c>
      <c r="I289">
        <v>143</v>
      </c>
      <c r="J289" t="s">
        <v>13</v>
      </c>
    </row>
    <row r="290" spans="1:10" x14ac:dyDescent="0.2">
      <c r="A290" s="1">
        <v>46067</v>
      </c>
      <c r="B290" t="s">
        <v>10</v>
      </c>
      <c r="C290" t="s">
        <v>11</v>
      </c>
      <c r="D290" t="s">
        <v>12</v>
      </c>
      <c r="E290">
        <v>190806</v>
      </c>
      <c r="F290">
        <v>5791</v>
      </c>
      <c r="G290">
        <v>868.65</v>
      </c>
      <c r="H290">
        <v>149614</v>
      </c>
      <c r="I290">
        <v>259</v>
      </c>
      <c r="J290" t="s">
        <v>13</v>
      </c>
    </row>
    <row r="291" spans="1:10" x14ac:dyDescent="0.2">
      <c r="A291" s="1">
        <v>46067</v>
      </c>
      <c r="B291" t="s">
        <v>10</v>
      </c>
      <c r="C291" t="s">
        <v>14</v>
      </c>
      <c r="D291" t="s">
        <v>12</v>
      </c>
      <c r="E291">
        <v>180294</v>
      </c>
      <c r="F291">
        <v>7911</v>
      </c>
      <c r="G291">
        <v>1332.66</v>
      </c>
      <c r="H291">
        <v>139113</v>
      </c>
      <c r="I291">
        <v>199</v>
      </c>
      <c r="J291" t="s">
        <v>13</v>
      </c>
    </row>
    <row r="292" spans="1:10" x14ac:dyDescent="0.2">
      <c r="A292" s="1">
        <v>46067</v>
      </c>
      <c r="B292" t="s">
        <v>15</v>
      </c>
      <c r="C292" t="s">
        <v>16</v>
      </c>
      <c r="D292" t="s">
        <v>12</v>
      </c>
      <c r="E292">
        <v>81588</v>
      </c>
      <c r="F292">
        <v>3342</v>
      </c>
      <c r="G292">
        <v>504.35</v>
      </c>
      <c r="H292">
        <v>66129</v>
      </c>
      <c r="I292">
        <v>86</v>
      </c>
      <c r="J292" t="s">
        <v>13</v>
      </c>
    </row>
    <row r="293" spans="1:10" x14ac:dyDescent="0.2">
      <c r="A293" s="1">
        <v>46067</v>
      </c>
      <c r="B293" t="s">
        <v>15</v>
      </c>
      <c r="C293" t="s">
        <v>17</v>
      </c>
      <c r="D293" t="s">
        <v>12</v>
      </c>
      <c r="E293">
        <v>155744</v>
      </c>
      <c r="F293">
        <v>4603</v>
      </c>
      <c r="G293">
        <v>812.06</v>
      </c>
      <c r="H293">
        <v>124855</v>
      </c>
      <c r="I293">
        <v>207</v>
      </c>
      <c r="J293" t="s">
        <v>13</v>
      </c>
    </row>
    <row r="294" spans="1:10" x14ac:dyDescent="0.2">
      <c r="A294" s="1">
        <v>46067</v>
      </c>
      <c r="B294" t="s">
        <v>19</v>
      </c>
      <c r="C294" t="s">
        <v>11</v>
      </c>
      <c r="D294" t="s">
        <v>12</v>
      </c>
      <c r="E294">
        <v>69592</v>
      </c>
      <c r="F294">
        <v>2439</v>
      </c>
      <c r="G294">
        <v>380.14</v>
      </c>
      <c r="H294">
        <v>52708</v>
      </c>
      <c r="I294">
        <v>78</v>
      </c>
      <c r="J294" t="s">
        <v>13</v>
      </c>
    </row>
    <row r="295" spans="1:10" x14ac:dyDescent="0.2">
      <c r="A295" s="1">
        <v>46067</v>
      </c>
      <c r="B295" t="s">
        <v>19</v>
      </c>
      <c r="C295" t="s">
        <v>14</v>
      </c>
      <c r="D295" t="s">
        <v>12</v>
      </c>
      <c r="E295">
        <v>81113</v>
      </c>
      <c r="F295">
        <v>2788</v>
      </c>
      <c r="G295">
        <v>393.46</v>
      </c>
      <c r="H295">
        <v>65951</v>
      </c>
      <c r="I295">
        <v>122</v>
      </c>
      <c r="J295" t="s">
        <v>13</v>
      </c>
    </row>
    <row r="296" spans="1:10" x14ac:dyDescent="0.2">
      <c r="A296" s="1">
        <v>46067</v>
      </c>
      <c r="B296" t="s">
        <v>20</v>
      </c>
      <c r="C296" t="s">
        <v>11</v>
      </c>
      <c r="D296" t="s">
        <v>12</v>
      </c>
      <c r="E296">
        <v>200305</v>
      </c>
      <c r="F296">
        <v>6750</v>
      </c>
      <c r="G296">
        <v>984.43</v>
      </c>
      <c r="H296">
        <v>144986</v>
      </c>
      <c r="I296">
        <v>309</v>
      </c>
      <c r="J296" t="s">
        <v>13</v>
      </c>
    </row>
    <row r="297" spans="1:10" x14ac:dyDescent="0.2">
      <c r="A297" s="1">
        <v>46067</v>
      </c>
      <c r="B297" t="s">
        <v>20</v>
      </c>
      <c r="C297" t="s">
        <v>14</v>
      </c>
      <c r="D297" t="s">
        <v>12</v>
      </c>
      <c r="E297">
        <v>163080</v>
      </c>
      <c r="F297">
        <v>6496</v>
      </c>
      <c r="G297">
        <v>945.5</v>
      </c>
      <c r="H297">
        <v>128923</v>
      </c>
      <c r="I297">
        <v>218</v>
      </c>
      <c r="J297" t="s">
        <v>13</v>
      </c>
    </row>
    <row r="298" spans="1:10" x14ac:dyDescent="0.2">
      <c r="A298" s="1">
        <v>46068</v>
      </c>
      <c r="B298" t="s">
        <v>10</v>
      </c>
      <c r="C298" t="s">
        <v>11</v>
      </c>
      <c r="D298" t="s">
        <v>12</v>
      </c>
      <c r="E298">
        <v>65100</v>
      </c>
      <c r="F298">
        <v>2825</v>
      </c>
      <c r="G298">
        <v>397.65</v>
      </c>
      <c r="H298">
        <v>48275</v>
      </c>
      <c r="I298">
        <v>73</v>
      </c>
      <c r="J298" t="s">
        <v>13</v>
      </c>
    </row>
    <row r="299" spans="1:10" x14ac:dyDescent="0.2">
      <c r="A299" s="1">
        <v>46068</v>
      </c>
      <c r="B299" t="s">
        <v>10</v>
      </c>
      <c r="C299" t="s">
        <v>14</v>
      </c>
      <c r="D299" t="s">
        <v>12</v>
      </c>
      <c r="E299">
        <v>191691</v>
      </c>
      <c r="F299">
        <v>7087</v>
      </c>
      <c r="G299">
        <v>1023.7</v>
      </c>
      <c r="H299">
        <v>143540</v>
      </c>
      <c r="I299">
        <v>211</v>
      </c>
      <c r="J299" t="s">
        <v>13</v>
      </c>
    </row>
    <row r="300" spans="1:10" x14ac:dyDescent="0.2">
      <c r="A300" s="1">
        <v>46068</v>
      </c>
      <c r="B300" t="s">
        <v>15</v>
      </c>
      <c r="C300" t="s">
        <v>16</v>
      </c>
      <c r="D300" t="s">
        <v>12</v>
      </c>
      <c r="E300">
        <v>74012</v>
      </c>
      <c r="F300">
        <v>2372</v>
      </c>
      <c r="G300">
        <v>392.7</v>
      </c>
      <c r="H300">
        <v>57898</v>
      </c>
      <c r="I300">
        <v>56</v>
      </c>
      <c r="J300" t="s">
        <v>13</v>
      </c>
    </row>
    <row r="301" spans="1:10" x14ac:dyDescent="0.2">
      <c r="A301" s="1">
        <v>46068</v>
      </c>
      <c r="B301" t="s">
        <v>15</v>
      </c>
      <c r="C301" t="s">
        <v>17</v>
      </c>
      <c r="D301" t="s">
        <v>12</v>
      </c>
      <c r="E301">
        <v>168820</v>
      </c>
      <c r="F301">
        <v>6439</v>
      </c>
      <c r="G301">
        <v>905.69</v>
      </c>
      <c r="H301">
        <v>130250</v>
      </c>
      <c r="I301">
        <v>182</v>
      </c>
      <c r="J301" t="s">
        <v>13</v>
      </c>
    </row>
    <row r="302" spans="1:10" x14ac:dyDescent="0.2">
      <c r="A302" s="1">
        <v>46068</v>
      </c>
      <c r="B302" t="s">
        <v>19</v>
      </c>
      <c r="C302" t="s">
        <v>11</v>
      </c>
      <c r="D302" t="s">
        <v>12</v>
      </c>
      <c r="E302">
        <v>94108</v>
      </c>
      <c r="F302">
        <v>3101</v>
      </c>
      <c r="G302">
        <v>434.33</v>
      </c>
      <c r="H302">
        <v>71078</v>
      </c>
      <c r="I302">
        <v>114</v>
      </c>
      <c r="J302" t="s">
        <v>13</v>
      </c>
    </row>
    <row r="303" spans="1:10" x14ac:dyDescent="0.2">
      <c r="A303" s="1">
        <v>46068</v>
      </c>
      <c r="B303" t="s">
        <v>19</v>
      </c>
      <c r="C303" t="s">
        <v>14</v>
      </c>
      <c r="D303" t="s">
        <v>12</v>
      </c>
      <c r="E303">
        <v>103281</v>
      </c>
      <c r="F303">
        <v>4058</v>
      </c>
      <c r="G303">
        <v>582.02</v>
      </c>
      <c r="H303">
        <v>84428</v>
      </c>
      <c r="I303">
        <v>96</v>
      </c>
      <c r="J303" t="s">
        <v>13</v>
      </c>
    </row>
    <row r="304" spans="1:10" x14ac:dyDescent="0.2">
      <c r="A304" s="1">
        <v>46068</v>
      </c>
      <c r="B304" t="s">
        <v>20</v>
      </c>
      <c r="C304" t="s">
        <v>11</v>
      </c>
      <c r="D304" t="s">
        <v>12</v>
      </c>
      <c r="E304">
        <v>174321</v>
      </c>
      <c r="F304">
        <v>6493</v>
      </c>
      <c r="G304">
        <v>1113.27</v>
      </c>
      <c r="H304">
        <v>134360</v>
      </c>
      <c r="I304">
        <v>146</v>
      </c>
      <c r="J304" t="s">
        <v>13</v>
      </c>
    </row>
    <row r="305" spans="1:10" x14ac:dyDescent="0.2">
      <c r="A305" s="1">
        <v>46068</v>
      </c>
      <c r="B305" t="s">
        <v>20</v>
      </c>
      <c r="C305" t="s">
        <v>14</v>
      </c>
      <c r="D305" t="s">
        <v>12</v>
      </c>
      <c r="E305">
        <v>162593</v>
      </c>
      <c r="F305">
        <v>4672</v>
      </c>
      <c r="G305">
        <v>726.38</v>
      </c>
      <c r="H305">
        <v>123136</v>
      </c>
      <c r="I305">
        <v>193</v>
      </c>
      <c r="J305" t="s">
        <v>13</v>
      </c>
    </row>
    <row r="306" spans="1:10" x14ac:dyDescent="0.2">
      <c r="A306" s="1">
        <v>46069</v>
      </c>
      <c r="B306" t="s">
        <v>10</v>
      </c>
      <c r="C306" t="s">
        <v>11</v>
      </c>
      <c r="D306" t="s">
        <v>12</v>
      </c>
      <c r="E306">
        <v>138888</v>
      </c>
      <c r="F306">
        <v>5750</v>
      </c>
      <c r="G306">
        <v>884.3</v>
      </c>
      <c r="H306">
        <v>110179</v>
      </c>
      <c r="I306">
        <v>220</v>
      </c>
      <c r="J306" t="s">
        <v>13</v>
      </c>
    </row>
    <row r="307" spans="1:10" x14ac:dyDescent="0.2">
      <c r="A307" s="1">
        <v>46069</v>
      </c>
      <c r="B307" t="s">
        <v>10</v>
      </c>
      <c r="C307" t="s">
        <v>14</v>
      </c>
      <c r="D307" t="s">
        <v>12</v>
      </c>
      <c r="E307">
        <v>186033</v>
      </c>
      <c r="F307">
        <v>7533</v>
      </c>
      <c r="G307">
        <v>1154.81</v>
      </c>
      <c r="H307">
        <v>134768</v>
      </c>
      <c r="I307">
        <v>272</v>
      </c>
      <c r="J307" t="s">
        <v>13</v>
      </c>
    </row>
    <row r="308" spans="1:10" x14ac:dyDescent="0.2">
      <c r="A308" s="1">
        <v>46069</v>
      </c>
      <c r="B308" t="s">
        <v>15</v>
      </c>
      <c r="C308" t="s">
        <v>16</v>
      </c>
      <c r="D308" t="s">
        <v>12</v>
      </c>
      <c r="E308">
        <v>198803</v>
      </c>
      <c r="F308">
        <v>6158</v>
      </c>
      <c r="G308">
        <v>1054.04</v>
      </c>
      <c r="H308">
        <v>152375</v>
      </c>
      <c r="I308">
        <v>246</v>
      </c>
      <c r="J308" t="s">
        <v>13</v>
      </c>
    </row>
    <row r="309" spans="1:10" x14ac:dyDescent="0.2">
      <c r="A309" s="1">
        <v>46069</v>
      </c>
      <c r="B309" t="s">
        <v>15</v>
      </c>
      <c r="C309" t="s">
        <v>17</v>
      </c>
      <c r="D309" t="s">
        <v>12</v>
      </c>
      <c r="E309">
        <v>196483</v>
      </c>
      <c r="F309">
        <v>6110</v>
      </c>
      <c r="G309">
        <v>888.36</v>
      </c>
      <c r="H309">
        <v>155536</v>
      </c>
      <c r="I309">
        <v>284</v>
      </c>
      <c r="J309" t="s">
        <v>13</v>
      </c>
    </row>
    <row r="310" spans="1:10" x14ac:dyDescent="0.2">
      <c r="A310" s="1">
        <v>46069</v>
      </c>
      <c r="B310" t="s">
        <v>20</v>
      </c>
      <c r="C310" t="s">
        <v>11</v>
      </c>
      <c r="D310" t="s">
        <v>12</v>
      </c>
      <c r="E310">
        <v>71755</v>
      </c>
      <c r="F310">
        <v>2367</v>
      </c>
      <c r="G310">
        <v>335.53</v>
      </c>
      <c r="H310">
        <v>53094</v>
      </c>
      <c r="I310">
        <v>54</v>
      </c>
      <c r="J310" t="s">
        <v>13</v>
      </c>
    </row>
    <row r="311" spans="1:10" x14ac:dyDescent="0.2">
      <c r="A311" s="1">
        <v>46069</v>
      </c>
      <c r="B311" t="s">
        <v>20</v>
      </c>
      <c r="C311" t="s">
        <v>14</v>
      </c>
      <c r="D311" t="s">
        <v>12</v>
      </c>
      <c r="E311">
        <v>129027</v>
      </c>
      <c r="F311">
        <v>4743</v>
      </c>
      <c r="G311">
        <v>851.68</v>
      </c>
      <c r="H311">
        <v>99906</v>
      </c>
      <c r="I311">
        <v>135</v>
      </c>
      <c r="J311" t="s">
        <v>13</v>
      </c>
    </row>
    <row r="312" spans="1:10" x14ac:dyDescent="0.2">
      <c r="A312" s="1">
        <v>46070</v>
      </c>
      <c r="B312" t="s">
        <v>10</v>
      </c>
      <c r="C312" t="s">
        <v>11</v>
      </c>
      <c r="D312" t="s">
        <v>12</v>
      </c>
      <c r="E312">
        <v>124790</v>
      </c>
      <c r="F312">
        <v>3899</v>
      </c>
      <c r="G312">
        <v>601.53</v>
      </c>
      <c r="H312">
        <v>99592</v>
      </c>
      <c r="I312">
        <v>173</v>
      </c>
      <c r="J312" t="s">
        <v>13</v>
      </c>
    </row>
    <row r="313" spans="1:10" x14ac:dyDescent="0.2">
      <c r="A313" s="1">
        <v>46070</v>
      </c>
      <c r="B313" t="s">
        <v>10</v>
      </c>
      <c r="C313" t="s">
        <v>14</v>
      </c>
      <c r="D313" t="s">
        <v>12</v>
      </c>
      <c r="E313">
        <v>83506</v>
      </c>
      <c r="F313">
        <v>2726</v>
      </c>
      <c r="G313">
        <v>468.8</v>
      </c>
      <c r="H313">
        <v>63773</v>
      </c>
      <c r="I313">
        <v>88</v>
      </c>
      <c r="J313" t="s">
        <v>13</v>
      </c>
    </row>
    <row r="314" spans="1:10" x14ac:dyDescent="0.2">
      <c r="A314" s="1">
        <v>46070</v>
      </c>
      <c r="B314" t="s">
        <v>15</v>
      </c>
      <c r="C314" t="s">
        <v>16</v>
      </c>
      <c r="D314" t="s">
        <v>12</v>
      </c>
      <c r="E314">
        <v>97637</v>
      </c>
      <c r="F314">
        <v>4218</v>
      </c>
      <c r="G314">
        <v>655.75</v>
      </c>
      <c r="H314">
        <v>79805</v>
      </c>
      <c r="I314">
        <v>147</v>
      </c>
      <c r="J314" t="s">
        <v>13</v>
      </c>
    </row>
    <row r="315" spans="1:10" x14ac:dyDescent="0.2">
      <c r="A315" s="1">
        <v>46070</v>
      </c>
      <c r="B315" t="s">
        <v>15</v>
      </c>
      <c r="C315" t="s">
        <v>17</v>
      </c>
      <c r="D315" t="s">
        <v>12</v>
      </c>
      <c r="E315">
        <v>105211</v>
      </c>
      <c r="F315">
        <v>3602</v>
      </c>
      <c r="G315">
        <v>619.15</v>
      </c>
      <c r="H315">
        <v>78558</v>
      </c>
      <c r="I315">
        <v>86</v>
      </c>
      <c r="J315" t="s">
        <v>13</v>
      </c>
    </row>
    <row r="316" spans="1:10" x14ac:dyDescent="0.2">
      <c r="A316" s="1">
        <v>46071</v>
      </c>
      <c r="B316" t="s">
        <v>10</v>
      </c>
      <c r="C316" t="s">
        <v>11</v>
      </c>
      <c r="D316" t="s">
        <v>12</v>
      </c>
      <c r="E316">
        <v>95640</v>
      </c>
      <c r="F316">
        <v>2806</v>
      </c>
      <c r="G316">
        <v>460.46</v>
      </c>
      <c r="H316">
        <v>76725</v>
      </c>
      <c r="I316">
        <v>101</v>
      </c>
      <c r="J316" t="s">
        <v>13</v>
      </c>
    </row>
    <row r="317" spans="1:10" x14ac:dyDescent="0.2">
      <c r="A317" s="1">
        <v>46071</v>
      </c>
      <c r="B317" t="s">
        <v>10</v>
      </c>
      <c r="C317" t="s">
        <v>14</v>
      </c>
      <c r="D317" t="s">
        <v>12</v>
      </c>
      <c r="E317">
        <v>82101</v>
      </c>
      <c r="F317">
        <v>2442</v>
      </c>
      <c r="G317">
        <v>373.91</v>
      </c>
      <c r="H317">
        <v>61539</v>
      </c>
      <c r="I317">
        <v>82</v>
      </c>
      <c r="J317" t="s">
        <v>13</v>
      </c>
    </row>
    <row r="318" spans="1:10" x14ac:dyDescent="0.2">
      <c r="A318" s="1">
        <v>46071</v>
      </c>
      <c r="B318" t="s">
        <v>15</v>
      </c>
      <c r="C318" t="s">
        <v>16</v>
      </c>
      <c r="D318" t="s">
        <v>12</v>
      </c>
      <c r="E318">
        <v>95851</v>
      </c>
      <c r="F318">
        <v>2955</v>
      </c>
      <c r="G318">
        <v>466.17</v>
      </c>
      <c r="H318">
        <v>73298</v>
      </c>
      <c r="I318">
        <v>120</v>
      </c>
      <c r="J318" t="s">
        <v>13</v>
      </c>
    </row>
    <row r="319" spans="1:10" x14ac:dyDescent="0.2">
      <c r="A319" s="1">
        <v>46071</v>
      </c>
      <c r="B319" t="s">
        <v>15</v>
      </c>
      <c r="C319" t="s">
        <v>17</v>
      </c>
      <c r="D319" t="s">
        <v>12</v>
      </c>
      <c r="E319">
        <v>86210</v>
      </c>
      <c r="F319">
        <v>3314</v>
      </c>
      <c r="G319">
        <v>521.62</v>
      </c>
      <c r="H319">
        <v>67584</v>
      </c>
      <c r="I319">
        <v>141</v>
      </c>
      <c r="J319" t="s">
        <v>13</v>
      </c>
    </row>
    <row r="320" spans="1:10" x14ac:dyDescent="0.2">
      <c r="A320" s="1">
        <v>46072</v>
      </c>
      <c r="B320" t="s">
        <v>10</v>
      </c>
      <c r="C320" t="s">
        <v>11</v>
      </c>
      <c r="D320" t="s">
        <v>12</v>
      </c>
      <c r="E320">
        <v>47518</v>
      </c>
      <c r="F320">
        <v>1391</v>
      </c>
      <c r="G320">
        <v>230.21</v>
      </c>
      <c r="H320">
        <v>35939</v>
      </c>
      <c r="I320">
        <v>59</v>
      </c>
      <c r="J320" t="s">
        <v>13</v>
      </c>
    </row>
    <row r="321" spans="1:10" x14ac:dyDescent="0.2">
      <c r="A321" s="1">
        <v>46072</v>
      </c>
      <c r="B321" t="s">
        <v>10</v>
      </c>
      <c r="C321" t="s">
        <v>14</v>
      </c>
      <c r="D321" t="s">
        <v>12</v>
      </c>
      <c r="E321">
        <v>129051</v>
      </c>
      <c r="F321">
        <v>3964</v>
      </c>
      <c r="G321">
        <v>559.9</v>
      </c>
      <c r="H321">
        <v>103868</v>
      </c>
      <c r="I321">
        <v>157</v>
      </c>
      <c r="J321" t="s">
        <v>13</v>
      </c>
    </row>
    <row r="322" spans="1:10" x14ac:dyDescent="0.2">
      <c r="A322" s="1">
        <v>46072</v>
      </c>
      <c r="B322" t="s">
        <v>15</v>
      </c>
      <c r="C322" t="s">
        <v>16</v>
      </c>
      <c r="D322" t="s">
        <v>12</v>
      </c>
      <c r="E322">
        <v>97432</v>
      </c>
      <c r="F322">
        <v>2785</v>
      </c>
      <c r="G322">
        <v>397.39</v>
      </c>
      <c r="H322">
        <v>77736</v>
      </c>
      <c r="I322">
        <v>87</v>
      </c>
      <c r="J322" t="s">
        <v>13</v>
      </c>
    </row>
    <row r="323" spans="1:10" x14ac:dyDescent="0.2">
      <c r="A323" s="1">
        <v>46072</v>
      </c>
      <c r="B323" t="s">
        <v>15</v>
      </c>
      <c r="C323" t="s">
        <v>17</v>
      </c>
      <c r="D323" t="s">
        <v>12</v>
      </c>
      <c r="E323">
        <v>90181</v>
      </c>
      <c r="F323">
        <v>3980</v>
      </c>
      <c r="G323">
        <v>562.36</v>
      </c>
      <c r="H323">
        <v>66314</v>
      </c>
      <c r="I323">
        <v>134</v>
      </c>
      <c r="J323" t="s">
        <v>13</v>
      </c>
    </row>
    <row r="324" spans="1:10" x14ac:dyDescent="0.2">
      <c r="A324" s="1">
        <v>46073</v>
      </c>
      <c r="B324" t="s">
        <v>10</v>
      </c>
      <c r="C324" t="s">
        <v>11</v>
      </c>
      <c r="D324" t="s">
        <v>12</v>
      </c>
      <c r="E324">
        <v>88623</v>
      </c>
      <c r="F324">
        <v>3041</v>
      </c>
      <c r="G324">
        <v>518.55999999999995</v>
      </c>
      <c r="H324">
        <v>68894</v>
      </c>
      <c r="I324">
        <v>108</v>
      </c>
      <c r="J324" t="s">
        <v>13</v>
      </c>
    </row>
    <row r="325" spans="1:10" x14ac:dyDescent="0.2">
      <c r="A325" s="1">
        <v>46073</v>
      </c>
      <c r="B325" t="s">
        <v>10</v>
      </c>
      <c r="C325" t="s">
        <v>14</v>
      </c>
      <c r="D325" t="s">
        <v>12</v>
      </c>
      <c r="E325">
        <v>92171</v>
      </c>
      <c r="F325">
        <v>3073</v>
      </c>
      <c r="G325">
        <v>464.48</v>
      </c>
      <c r="H325">
        <v>75216</v>
      </c>
      <c r="I325">
        <v>69</v>
      </c>
      <c r="J325" t="s">
        <v>13</v>
      </c>
    </row>
    <row r="326" spans="1:10" x14ac:dyDescent="0.2">
      <c r="A326" s="1">
        <v>46073</v>
      </c>
      <c r="B326" t="s">
        <v>15</v>
      </c>
      <c r="C326" t="s">
        <v>16</v>
      </c>
      <c r="D326" t="s">
        <v>12</v>
      </c>
      <c r="E326">
        <v>64385</v>
      </c>
      <c r="F326">
        <v>2349</v>
      </c>
      <c r="G326">
        <v>365.22</v>
      </c>
      <c r="H326">
        <v>49973</v>
      </c>
      <c r="I326">
        <v>67</v>
      </c>
      <c r="J326" t="s">
        <v>13</v>
      </c>
    </row>
    <row r="327" spans="1:10" x14ac:dyDescent="0.2">
      <c r="A327" s="1">
        <v>46073</v>
      </c>
      <c r="B327" t="s">
        <v>15</v>
      </c>
      <c r="C327" t="s">
        <v>17</v>
      </c>
      <c r="D327" t="s">
        <v>12</v>
      </c>
      <c r="E327">
        <v>74116</v>
      </c>
      <c r="F327">
        <v>2962</v>
      </c>
      <c r="G327">
        <v>440.1</v>
      </c>
      <c r="H327">
        <v>57898</v>
      </c>
      <c r="I327">
        <v>118</v>
      </c>
      <c r="J327" t="s">
        <v>13</v>
      </c>
    </row>
    <row r="328" spans="1:10" x14ac:dyDescent="0.2">
      <c r="A328" s="1">
        <v>46074</v>
      </c>
      <c r="B328" t="s">
        <v>10</v>
      </c>
      <c r="C328" t="s">
        <v>11</v>
      </c>
      <c r="D328" t="s">
        <v>12</v>
      </c>
      <c r="E328">
        <v>146134</v>
      </c>
      <c r="F328">
        <v>4589</v>
      </c>
      <c r="G328">
        <v>667.37</v>
      </c>
      <c r="H328">
        <v>106298</v>
      </c>
      <c r="I328">
        <v>121</v>
      </c>
      <c r="J328" t="s">
        <v>13</v>
      </c>
    </row>
    <row r="329" spans="1:10" x14ac:dyDescent="0.2">
      <c r="A329" s="1">
        <v>46074</v>
      </c>
      <c r="B329" t="s">
        <v>10</v>
      </c>
      <c r="C329" t="s">
        <v>14</v>
      </c>
      <c r="D329" t="s">
        <v>12</v>
      </c>
      <c r="E329">
        <v>137677</v>
      </c>
      <c r="F329">
        <v>6189</v>
      </c>
      <c r="G329">
        <v>1067.1099999999999</v>
      </c>
      <c r="H329">
        <v>112448</v>
      </c>
      <c r="I329">
        <v>294</v>
      </c>
      <c r="J329" t="s">
        <v>13</v>
      </c>
    </row>
    <row r="330" spans="1:10" x14ac:dyDescent="0.2">
      <c r="A330" s="1">
        <v>46074</v>
      </c>
      <c r="B330" t="s">
        <v>15</v>
      </c>
      <c r="C330" t="s">
        <v>16</v>
      </c>
      <c r="D330" t="s">
        <v>12</v>
      </c>
      <c r="E330">
        <v>178549</v>
      </c>
      <c r="F330">
        <v>6053</v>
      </c>
      <c r="G330">
        <v>863.14</v>
      </c>
      <c r="H330">
        <v>138235</v>
      </c>
      <c r="I330">
        <v>273</v>
      </c>
      <c r="J330" t="s">
        <v>13</v>
      </c>
    </row>
    <row r="331" spans="1:10" x14ac:dyDescent="0.2">
      <c r="A331" s="1">
        <v>46074</v>
      </c>
      <c r="B331" t="s">
        <v>15</v>
      </c>
      <c r="C331" t="s">
        <v>17</v>
      </c>
      <c r="D331" t="s">
        <v>12</v>
      </c>
      <c r="E331">
        <v>84901</v>
      </c>
      <c r="F331">
        <v>3404</v>
      </c>
      <c r="G331">
        <v>602.82000000000005</v>
      </c>
      <c r="H331">
        <v>66542</v>
      </c>
      <c r="I331">
        <v>145</v>
      </c>
      <c r="J331" t="s">
        <v>13</v>
      </c>
    </row>
    <row r="332" spans="1:10" x14ac:dyDescent="0.2">
      <c r="A332" s="1">
        <v>46074</v>
      </c>
      <c r="B332" t="s">
        <v>19</v>
      </c>
      <c r="C332" t="s">
        <v>11</v>
      </c>
      <c r="D332" t="s">
        <v>12</v>
      </c>
      <c r="E332">
        <v>149356</v>
      </c>
      <c r="F332">
        <v>4751</v>
      </c>
      <c r="G332">
        <v>852.35</v>
      </c>
      <c r="H332">
        <v>119366</v>
      </c>
      <c r="I332">
        <v>133</v>
      </c>
      <c r="J332" t="s">
        <v>13</v>
      </c>
    </row>
    <row r="333" spans="1:10" x14ac:dyDescent="0.2">
      <c r="A333" s="1">
        <v>46074</v>
      </c>
      <c r="B333" t="s">
        <v>19</v>
      </c>
      <c r="C333" t="s">
        <v>14</v>
      </c>
      <c r="D333" t="s">
        <v>12</v>
      </c>
      <c r="E333">
        <v>146652</v>
      </c>
      <c r="F333">
        <v>4171</v>
      </c>
      <c r="G333">
        <v>676.37</v>
      </c>
      <c r="H333">
        <v>110999</v>
      </c>
      <c r="I333">
        <v>178</v>
      </c>
      <c r="J333" t="s">
        <v>13</v>
      </c>
    </row>
    <row r="334" spans="1:10" x14ac:dyDescent="0.2">
      <c r="A334" s="1">
        <v>46075</v>
      </c>
      <c r="B334" t="s">
        <v>10</v>
      </c>
      <c r="C334" t="s">
        <v>11</v>
      </c>
      <c r="D334" t="s">
        <v>12</v>
      </c>
      <c r="E334">
        <v>157227</v>
      </c>
      <c r="F334">
        <v>4749</v>
      </c>
      <c r="G334">
        <v>832.83</v>
      </c>
      <c r="H334">
        <v>114237</v>
      </c>
      <c r="I334">
        <v>153</v>
      </c>
      <c r="J334" t="s">
        <v>13</v>
      </c>
    </row>
    <row r="335" spans="1:10" x14ac:dyDescent="0.2">
      <c r="A335" s="1">
        <v>46075</v>
      </c>
      <c r="B335" t="s">
        <v>10</v>
      </c>
      <c r="C335" t="s">
        <v>14</v>
      </c>
      <c r="D335" t="s">
        <v>12</v>
      </c>
      <c r="E335">
        <v>143834</v>
      </c>
      <c r="F335">
        <v>5312</v>
      </c>
      <c r="G335">
        <v>907.11</v>
      </c>
      <c r="H335">
        <v>115402</v>
      </c>
      <c r="I335">
        <v>127</v>
      </c>
      <c r="J335" t="s">
        <v>13</v>
      </c>
    </row>
    <row r="336" spans="1:10" x14ac:dyDescent="0.2">
      <c r="A336" s="1">
        <v>46075</v>
      </c>
      <c r="B336" t="s">
        <v>15</v>
      </c>
      <c r="C336" t="s">
        <v>16</v>
      </c>
      <c r="D336" t="s">
        <v>12</v>
      </c>
      <c r="E336">
        <v>114174</v>
      </c>
      <c r="F336">
        <v>4443</v>
      </c>
      <c r="G336">
        <v>701.99</v>
      </c>
      <c r="H336">
        <v>89970</v>
      </c>
      <c r="I336">
        <v>137</v>
      </c>
      <c r="J336" t="s">
        <v>13</v>
      </c>
    </row>
    <row r="337" spans="1:10" x14ac:dyDescent="0.2">
      <c r="A337" s="1">
        <v>46075</v>
      </c>
      <c r="B337" t="s">
        <v>15</v>
      </c>
      <c r="C337" t="s">
        <v>17</v>
      </c>
      <c r="D337" t="s">
        <v>12</v>
      </c>
      <c r="E337">
        <v>157164</v>
      </c>
      <c r="F337">
        <v>6109</v>
      </c>
      <c r="G337">
        <v>899.72</v>
      </c>
      <c r="H337">
        <v>128344</v>
      </c>
      <c r="I337">
        <v>203</v>
      </c>
      <c r="J337" t="s">
        <v>13</v>
      </c>
    </row>
    <row r="338" spans="1:10" x14ac:dyDescent="0.2">
      <c r="A338" s="1">
        <v>46075</v>
      </c>
      <c r="B338" t="s">
        <v>19</v>
      </c>
      <c r="C338" t="s">
        <v>11</v>
      </c>
      <c r="D338" t="s">
        <v>12</v>
      </c>
      <c r="E338">
        <v>66168</v>
      </c>
      <c r="F338">
        <v>2787</v>
      </c>
      <c r="G338">
        <v>447.94</v>
      </c>
      <c r="H338">
        <v>49653</v>
      </c>
      <c r="I338">
        <v>73</v>
      </c>
      <c r="J338" t="s">
        <v>13</v>
      </c>
    </row>
    <row r="339" spans="1:10" x14ac:dyDescent="0.2">
      <c r="A339" s="1">
        <v>46075</v>
      </c>
      <c r="B339" t="s">
        <v>19</v>
      </c>
      <c r="C339" t="s">
        <v>14</v>
      </c>
      <c r="D339" t="s">
        <v>12</v>
      </c>
      <c r="E339">
        <v>97372</v>
      </c>
      <c r="F339">
        <v>3299</v>
      </c>
      <c r="G339">
        <v>586.02</v>
      </c>
      <c r="H339">
        <v>78821</v>
      </c>
      <c r="I339">
        <v>145</v>
      </c>
      <c r="J339" t="s">
        <v>13</v>
      </c>
    </row>
    <row r="340" spans="1:10" x14ac:dyDescent="0.2">
      <c r="A340" s="1">
        <v>46076</v>
      </c>
      <c r="B340" t="s">
        <v>10</v>
      </c>
      <c r="C340" t="s">
        <v>11</v>
      </c>
      <c r="D340" t="s">
        <v>12</v>
      </c>
      <c r="E340">
        <v>72847</v>
      </c>
      <c r="F340">
        <v>2282</v>
      </c>
      <c r="G340">
        <v>406.78</v>
      </c>
      <c r="H340">
        <v>54449</v>
      </c>
      <c r="I340">
        <v>87</v>
      </c>
      <c r="J340" t="s">
        <v>13</v>
      </c>
    </row>
    <row r="341" spans="1:10" x14ac:dyDescent="0.2">
      <c r="A341" s="1">
        <v>46076</v>
      </c>
      <c r="B341" t="s">
        <v>10</v>
      </c>
      <c r="C341" t="s">
        <v>14</v>
      </c>
      <c r="D341" t="s">
        <v>12</v>
      </c>
      <c r="E341">
        <v>120534</v>
      </c>
      <c r="F341">
        <v>4468</v>
      </c>
      <c r="G341">
        <v>715.34</v>
      </c>
      <c r="H341">
        <v>88817</v>
      </c>
      <c r="I341">
        <v>207</v>
      </c>
      <c r="J341" t="s">
        <v>13</v>
      </c>
    </row>
    <row r="342" spans="1:10" x14ac:dyDescent="0.2">
      <c r="A342" s="1">
        <v>46076</v>
      </c>
      <c r="B342" t="s">
        <v>15</v>
      </c>
      <c r="C342" t="s">
        <v>16</v>
      </c>
      <c r="D342" t="s">
        <v>12</v>
      </c>
      <c r="E342">
        <v>60210</v>
      </c>
      <c r="F342">
        <v>1861</v>
      </c>
      <c r="G342">
        <v>307.02999999999997</v>
      </c>
      <c r="H342">
        <v>48782</v>
      </c>
      <c r="I342">
        <v>57</v>
      </c>
      <c r="J342" t="s">
        <v>13</v>
      </c>
    </row>
    <row r="343" spans="1:10" x14ac:dyDescent="0.2">
      <c r="A343" s="1">
        <v>46076</v>
      </c>
      <c r="B343" t="s">
        <v>15</v>
      </c>
      <c r="C343" t="s">
        <v>17</v>
      </c>
      <c r="D343" t="s">
        <v>12</v>
      </c>
      <c r="E343">
        <v>113874</v>
      </c>
      <c r="F343">
        <v>3268</v>
      </c>
      <c r="G343">
        <v>570.42999999999995</v>
      </c>
      <c r="H343">
        <v>82914</v>
      </c>
      <c r="I343">
        <v>152</v>
      </c>
      <c r="J343" t="s">
        <v>13</v>
      </c>
    </row>
    <row r="344" spans="1:10" x14ac:dyDescent="0.2">
      <c r="A344" s="1">
        <v>46077</v>
      </c>
      <c r="B344" t="s">
        <v>10</v>
      </c>
      <c r="C344" t="s">
        <v>11</v>
      </c>
      <c r="D344" t="s">
        <v>12</v>
      </c>
      <c r="E344">
        <v>115598</v>
      </c>
      <c r="F344">
        <v>3756</v>
      </c>
      <c r="G344">
        <v>557.51</v>
      </c>
      <c r="H344">
        <v>89844</v>
      </c>
      <c r="I344">
        <v>142</v>
      </c>
      <c r="J344" t="s">
        <v>13</v>
      </c>
    </row>
    <row r="345" spans="1:10" x14ac:dyDescent="0.2">
      <c r="A345" s="1">
        <v>46077</v>
      </c>
      <c r="B345" t="s">
        <v>10</v>
      </c>
      <c r="C345" t="s">
        <v>14</v>
      </c>
      <c r="D345" t="s">
        <v>12</v>
      </c>
      <c r="E345">
        <v>43969</v>
      </c>
      <c r="F345">
        <v>1603</v>
      </c>
      <c r="G345">
        <v>264.63</v>
      </c>
      <c r="H345">
        <v>32931</v>
      </c>
      <c r="I345">
        <v>75</v>
      </c>
      <c r="J345" t="s">
        <v>13</v>
      </c>
    </row>
    <row r="346" spans="1:10" x14ac:dyDescent="0.2">
      <c r="A346" s="1">
        <v>46077</v>
      </c>
      <c r="B346" t="s">
        <v>15</v>
      </c>
      <c r="C346" t="s">
        <v>16</v>
      </c>
      <c r="D346" t="s">
        <v>12</v>
      </c>
      <c r="E346">
        <v>103300</v>
      </c>
      <c r="F346">
        <v>3322</v>
      </c>
      <c r="G346">
        <v>572.36</v>
      </c>
      <c r="H346">
        <v>78570</v>
      </c>
      <c r="I346">
        <v>112</v>
      </c>
      <c r="J346" t="s">
        <v>13</v>
      </c>
    </row>
    <row r="347" spans="1:10" x14ac:dyDescent="0.2">
      <c r="A347" s="1">
        <v>46077</v>
      </c>
      <c r="B347" t="s">
        <v>15</v>
      </c>
      <c r="C347" t="s">
        <v>17</v>
      </c>
      <c r="D347" t="s">
        <v>12</v>
      </c>
      <c r="E347">
        <v>47852</v>
      </c>
      <c r="F347">
        <v>1468</v>
      </c>
      <c r="G347">
        <v>229.93</v>
      </c>
      <c r="H347">
        <v>36675</v>
      </c>
      <c r="I347">
        <v>45</v>
      </c>
      <c r="J347" t="s">
        <v>13</v>
      </c>
    </row>
    <row r="348" spans="1:10" x14ac:dyDescent="0.2">
      <c r="A348" s="1">
        <v>46078</v>
      </c>
      <c r="B348" t="s">
        <v>10</v>
      </c>
      <c r="C348" t="s">
        <v>11</v>
      </c>
      <c r="D348" t="s">
        <v>12</v>
      </c>
      <c r="E348">
        <v>58830</v>
      </c>
      <c r="F348">
        <v>1959</v>
      </c>
      <c r="G348">
        <v>330.55</v>
      </c>
      <c r="H348">
        <v>46676</v>
      </c>
      <c r="I348">
        <v>86</v>
      </c>
      <c r="J348" t="s">
        <v>13</v>
      </c>
    </row>
    <row r="349" spans="1:10" x14ac:dyDescent="0.2">
      <c r="A349" s="1">
        <v>46078</v>
      </c>
      <c r="B349" t="s">
        <v>10</v>
      </c>
      <c r="C349" t="s">
        <v>14</v>
      </c>
      <c r="D349" t="s">
        <v>12</v>
      </c>
      <c r="E349">
        <v>92260</v>
      </c>
      <c r="F349">
        <v>2788</v>
      </c>
      <c r="G349">
        <v>431.64</v>
      </c>
      <c r="H349">
        <v>71608</v>
      </c>
      <c r="I349">
        <v>84</v>
      </c>
      <c r="J349" t="s">
        <v>13</v>
      </c>
    </row>
    <row r="350" spans="1:10" x14ac:dyDescent="0.2">
      <c r="A350" s="1">
        <v>46078</v>
      </c>
      <c r="B350" t="s">
        <v>15</v>
      </c>
      <c r="C350" t="s">
        <v>16</v>
      </c>
      <c r="D350" t="s">
        <v>12</v>
      </c>
      <c r="E350">
        <v>101141</v>
      </c>
      <c r="F350">
        <v>3042</v>
      </c>
      <c r="G350">
        <v>480.59</v>
      </c>
      <c r="H350">
        <v>74246</v>
      </c>
      <c r="I350">
        <v>70</v>
      </c>
      <c r="J350" t="s">
        <v>13</v>
      </c>
    </row>
    <row r="351" spans="1:10" x14ac:dyDescent="0.2">
      <c r="A351" s="1">
        <v>46078</v>
      </c>
      <c r="B351" t="s">
        <v>15</v>
      </c>
      <c r="C351" t="s">
        <v>17</v>
      </c>
      <c r="D351" t="s">
        <v>12</v>
      </c>
      <c r="E351">
        <v>90351</v>
      </c>
      <c r="F351">
        <v>3857</v>
      </c>
      <c r="G351">
        <v>604.49</v>
      </c>
      <c r="H351">
        <v>73750</v>
      </c>
      <c r="I351">
        <v>175</v>
      </c>
      <c r="J351" t="s">
        <v>13</v>
      </c>
    </row>
    <row r="352" spans="1:10" x14ac:dyDescent="0.2">
      <c r="A352" s="1">
        <v>46079</v>
      </c>
      <c r="B352" t="s">
        <v>10</v>
      </c>
      <c r="C352" t="s">
        <v>11</v>
      </c>
      <c r="D352" t="s">
        <v>12</v>
      </c>
      <c r="E352">
        <v>82917</v>
      </c>
      <c r="F352">
        <v>3637</v>
      </c>
      <c r="G352">
        <v>614.09</v>
      </c>
      <c r="H352">
        <v>61274</v>
      </c>
      <c r="I352">
        <v>95</v>
      </c>
      <c r="J352" t="s">
        <v>13</v>
      </c>
    </row>
    <row r="353" spans="1:10" x14ac:dyDescent="0.2">
      <c r="A353" s="1">
        <v>46079</v>
      </c>
      <c r="B353" t="s">
        <v>10</v>
      </c>
      <c r="C353" t="s">
        <v>14</v>
      </c>
      <c r="D353" t="s">
        <v>12</v>
      </c>
      <c r="E353">
        <v>107466</v>
      </c>
      <c r="F353">
        <v>3861</v>
      </c>
      <c r="G353">
        <v>676.3</v>
      </c>
      <c r="H353">
        <v>82720</v>
      </c>
      <c r="I353">
        <v>93</v>
      </c>
      <c r="J353" t="s">
        <v>13</v>
      </c>
    </row>
    <row r="354" spans="1:10" x14ac:dyDescent="0.2">
      <c r="A354" s="1">
        <v>46079</v>
      </c>
      <c r="B354" t="s">
        <v>15</v>
      </c>
      <c r="C354" t="s">
        <v>16</v>
      </c>
      <c r="D354" t="s">
        <v>12</v>
      </c>
      <c r="E354">
        <v>91543</v>
      </c>
      <c r="F354">
        <v>3349</v>
      </c>
      <c r="G354">
        <v>598.36</v>
      </c>
      <c r="H354">
        <v>67880</v>
      </c>
      <c r="I354">
        <v>104</v>
      </c>
      <c r="J354" t="s">
        <v>13</v>
      </c>
    </row>
    <row r="355" spans="1:10" x14ac:dyDescent="0.2">
      <c r="A355" s="1">
        <v>46079</v>
      </c>
      <c r="B355" t="s">
        <v>15</v>
      </c>
      <c r="C355" t="s">
        <v>17</v>
      </c>
      <c r="D355" t="s">
        <v>12</v>
      </c>
      <c r="E355">
        <v>46624</v>
      </c>
      <c r="F355">
        <v>1528</v>
      </c>
      <c r="G355">
        <v>250.44</v>
      </c>
      <c r="H355">
        <v>37498</v>
      </c>
      <c r="I355">
        <v>60</v>
      </c>
      <c r="J355" t="s">
        <v>13</v>
      </c>
    </row>
    <row r="356" spans="1:10" x14ac:dyDescent="0.2">
      <c r="A356" s="1">
        <v>46080</v>
      </c>
      <c r="B356" t="s">
        <v>10</v>
      </c>
      <c r="C356" t="s">
        <v>11</v>
      </c>
      <c r="D356" t="s">
        <v>12</v>
      </c>
      <c r="E356">
        <v>77453</v>
      </c>
      <c r="F356">
        <v>2875</v>
      </c>
      <c r="G356">
        <v>499.92</v>
      </c>
      <c r="H356">
        <v>59103</v>
      </c>
      <c r="I356">
        <v>129</v>
      </c>
      <c r="J356" t="s">
        <v>13</v>
      </c>
    </row>
    <row r="357" spans="1:10" x14ac:dyDescent="0.2">
      <c r="A357" s="1">
        <v>46080</v>
      </c>
      <c r="B357" t="s">
        <v>10</v>
      </c>
      <c r="C357" t="s">
        <v>14</v>
      </c>
      <c r="D357" t="s">
        <v>12</v>
      </c>
      <c r="E357">
        <v>87943</v>
      </c>
      <c r="F357">
        <v>3604</v>
      </c>
      <c r="G357">
        <v>557.30999999999995</v>
      </c>
      <c r="H357">
        <v>66841</v>
      </c>
      <c r="I357">
        <v>132</v>
      </c>
      <c r="J357" t="s">
        <v>13</v>
      </c>
    </row>
    <row r="358" spans="1:10" x14ac:dyDescent="0.2">
      <c r="A358" s="1">
        <v>46080</v>
      </c>
      <c r="B358" t="s">
        <v>15</v>
      </c>
      <c r="C358" t="s">
        <v>16</v>
      </c>
      <c r="D358" t="s">
        <v>12</v>
      </c>
      <c r="E358">
        <v>65513</v>
      </c>
      <c r="F358">
        <v>2238</v>
      </c>
      <c r="G358">
        <v>339.16</v>
      </c>
      <c r="H358">
        <v>49700</v>
      </c>
      <c r="I358">
        <v>75</v>
      </c>
      <c r="J358" t="s">
        <v>13</v>
      </c>
    </row>
    <row r="359" spans="1:10" x14ac:dyDescent="0.2">
      <c r="A359" s="1">
        <v>46080</v>
      </c>
      <c r="B359" t="s">
        <v>15</v>
      </c>
      <c r="C359" t="s">
        <v>17</v>
      </c>
      <c r="D359" t="s">
        <v>12</v>
      </c>
      <c r="E359">
        <v>112070</v>
      </c>
      <c r="F359">
        <v>3670</v>
      </c>
      <c r="G359">
        <v>659</v>
      </c>
      <c r="H359">
        <v>88315</v>
      </c>
      <c r="I359">
        <v>92</v>
      </c>
      <c r="J359" t="s">
        <v>13</v>
      </c>
    </row>
    <row r="360" spans="1:10" x14ac:dyDescent="0.2">
      <c r="A360" s="1">
        <v>46081</v>
      </c>
      <c r="B360" t="s">
        <v>10</v>
      </c>
      <c r="C360" t="s">
        <v>11</v>
      </c>
      <c r="D360" t="s">
        <v>12</v>
      </c>
      <c r="E360">
        <v>73740</v>
      </c>
      <c r="F360">
        <v>2558</v>
      </c>
      <c r="G360">
        <v>439.45</v>
      </c>
      <c r="H360">
        <v>55593</v>
      </c>
      <c r="I360">
        <v>118</v>
      </c>
      <c r="J360" t="s">
        <v>13</v>
      </c>
    </row>
    <row r="361" spans="1:10" x14ac:dyDescent="0.2">
      <c r="A361" s="1">
        <v>46081</v>
      </c>
      <c r="B361" t="s">
        <v>10</v>
      </c>
      <c r="C361" t="s">
        <v>14</v>
      </c>
      <c r="D361" t="s">
        <v>12</v>
      </c>
      <c r="E361">
        <v>82472</v>
      </c>
      <c r="F361">
        <v>2588</v>
      </c>
      <c r="G361">
        <v>415.02</v>
      </c>
      <c r="H361">
        <v>63504</v>
      </c>
      <c r="I361">
        <v>59</v>
      </c>
      <c r="J361" t="s">
        <v>13</v>
      </c>
    </row>
    <row r="362" spans="1:10" x14ac:dyDescent="0.2">
      <c r="A362" s="1">
        <v>46081</v>
      </c>
      <c r="B362" t="s">
        <v>15</v>
      </c>
      <c r="C362" t="s">
        <v>16</v>
      </c>
      <c r="D362" t="s">
        <v>12</v>
      </c>
      <c r="E362">
        <v>81145</v>
      </c>
      <c r="F362">
        <v>3256</v>
      </c>
      <c r="G362">
        <v>560.54999999999995</v>
      </c>
      <c r="H362">
        <v>62638</v>
      </c>
      <c r="I362">
        <v>84</v>
      </c>
      <c r="J362" t="s">
        <v>13</v>
      </c>
    </row>
    <row r="363" spans="1:10" x14ac:dyDescent="0.2">
      <c r="A363" s="1">
        <v>46081</v>
      </c>
      <c r="B363" t="s">
        <v>15</v>
      </c>
      <c r="C363" t="s">
        <v>17</v>
      </c>
      <c r="D363" t="s">
        <v>12</v>
      </c>
      <c r="E363">
        <v>150595</v>
      </c>
      <c r="F363">
        <v>4574</v>
      </c>
      <c r="G363">
        <v>810.76</v>
      </c>
      <c r="H363">
        <v>113225</v>
      </c>
      <c r="I363">
        <v>147</v>
      </c>
      <c r="J363" t="s">
        <v>13</v>
      </c>
    </row>
    <row r="364" spans="1:10" x14ac:dyDescent="0.2">
      <c r="A364" s="1">
        <v>46081</v>
      </c>
      <c r="B364" t="s">
        <v>19</v>
      </c>
      <c r="C364" t="s">
        <v>11</v>
      </c>
      <c r="D364" t="s">
        <v>12</v>
      </c>
      <c r="E364">
        <v>169127</v>
      </c>
      <c r="F364">
        <v>6861</v>
      </c>
      <c r="G364">
        <v>1042.6600000000001</v>
      </c>
      <c r="H364">
        <v>127460</v>
      </c>
      <c r="I364">
        <v>298</v>
      </c>
      <c r="J364" t="s">
        <v>13</v>
      </c>
    </row>
    <row r="365" spans="1:10" x14ac:dyDescent="0.2">
      <c r="A365" s="1">
        <v>46081</v>
      </c>
      <c r="B365" t="s">
        <v>19</v>
      </c>
      <c r="C365" t="s">
        <v>14</v>
      </c>
      <c r="D365" t="s">
        <v>12</v>
      </c>
      <c r="E365">
        <v>153683</v>
      </c>
      <c r="F365">
        <v>5582</v>
      </c>
      <c r="G365">
        <v>907.17</v>
      </c>
      <c r="H365">
        <v>117950</v>
      </c>
      <c r="I365">
        <v>125</v>
      </c>
      <c r="J365" t="s">
        <v>13</v>
      </c>
    </row>
    <row r="366" spans="1:10" x14ac:dyDescent="0.2">
      <c r="A366" s="1">
        <v>46082</v>
      </c>
      <c r="B366" t="s">
        <v>10</v>
      </c>
      <c r="C366" t="s">
        <v>11</v>
      </c>
      <c r="D366" t="s">
        <v>12</v>
      </c>
      <c r="E366">
        <v>108440</v>
      </c>
      <c r="F366">
        <v>4278</v>
      </c>
      <c r="G366">
        <v>766.6</v>
      </c>
      <c r="H366">
        <v>84406</v>
      </c>
      <c r="I366">
        <v>182</v>
      </c>
      <c r="J366" t="s">
        <v>13</v>
      </c>
    </row>
    <row r="367" spans="1:10" x14ac:dyDescent="0.2">
      <c r="A367" s="1">
        <v>46082</v>
      </c>
      <c r="B367" t="s">
        <v>10</v>
      </c>
      <c r="C367" t="s">
        <v>14</v>
      </c>
      <c r="D367" t="s">
        <v>12</v>
      </c>
      <c r="E367">
        <v>159221</v>
      </c>
      <c r="F367">
        <v>4530</v>
      </c>
      <c r="G367">
        <v>720.2</v>
      </c>
      <c r="H367">
        <v>130036</v>
      </c>
      <c r="I367">
        <v>191</v>
      </c>
      <c r="J367" t="s">
        <v>13</v>
      </c>
    </row>
    <row r="368" spans="1:10" x14ac:dyDescent="0.2">
      <c r="A368" s="1">
        <v>46082</v>
      </c>
      <c r="B368" t="s">
        <v>15</v>
      </c>
      <c r="C368" t="s">
        <v>16</v>
      </c>
      <c r="D368" t="s">
        <v>12</v>
      </c>
      <c r="E368">
        <v>150567</v>
      </c>
      <c r="F368">
        <v>5694</v>
      </c>
      <c r="G368">
        <v>961.47</v>
      </c>
      <c r="H368">
        <v>117194</v>
      </c>
      <c r="I368">
        <v>150</v>
      </c>
      <c r="J368" t="s">
        <v>13</v>
      </c>
    </row>
    <row r="369" spans="1:10" x14ac:dyDescent="0.2">
      <c r="A369" s="1">
        <v>46082</v>
      </c>
      <c r="B369" t="s">
        <v>15</v>
      </c>
      <c r="C369" t="s">
        <v>17</v>
      </c>
      <c r="D369" t="s">
        <v>12</v>
      </c>
      <c r="E369">
        <v>159181</v>
      </c>
      <c r="F369">
        <v>6408</v>
      </c>
      <c r="G369">
        <v>1095.67</v>
      </c>
      <c r="H369">
        <v>120662</v>
      </c>
      <c r="I369">
        <v>277</v>
      </c>
      <c r="J369" t="s">
        <v>13</v>
      </c>
    </row>
    <row r="370" spans="1:10" x14ac:dyDescent="0.2">
      <c r="A370" s="1">
        <v>46082</v>
      </c>
      <c r="B370" t="s">
        <v>19</v>
      </c>
      <c r="C370" t="s">
        <v>11</v>
      </c>
      <c r="D370" t="s">
        <v>12</v>
      </c>
      <c r="E370">
        <v>93268</v>
      </c>
      <c r="F370">
        <v>2661</v>
      </c>
      <c r="G370">
        <v>473.47</v>
      </c>
      <c r="H370">
        <v>68177</v>
      </c>
      <c r="I370">
        <v>59</v>
      </c>
      <c r="J370" t="s">
        <v>13</v>
      </c>
    </row>
    <row r="371" spans="1:10" x14ac:dyDescent="0.2">
      <c r="A371" s="1">
        <v>46082</v>
      </c>
      <c r="B371" t="s">
        <v>19</v>
      </c>
      <c r="C371" t="s">
        <v>14</v>
      </c>
      <c r="D371" t="s">
        <v>12</v>
      </c>
      <c r="E371">
        <v>105450</v>
      </c>
      <c r="F371">
        <v>3703</v>
      </c>
      <c r="G371">
        <v>579.59</v>
      </c>
      <c r="H371">
        <v>78074</v>
      </c>
      <c r="I371">
        <v>129</v>
      </c>
      <c r="J371" t="s">
        <v>13</v>
      </c>
    </row>
    <row r="372" spans="1:10" x14ac:dyDescent="0.2">
      <c r="A372" s="1">
        <v>46083</v>
      </c>
      <c r="B372" t="s">
        <v>10</v>
      </c>
      <c r="C372" t="s">
        <v>11</v>
      </c>
      <c r="D372" t="s">
        <v>12</v>
      </c>
      <c r="E372">
        <v>156191</v>
      </c>
      <c r="F372">
        <v>6817</v>
      </c>
      <c r="G372">
        <v>1192.3800000000001</v>
      </c>
      <c r="H372">
        <v>123950</v>
      </c>
      <c r="I372">
        <v>161</v>
      </c>
      <c r="J372" t="s">
        <v>13</v>
      </c>
    </row>
    <row r="373" spans="1:10" x14ac:dyDescent="0.2">
      <c r="A373" s="1">
        <v>46083</v>
      </c>
      <c r="B373" t="s">
        <v>10</v>
      </c>
      <c r="C373" t="s">
        <v>14</v>
      </c>
      <c r="D373" t="s">
        <v>12</v>
      </c>
      <c r="E373">
        <v>75527</v>
      </c>
      <c r="F373">
        <v>2780</v>
      </c>
      <c r="G373">
        <v>451.57</v>
      </c>
      <c r="H373">
        <v>61917</v>
      </c>
      <c r="I373">
        <v>95</v>
      </c>
      <c r="J373" t="s">
        <v>13</v>
      </c>
    </row>
    <row r="374" spans="1:10" x14ac:dyDescent="0.2">
      <c r="A374" s="1">
        <v>46083</v>
      </c>
      <c r="B374" t="s">
        <v>15</v>
      </c>
      <c r="C374" t="s">
        <v>16</v>
      </c>
      <c r="D374" t="s">
        <v>12</v>
      </c>
      <c r="E374">
        <v>116208</v>
      </c>
      <c r="F374">
        <v>3873</v>
      </c>
      <c r="G374">
        <v>569.04999999999995</v>
      </c>
      <c r="H374">
        <v>94269</v>
      </c>
      <c r="I374">
        <v>119</v>
      </c>
      <c r="J374" t="s">
        <v>13</v>
      </c>
    </row>
    <row r="375" spans="1:10" x14ac:dyDescent="0.2">
      <c r="A375" s="1">
        <v>46083</v>
      </c>
      <c r="B375" t="s">
        <v>15</v>
      </c>
      <c r="C375" t="s">
        <v>17</v>
      </c>
      <c r="D375" t="s">
        <v>12</v>
      </c>
      <c r="E375">
        <v>112368</v>
      </c>
      <c r="F375">
        <v>4437</v>
      </c>
      <c r="G375">
        <v>775.17</v>
      </c>
      <c r="H375">
        <v>88554</v>
      </c>
      <c r="I375">
        <v>190</v>
      </c>
      <c r="J375" t="s">
        <v>13</v>
      </c>
    </row>
    <row r="376" spans="1:10" x14ac:dyDescent="0.2">
      <c r="A376" s="1">
        <v>46084</v>
      </c>
      <c r="B376" t="s">
        <v>10</v>
      </c>
      <c r="C376" t="s">
        <v>11</v>
      </c>
      <c r="D376" t="s">
        <v>12</v>
      </c>
      <c r="E376">
        <v>97045</v>
      </c>
      <c r="F376">
        <v>3723</v>
      </c>
      <c r="G376">
        <v>549.85</v>
      </c>
      <c r="H376">
        <v>72264</v>
      </c>
      <c r="I376">
        <v>135</v>
      </c>
      <c r="J376" t="s">
        <v>13</v>
      </c>
    </row>
    <row r="377" spans="1:10" x14ac:dyDescent="0.2">
      <c r="A377" s="1">
        <v>46084</v>
      </c>
      <c r="B377" t="s">
        <v>10</v>
      </c>
      <c r="C377" t="s">
        <v>14</v>
      </c>
      <c r="D377" t="s">
        <v>12</v>
      </c>
      <c r="E377">
        <v>90314</v>
      </c>
      <c r="F377">
        <v>3974</v>
      </c>
      <c r="G377">
        <v>712.5</v>
      </c>
      <c r="H377">
        <v>71990</v>
      </c>
      <c r="I377">
        <v>160</v>
      </c>
      <c r="J377" t="s">
        <v>13</v>
      </c>
    </row>
    <row r="378" spans="1:10" x14ac:dyDescent="0.2">
      <c r="A378" s="1">
        <v>46084</v>
      </c>
      <c r="B378" t="s">
        <v>15</v>
      </c>
      <c r="C378" t="s">
        <v>16</v>
      </c>
      <c r="D378" t="s">
        <v>12</v>
      </c>
      <c r="E378">
        <v>135322</v>
      </c>
      <c r="F378">
        <v>4518</v>
      </c>
      <c r="G378">
        <v>695.56</v>
      </c>
      <c r="H378">
        <v>110066</v>
      </c>
      <c r="I378">
        <v>192</v>
      </c>
      <c r="J378" t="s">
        <v>13</v>
      </c>
    </row>
    <row r="379" spans="1:10" x14ac:dyDescent="0.2">
      <c r="A379" s="1">
        <v>46084</v>
      </c>
      <c r="B379" t="s">
        <v>15</v>
      </c>
      <c r="C379" t="s">
        <v>17</v>
      </c>
      <c r="D379" t="s">
        <v>12</v>
      </c>
      <c r="E379">
        <v>98594</v>
      </c>
      <c r="F379">
        <v>3242</v>
      </c>
      <c r="G379">
        <v>528.25</v>
      </c>
      <c r="H379">
        <v>76343</v>
      </c>
      <c r="I379">
        <v>146</v>
      </c>
      <c r="J379" t="s">
        <v>13</v>
      </c>
    </row>
    <row r="380" spans="1:10" x14ac:dyDescent="0.2">
      <c r="A380" s="1">
        <v>46085</v>
      </c>
      <c r="B380" t="s">
        <v>10</v>
      </c>
      <c r="C380" t="s">
        <v>11</v>
      </c>
      <c r="D380" t="s">
        <v>12</v>
      </c>
      <c r="E380">
        <v>119225</v>
      </c>
      <c r="F380">
        <v>4997</v>
      </c>
      <c r="G380">
        <v>890.39</v>
      </c>
      <c r="H380">
        <v>95435</v>
      </c>
      <c r="I380">
        <v>147</v>
      </c>
      <c r="J380" t="s">
        <v>13</v>
      </c>
    </row>
    <row r="381" spans="1:10" x14ac:dyDescent="0.2">
      <c r="A381" s="1">
        <v>46085</v>
      </c>
      <c r="B381" t="s">
        <v>10</v>
      </c>
      <c r="C381" t="s">
        <v>14</v>
      </c>
      <c r="D381" t="s">
        <v>12</v>
      </c>
      <c r="E381">
        <v>101010</v>
      </c>
      <c r="F381">
        <v>4468</v>
      </c>
      <c r="G381">
        <v>639.64</v>
      </c>
      <c r="H381">
        <v>82060</v>
      </c>
      <c r="I381">
        <v>174</v>
      </c>
      <c r="J381" t="s">
        <v>13</v>
      </c>
    </row>
    <row r="382" spans="1:10" x14ac:dyDescent="0.2">
      <c r="A382" s="1">
        <v>46085</v>
      </c>
      <c r="B382" t="s">
        <v>15</v>
      </c>
      <c r="C382" t="s">
        <v>16</v>
      </c>
      <c r="D382" t="s">
        <v>12</v>
      </c>
      <c r="E382">
        <v>133630</v>
      </c>
      <c r="F382">
        <v>4227</v>
      </c>
      <c r="G382">
        <v>731.77</v>
      </c>
      <c r="H382">
        <v>99836</v>
      </c>
      <c r="I382">
        <v>154</v>
      </c>
      <c r="J382" t="s">
        <v>13</v>
      </c>
    </row>
    <row r="383" spans="1:10" x14ac:dyDescent="0.2">
      <c r="A383" s="1">
        <v>46085</v>
      </c>
      <c r="B383" t="s">
        <v>15</v>
      </c>
      <c r="C383" t="s">
        <v>17</v>
      </c>
      <c r="D383" t="s">
        <v>12</v>
      </c>
      <c r="E383">
        <v>98281</v>
      </c>
      <c r="F383">
        <v>2981</v>
      </c>
      <c r="G383">
        <v>490.75</v>
      </c>
      <c r="H383">
        <v>76529</v>
      </c>
      <c r="I383">
        <v>84</v>
      </c>
      <c r="J383" t="s">
        <v>13</v>
      </c>
    </row>
    <row r="384" spans="1:10" x14ac:dyDescent="0.2">
      <c r="A384" s="1">
        <v>46086</v>
      </c>
      <c r="B384" t="s">
        <v>10</v>
      </c>
      <c r="C384" t="s">
        <v>11</v>
      </c>
      <c r="D384" t="s">
        <v>12</v>
      </c>
      <c r="E384">
        <v>166134</v>
      </c>
      <c r="F384">
        <v>7208</v>
      </c>
      <c r="G384">
        <v>1074.19</v>
      </c>
      <c r="H384">
        <v>123484</v>
      </c>
      <c r="I384">
        <v>177</v>
      </c>
      <c r="J384" t="s">
        <v>13</v>
      </c>
    </row>
    <row r="385" spans="1:10" x14ac:dyDescent="0.2">
      <c r="A385" s="1">
        <v>46086</v>
      </c>
      <c r="B385" t="s">
        <v>10</v>
      </c>
      <c r="C385" t="s">
        <v>14</v>
      </c>
      <c r="D385" t="s">
        <v>12</v>
      </c>
      <c r="E385">
        <v>108279</v>
      </c>
      <c r="F385">
        <v>4352</v>
      </c>
      <c r="G385">
        <v>626.78</v>
      </c>
      <c r="H385">
        <v>86306</v>
      </c>
      <c r="I385">
        <v>96</v>
      </c>
      <c r="J385" t="s">
        <v>13</v>
      </c>
    </row>
    <row r="386" spans="1:10" x14ac:dyDescent="0.2">
      <c r="A386" s="1">
        <v>46086</v>
      </c>
      <c r="B386" t="s">
        <v>15</v>
      </c>
      <c r="C386" t="s">
        <v>16</v>
      </c>
      <c r="D386" t="s">
        <v>12</v>
      </c>
      <c r="E386">
        <v>145775</v>
      </c>
      <c r="F386">
        <v>6505</v>
      </c>
      <c r="G386">
        <v>951.8</v>
      </c>
      <c r="H386">
        <v>114475</v>
      </c>
      <c r="I386">
        <v>292</v>
      </c>
      <c r="J386" t="s">
        <v>13</v>
      </c>
    </row>
    <row r="387" spans="1:10" x14ac:dyDescent="0.2">
      <c r="A387" s="1">
        <v>46086</v>
      </c>
      <c r="B387" t="s">
        <v>15</v>
      </c>
      <c r="C387" t="s">
        <v>17</v>
      </c>
      <c r="D387" t="s">
        <v>12</v>
      </c>
      <c r="E387">
        <v>133055</v>
      </c>
      <c r="F387">
        <v>4805</v>
      </c>
      <c r="G387">
        <v>711.04</v>
      </c>
      <c r="H387">
        <v>108624</v>
      </c>
      <c r="I387">
        <v>145</v>
      </c>
      <c r="J387" t="s">
        <v>13</v>
      </c>
    </row>
    <row r="388" spans="1:10" x14ac:dyDescent="0.2">
      <c r="A388" s="1">
        <v>46087</v>
      </c>
      <c r="B388" t="s">
        <v>10</v>
      </c>
      <c r="C388" t="s">
        <v>11</v>
      </c>
      <c r="D388" t="s">
        <v>12</v>
      </c>
      <c r="E388">
        <v>162056</v>
      </c>
      <c r="F388">
        <v>4700</v>
      </c>
      <c r="G388">
        <v>802.52</v>
      </c>
      <c r="H388">
        <v>127251</v>
      </c>
      <c r="I388">
        <v>131</v>
      </c>
      <c r="J388" t="s">
        <v>13</v>
      </c>
    </row>
    <row r="389" spans="1:10" x14ac:dyDescent="0.2">
      <c r="A389" s="1">
        <v>46087</v>
      </c>
      <c r="B389" t="s">
        <v>10</v>
      </c>
      <c r="C389" t="s">
        <v>14</v>
      </c>
      <c r="D389" t="s">
        <v>12</v>
      </c>
      <c r="E389">
        <v>58354</v>
      </c>
      <c r="F389">
        <v>2539</v>
      </c>
      <c r="G389">
        <v>373.24</v>
      </c>
      <c r="H389">
        <v>47163</v>
      </c>
      <c r="I389">
        <v>67</v>
      </c>
      <c r="J389" t="s">
        <v>13</v>
      </c>
    </row>
    <row r="390" spans="1:10" x14ac:dyDescent="0.2">
      <c r="A390" s="1">
        <v>46087</v>
      </c>
      <c r="B390" t="s">
        <v>15</v>
      </c>
      <c r="C390" t="s">
        <v>16</v>
      </c>
      <c r="D390" t="s">
        <v>12</v>
      </c>
      <c r="E390">
        <v>58191</v>
      </c>
      <c r="F390">
        <v>2615</v>
      </c>
      <c r="G390">
        <v>407.63</v>
      </c>
      <c r="H390">
        <v>44780</v>
      </c>
      <c r="I390">
        <v>121</v>
      </c>
      <c r="J390" t="s">
        <v>13</v>
      </c>
    </row>
    <row r="391" spans="1:10" x14ac:dyDescent="0.2">
      <c r="A391" s="1">
        <v>46087</v>
      </c>
      <c r="B391" t="s">
        <v>15</v>
      </c>
      <c r="C391" t="s">
        <v>17</v>
      </c>
      <c r="D391" t="s">
        <v>12</v>
      </c>
      <c r="E391">
        <v>101323</v>
      </c>
      <c r="F391">
        <v>4347</v>
      </c>
      <c r="G391">
        <v>610.19000000000005</v>
      </c>
      <c r="H391">
        <v>78707</v>
      </c>
      <c r="I391">
        <v>107</v>
      </c>
      <c r="J391" t="s">
        <v>13</v>
      </c>
    </row>
    <row r="392" spans="1:10" x14ac:dyDescent="0.2">
      <c r="A392" s="1">
        <v>46088</v>
      </c>
      <c r="B392" t="s">
        <v>10</v>
      </c>
      <c r="C392" t="s">
        <v>11</v>
      </c>
      <c r="D392" t="s">
        <v>12</v>
      </c>
      <c r="E392">
        <v>109088</v>
      </c>
      <c r="F392">
        <v>3582</v>
      </c>
      <c r="G392">
        <v>643.20000000000005</v>
      </c>
      <c r="H392">
        <v>84470</v>
      </c>
      <c r="I392">
        <v>124</v>
      </c>
      <c r="J392" t="s">
        <v>13</v>
      </c>
    </row>
    <row r="393" spans="1:10" x14ac:dyDescent="0.2">
      <c r="A393" s="1">
        <v>46088</v>
      </c>
      <c r="B393" t="s">
        <v>10</v>
      </c>
      <c r="C393" t="s">
        <v>14</v>
      </c>
      <c r="D393" t="s">
        <v>12</v>
      </c>
      <c r="E393">
        <v>74865</v>
      </c>
      <c r="F393">
        <v>3179</v>
      </c>
      <c r="G393">
        <v>504.57</v>
      </c>
      <c r="H393">
        <v>55346</v>
      </c>
      <c r="I393">
        <v>79</v>
      </c>
      <c r="J393" t="s">
        <v>13</v>
      </c>
    </row>
    <row r="394" spans="1:10" x14ac:dyDescent="0.2">
      <c r="A394" s="1">
        <v>46088</v>
      </c>
      <c r="B394" t="s">
        <v>15</v>
      </c>
      <c r="C394" t="s">
        <v>16</v>
      </c>
      <c r="D394" t="s">
        <v>12</v>
      </c>
      <c r="E394">
        <v>79687</v>
      </c>
      <c r="F394">
        <v>3221</v>
      </c>
      <c r="G394">
        <v>534.47</v>
      </c>
      <c r="H394">
        <v>63100</v>
      </c>
      <c r="I394">
        <v>72</v>
      </c>
      <c r="J394" t="s">
        <v>13</v>
      </c>
    </row>
    <row r="395" spans="1:10" x14ac:dyDescent="0.2">
      <c r="A395" s="1">
        <v>46088</v>
      </c>
      <c r="B395" t="s">
        <v>15</v>
      </c>
      <c r="C395" t="s">
        <v>17</v>
      </c>
      <c r="D395" t="s">
        <v>12</v>
      </c>
      <c r="E395">
        <v>109440</v>
      </c>
      <c r="F395">
        <v>4535</v>
      </c>
      <c r="G395">
        <v>737.9</v>
      </c>
      <c r="H395">
        <v>87084</v>
      </c>
      <c r="I395">
        <v>120</v>
      </c>
      <c r="J395" t="s">
        <v>13</v>
      </c>
    </row>
    <row r="396" spans="1:10" x14ac:dyDescent="0.2">
      <c r="A396" s="1">
        <v>46088</v>
      </c>
      <c r="B396" t="s">
        <v>19</v>
      </c>
      <c r="C396" t="s">
        <v>11</v>
      </c>
      <c r="D396" t="s">
        <v>12</v>
      </c>
      <c r="E396">
        <v>160834</v>
      </c>
      <c r="F396">
        <v>6956</v>
      </c>
      <c r="G396">
        <v>1203.94</v>
      </c>
      <c r="H396">
        <v>124087</v>
      </c>
      <c r="I396">
        <v>168</v>
      </c>
      <c r="J396" t="s">
        <v>13</v>
      </c>
    </row>
    <row r="397" spans="1:10" x14ac:dyDescent="0.2">
      <c r="A397" s="1">
        <v>46088</v>
      </c>
      <c r="B397" t="s">
        <v>19</v>
      </c>
      <c r="C397" t="s">
        <v>14</v>
      </c>
      <c r="D397" t="s">
        <v>12</v>
      </c>
      <c r="E397">
        <v>166036</v>
      </c>
      <c r="F397">
        <v>4918</v>
      </c>
      <c r="G397">
        <v>881.64</v>
      </c>
      <c r="H397">
        <v>127473</v>
      </c>
      <c r="I397">
        <v>227</v>
      </c>
      <c r="J397" t="s">
        <v>13</v>
      </c>
    </row>
    <row r="398" spans="1:10" x14ac:dyDescent="0.2">
      <c r="A398" s="1">
        <v>46089</v>
      </c>
      <c r="B398" t="s">
        <v>10</v>
      </c>
      <c r="C398" t="s">
        <v>11</v>
      </c>
      <c r="D398" t="s">
        <v>12</v>
      </c>
      <c r="E398">
        <v>53163</v>
      </c>
      <c r="F398">
        <v>1724</v>
      </c>
      <c r="G398">
        <v>257.60000000000002</v>
      </c>
      <c r="H398">
        <v>42284</v>
      </c>
      <c r="I398">
        <v>80</v>
      </c>
      <c r="J398" t="s">
        <v>13</v>
      </c>
    </row>
    <row r="399" spans="1:10" x14ac:dyDescent="0.2">
      <c r="A399" s="1">
        <v>46089</v>
      </c>
      <c r="B399" t="s">
        <v>10</v>
      </c>
      <c r="C399" t="s">
        <v>14</v>
      </c>
      <c r="D399" t="s">
        <v>12</v>
      </c>
      <c r="E399">
        <v>103448</v>
      </c>
      <c r="F399">
        <v>3920</v>
      </c>
      <c r="G399">
        <v>638.63</v>
      </c>
      <c r="H399">
        <v>77188</v>
      </c>
      <c r="I399">
        <v>122</v>
      </c>
      <c r="J399" t="s">
        <v>13</v>
      </c>
    </row>
    <row r="400" spans="1:10" x14ac:dyDescent="0.2">
      <c r="A400" s="1">
        <v>46089</v>
      </c>
      <c r="B400" t="s">
        <v>15</v>
      </c>
      <c r="C400" t="s">
        <v>16</v>
      </c>
      <c r="D400" t="s">
        <v>12</v>
      </c>
      <c r="E400">
        <v>92263</v>
      </c>
      <c r="F400">
        <v>2680</v>
      </c>
      <c r="G400">
        <v>387.87</v>
      </c>
      <c r="H400">
        <v>69260</v>
      </c>
      <c r="I400">
        <v>87</v>
      </c>
      <c r="J400" t="s">
        <v>13</v>
      </c>
    </row>
    <row r="401" spans="1:10" x14ac:dyDescent="0.2">
      <c r="A401" s="1">
        <v>46089</v>
      </c>
      <c r="B401" t="s">
        <v>15</v>
      </c>
      <c r="C401" t="s">
        <v>17</v>
      </c>
      <c r="D401" t="s">
        <v>12</v>
      </c>
      <c r="E401">
        <v>137625</v>
      </c>
      <c r="F401">
        <v>6013</v>
      </c>
      <c r="G401">
        <v>1055.3499999999999</v>
      </c>
      <c r="H401">
        <v>109684</v>
      </c>
      <c r="I401">
        <v>240</v>
      </c>
      <c r="J401" t="s">
        <v>13</v>
      </c>
    </row>
    <row r="402" spans="1:10" x14ac:dyDescent="0.2">
      <c r="A402" s="1">
        <v>46089</v>
      </c>
      <c r="B402" t="s">
        <v>19</v>
      </c>
      <c r="C402" t="s">
        <v>11</v>
      </c>
      <c r="D402" t="s">
        <v>12</v>
      </c>
      <c r="E402">
        <v>160832</v>
      </c>
      <c r="F402">
        <v>7008</v>
      </c>
      <c r="G402">
        <v>1063.82</v>
      </c>
      <c r="H402">
        <v>125684</v>
      </c>
      <c r="I402">
        <v>194</v>
      </c>
      <c r="J402" t="s">
        <v>13</v>
      </c>
    </row>
    <row r="403" spans="1:10" x14ac:dyDescent="0.2">
      <c r="A403" s="1">
        <v>46089</v>
      </c>
      <c r="B403" t="s">
        <v>19</v>
      </c>
      <c r="C403" t="s">
        <v>14</v>
      </c>
      <c r="D403" t="s">
        <v>12</v>
      </c>
      <c r="E403">
        <v>74759</v>
      </c>
      <c r="F403">
        <v>2700</v>
      </c>
      <c r="G403">
        <v>427.14</v>
      </c>
      <c r="H403">
        <v>61218</v>
      </c>
      <c r="I403">
        <v>85</v>
      </c>
      <c r="J403" t="s">
        <v>13</v>
      </c>
    </row>
    <row r="404" spans="1:10" x14ac:dyDescent="0.2">
      <c r="A404" s="1">
        <v>46090</v>
      </c>
      <c r="B404" t="s">
        <v>10</v>
      </c>
      <c r="C404" t="s">
        <v>11</v>
      </c>
      <c r="D404" t="s">
        <v>12</v>
      </c>
      <c r="E404">
        <v>145585</v>
      </c>
      <c r="F404">
        <v>6335</v>
      </c>
      <c r="G404">
        <v>1078.81</v>
      </c>
      <c r="H404">
        <v>116497</v>
      </c>
      <c r="I404">
        <v>275</v>
      </c>
      <c r="J404" t="s">
        <v>13</v>
      </c>
    </row>
    <row r="405" spans="1:10" x14ac:dyDescent="0.2">
      <c r="A405" s="1">
        <v>46090</v>
      </c>
      <c r="B405" t="s">
        <v>10</v>
      </c>
      <c r="C405" t="s">
        <v>14</v>
      </c>
      <c r="D405" t="s">
        <v>12</v>
      </c>
      <c r="E405">
        <v>94165</v>
      </c>
      <c r="F405">
        <v>3725</v>
      </c>
      <c r="G405">
        <v>610.28</v>
      </c>
      <c r="H405">
        <v>75213</v>
      </c>
      <c r="I405">
        <v>132</v>
      </c>
      <c r="J405" t="s">
        <v>13</v>
      </c>
    </row>
    <row r="406" spans="1:10" x14ac:dyDescent="0.2">
      <c r="A406" s="1">
        <v>46090</v>
      </c>
      <c r="B406" t="s">
        <v>15</v>
      </c>
      <c r="C406" t="s">
        <v>16</v>
      </c>
      <c r="D406" t="s">
        <v>12</v>
      </c>
      <c r="E406">
        <v>141996</v>
      </c>
      <c r="F406">
        <v>5674</v>
      </c>
      <c r="G406">
        <v>812.09</v>
      </c>
      <c r="H406">
        <v>110248</v>
      </c>
      <c r="I406">
        <v>133</v>
      </c>
      <c r="J406" t="s">
        <v>13</v>
      </c>
    </row>
    <row r="407" spans="1:10" x14ac:dyDescent="0.2">
      <c r="A407" s="1">
        <v>46090</v>
      </c>
      <c r="B407" t="s">
        <v>15</v>
      </c>
      <c r="C407" t="s">
        <v>17</v>
      </c>
      <c r="D407" t="s">
        <v>12</v>
      </c>
      <c r="E407">
        <v>145315</v>
      </c>
      <c r="F407">
        <v>6299</v>
      </c>
      <c r="G407">
        <v>932.8</v>
      </c>
      <c r="H407">
        <v>112425</v>
      </c>
      <c r="I407">
        <v>165</v>
      </c>
      <c r="J407" t="s">
        <v>13</v>
      </c>
    </row>
    <row r="408" spans="1:10" x14ac:dyDescent="0.2">
      <c r="A408" s="1">
        <v>46091</v>
      </c>
      <c r="B408" t="s">
        <v>10</v>
      </c>
      <c r="C408" t="s">
        <v>11</v>
      </c>
      <c r="D408" t="s">
        <v>12</v>
      </c>
      <c r="E408">
        <v>140662</v>
      </c>
      <c r="F408">
        <v>4995</v>
      </c>
      <c r="G408">
        <v>835.22</v>
      </c>
      <c r="H408">
        <v>111360</v>
      </c>
      <c r="I408">
        <v>173</v>
      </c>
      <c r="J408" t="s">
        <v>13</v>
      </c>
    </row>
    <row r="409" spans="1:10" x14ac:dyDescent="0.2">
      <c r="A409" s="1">
        <v>46091</v>
      </c>
      <c r="B409" t="s">
        <v>10</v>
      </c>
      <c r="C409" t="s">
        <v>14</v>
      </c>
      <c r="D409" t="s">
        <v>12</v>
      </c>
      <c r="E409">
        <v>138963</v>
      </c>
      <c r="F409">
        <v>4943</v>
      </c>
      <c r="G409">
        <v>703.02</v>
      </c>
      <c r="H409">
        <v>101886</v>
      </c>
      <c r="I409">
        <v>162</v>
      </c>
      <c r="J409" t="s">
        <v>13</v>
      </c>
    </row>
    <row r="410" spans="1:10" x14ac:dyDescent="0.2">
      <c r="A410" s="1">
        <v>46091</v>
      </c>
      <c r="B410" t="s">
        <v>15</v>
      </c>
      <c r="C410" t="s">
        <v>16</v>
      </c>
      <c r="D410" t="s">
        <v>12</v>
      </c>
      <c r="E410">
        <v>148085</v>
      </c>
      <c r="F410">
        <v>4291</v>
      </c>
      <c r="G410">
        <v>680.1</v>
      </c>
      <c r="H410">
        <v>118570</v>
      </c>
      <c r="I410">
        <v>175</v>
      </c>
      <c r="J410" t="s">
        <v>13</v>
      </c>
    </row>
    <row r="411" spans="1:10" x14ac:dyDescent="0.2">
      <c r="A411" s="1">
        <v>46091</v>
      </c>
      <c r="B411" t="s">
        <v>15</v>
      </c>
      <c r="C411" t="s">
        <v>17</v>
      </c>
      <c r="D411" t="s">
        <v>12</v>
      </c>
      <c r="E411">
        <v>119466</v>
      </c>
      <c r="F411">
        <v>3861</v>
      </c>
      <c r="G411">
        <v>541.01</v>
      </c>
      <c r="H411">
        <v>88618</v>
      </c>
      <c r="I411">
        <v>92</v>
      </c>
      <c r="J411" t="s">
        <v>13</v>
      </c>
    </row>
    <row r="412" spans="1:10" x14ac:dyDescent="0.2">
      <c r="A412" s="1">
        <v>46092</v>
      </c>
      <c r="B412" t="s">
        <v>10</v>
      </c>
      <c r="C412" t="s">
        <v>11</v>
      </c>
      <c r="D412" t="s">
        <v>12</v>
      </c>
      <c r="E412">
        <v>124194</v>
      </c>
      <c r="F412">
        <v>4204</v>
      </c>
      <c r="G412">
        <v>599.28</v>
      </c>
      <c r="H412">
        <v>101766</v>
      </c>
      <c r="I412">
        <v>194</v>
      </c>
      <c r="J412" t="s">
        <v>13</v>
      </c>
    </row>
    <row r="413" spans="1:10" x14ac:dyDescent="0.2">
      <c r="A413" s="1">
        <v>46092</v>
      </c>
      <c r="B413" t="s">
        <v>10</v>
      </c>
      <c r="C413" t="s">
        <v>14</v>
      </c>
      <c r="D413" t="s">
        <v>12</v>
      </c>
      <c r="E413">
        <v>63759</v>
      </c>
      <c r="F413">
        <v>2854</v>
      </c>
      <c r="G413">
        <v>453.45</v>
      </c>
      <c r="H413">
        <v>47736</v>
      </c>
      <c r="I413">
        <v>76</v>
      </c>
      <c r="J413" t="s">
        <v>13</v>
      </c>
    </row>
    <row r="414" spans="1:10" x14ac:dyDescent="0.2">
      <c r="A414" s="1">
        <v>46092</v>
      </c>
      <c r="B414" t="s">
        <v>15</v>
      </c>
      <c r="C414" t="s">
        <v>16</v>
      </c>
      <c r="D414" t="s">
        <v>12</v>
      </c>
      <c r="E414">
        <v>75075</v>
      </c>
      <c r="F414">
        <v>3079</v>
      </c>
      <c r="G414">
        <v>551.54999999999995</v>
      </c>
      <c r="H414">
        <v>58902</v>
      </c>
      <c r="I414">
        <v>101</v>
      </c>
      <c r="J414" t="s">
        <v>13</v>
      </c>
    </row>
    <row r="415" spans="1:10" x14ac:dyDescent="0.2">
      <c r="A415" s="1">
        <v>46092</v>
      </c>
      <c r="B415" t="s">
        <v>15</v>
      </c>
      <c r="C415" t="s">
        <v>17</v>
      </c>
      <c r="D415" t="s">
        <v>12</v>
      </c>
      <c r="E415">
        <v>117171</v>
      </c>
      <c r="F415">
        <v>4174</v>
      </c>
      <c r="G415">
        <v>737.48</v>
      </c>
      <c r="H415">
        <v>88786</v>
      </c>
      <c r="I415">
        <v>100</v>
      </c>
      <c r="J415" t="s">
        <v>13</v>
      </c>
    </row>
    <row r="416" spans="1:10" x14ac:dyDescent="0.2">
      <c r="A416" s="1">
        <v>46093</v>
      </c>
      <c r="B416" t="s">
        <v>10</v>
      </c>
      <c r="C416" t="s">
        <v>11</v>
      </c>
      <c r="D416" t="s">
        <v>12</v>
      </c>
      <c r="E416">
        <v>164764</v>
      </c>
      <c r="F416">
        <v>7063</v>
      </c>
      <c r="G416">
        <v>1026.3900000000001</v>
      </c>
      <c r="H416">
        <v>132804</v>
      </c>
      <c r="I416">
        <v>177</v>
      </c>
      <c r="J416" t="s">
        <v>13</v>
      </c>
    </row>
    <row r="417" spans="1:10" x14ac:dyDescent="0.2">
      <c r="A417" s="1">
        <v>46093</v>
      </c>
      <c r="B417" t="s">
        <v>10</v>
      </c>
      <c r="C417" t="s">
        <v>14</v>
      </c>
      <c r="D417" t="s">
        <v>12</v>
      </c>
      <c r="E417">
        <v>143544</v>
      </c>
      <c r="F417">
        <v>4978</v>
      </c>
      <c r="G417">
        <v>722.28</v>
      </c>
      <c r="H417">
        <v>117400</v>
      </c>
      <c r="I417">
        <v>217</v>
      </c>
      <c r="J417" t="s">
        <v>13</v>
      </c>
    </row>
    <row r="418" spans="1:10" x14ac:dyDescent="0.2">
      <c r="A418" s="1">
        <v>46093</v>
      </c>
      <c r="B418" t="s">
        <v>15</v>
      </c>
      <c r="C418" t="s">
        <v>16</v>
      </c>
      <c r="D418" t="s">
        <v>12</v>
      </c>
      <c r="E418">
        <v>55872</v>
      </c>
      <c r="F418">
        <v>2493</v>
      </c>
      <c r="G418">
        <v>395.19</v>
      </c>
      <c r="H418">
        <v>44245</v>
      </c>
      <c r="I418">
        <v>82</v>
      </c>
      <c r="J418" t="s">
        <v>13</v>
      </c>
    </row>
    <row r="419" spans="1:10" x14ac:dyDescent="0.2">
      <c r="A419" s="1">
        <v>46093</v>
      </c>
      <c r="B419" t="s">
        <v>15</v>
      </c>
      <c r="C419" t="s">
        <v>17</v>
      </c>
      <c r="D419" t="s">
        <v>12</v>
      </c>
      <c r="E419">
        <v>116625</v>
      </c>
      <c r="F419">
        <v>4897</v>
      </c>
      <c r="G419">
        <v>734.06</v>
      </c>
      <c r="H419">
        <v>88007</v>
      </c>
      <c r="I419">
        <v>142</v>
      </c>
      <c r="J419" t="s">
        <v>13</v>
      </c>
    </row>
    <row r="420" spans="1:10" x14ac:dyDescent="0.2">
      <c r="A420" s="1">
        <v>46094</v>
      </c>
      <c r="B420" t="s">
        <v>10</v>
      </c>
      <c r="C420" t="s">
        <v>11</v>
      </c>
      <c r="D420" t="s">
        <v>12</v>
      </c>
      <c r="E420">
        <v>71227</v>
      </c>
      <c r="F420">
        <v>2033</v>
      </c>
      <c r="G420">
        <v>338.31</v>
      </c>
      <c r="H420">
        <v>55663</v>
      </c>
      <c r="I420">
        <v>94</v>
      </c>
      <c r="J420" t="s">
        <v>13</v>
      </c>
    </row>
    <row r="421" spans="1:10" x14ac:dyDescent="0.2">
      <c r="A421" s="1">
        <v>46094</v>
      </c>
      <c r="B421" t="s">
        <v>10</v>
      </c>
      <c r="C421" t="s">
        <v>14</v>
      </c>
      <c r="D421" t="s">
        <v>12</v>
      </c>
      <c r="E421">
        <v>54665</v>
      </c>
      <c r="F421">
        <v>1754</v>
      </c>
      <c r="G421">
        <v>250.28</v>
      </c>
      <c r="H421">
        <v>42605</v>
      </c>
      <c r="I421">
        <v>58</v>
      </c>
      <c r="J421" t="s">
        <v>13</v>
      </c>
    </row>
    <row r="422" spans="1:10" x14ac:dyDescent="0.2">
      <c r="A422" s="1">
        <v>46094</v>
      </c>
      <c r="B422" t="s">
        <v>15</v>
      </c>
      <c r="C422" t="s">
        <v>16</v>
      </c>
      <c r="D422" t="s">
        <v>12</v>
      </c>
      <c r="E422">
        <v>166507</v>
      </c>
      <c r="F422">
        <v>6652</v>
      </c>
      <c r="G422">
        <v>944.23</v>
      </c>
      <c r="H422">
        <v>132215</v>
      </c>
      <c r="I422">
        <v>215</v>
      </c>
      <c r="J422" t="s">
        <v>13</v>
      </c>
    </row>
    <row r="423" spans="1:10" x14ac:dyDescent="0.2">
      <c r="A423" s="1">
        <v>46094</v>
      </c>
      <c r="B423" t="s">
        <v>15</v>
      </c>
      <c r="C423" t="s">
        <v>17</v>
      </c>
      <c r="D423" t="s">
        <v>12</v>
      </c>
      <c r="E423">
        <v>91929</v>
      </c>
      <c r="F423">
        <v>3417</v>
      </c>
      <c r="G423">
        <v>581.49</v>
      </c>
      <c r="H423">
        <v>73323</v>
      </c>
      <c r="I423">
        <v>87</v>
      </c>
      <c r="J423" t="s">
        <v>13</v>
      </c>
    </row>
    <row r="424" spans="1:10" x14ac:dyDescent="0.2">
      <c r="A424" s="1">
        <v>46095</v>
      </c>
      <c r="B424" t="s">
        <v>10</v>
      </c>
      <c r="C424" t="s">
        <v>11</v>
      </c>
      <c r="D424" t="s">
        <v>12</v>
      </c>
      <c r="E424">
        <v>101288</v>
      </c>
      <c r="F424">
        <v>3239</v>
      </c>
      <c r="G424">
        <v>572.19000000000005</v>
      </c>
      <c r="H424">
        <v>78762</v>
      </c>
      <c r="I424">
        <v>119</v>
      </c>
      <c r="J424" t="s">
        <v>13</v>
      </c>
    </row>
    <row r="425" spans="1:10" x14ac:dyDescent="0.2">
      <c r="A425" s="1">
        <v>46095</v>
      </c>
      <c r="B425" t="s">
        <v>10</v>
      </c>
      <c r="C425" t="s">
        <v>14</v>
      </c>
      <c r="D425" t="s">
        <v>12</v>
      </c>
      <c r="E425">
        <v>166595</v>
      </c>
      <c r="F425">
        <v>6982</v>
      </c>
      <c r="G425">
        <v>1043.6400000000001</v>
      </c>
      <c r="H425">
        <v>134546</v>
      </c>
      <c r="I425">
        <v>332</v>
      </c>
      <c r="J425" t="s">
        <v>13</v>
      </c>
    </row>
    <row r="426" spans="1:10" x14ac:dyDescent="0.2">
      <c r="A426" s="1">
        <v>46095</v>
      </c>
      <c r="B426" t="s">
        <v>15</v>
      </c>
      <c r="C426" t="s">
        <v>16</v>
      </c>
      <c r="D426" t="s">
        <v>12</v>
      </c>
      <c r="E426">
        <v>140817</v>
      </c>
      <c r="F426">
        <v>4472</v>
      </c>
      <c r="G426">
        <v>679.83</v>
      </c>
      <c r="H426">
        <v>102246</v>
      </c>
      <c r="I426">
        <v>208</v>
      </c>
      <c r="J426" t="s">
        <v>13</v>
      </c>
    </row>
    <row r="427" spans="1:10" x14ac:dyDescent="0.2">
      <c r="A427" s="1">
        <v>46095</v>
      </c>
      <c r="B427" t="s">
        <v>15</v>
      </c>
      <c r="C427" t="s">
        <v>17</v>
      </c>
      <c r="D427" t="s">
        <v>12</v>
      </c>
      <c r="E427">
        <v>81841</v>
      </c>
      <c r="F427">
        <v>3162</v>
      </c>
      <c r="G427">
        <v>496.71</v>
      </c>
      <c r="H427">
        <v>62981</v>
      </c>
      <c r="I427">
        <v>149</v>
      </c>
      <c r="J427" t="s">
        <v>13</v>
      </c>
    </row>
    <row r="428" spans="1:10" x14ac:dyDescent="0.2">
      <c r="A428" s="1">
        <v>46095</v>
      </c>
      <c r="B428" t="s">
        <v>19</v>
      </c>
      <c r="C428" t="s">
        <v>11</v>
      </c>
      <c r="D428" t="s">
        <v>12</v>
      </c>
      <c r="E428">
        <v>161616</v>
      </c>
      <c r="F428">
        <v>6369</v>
      </c>
      <c r="G428">
        <v>1091.8499999999999</v>
      </c>
      <c r="H428">
        <v>121514</v>
      </c>
      <c r="I428">
        <v>209</v>
      </c>
      <c r="J428" t="s">
        <v>13</v>
      </c>
    </row>
    <row r="429" spans="1:10" x14ac:dyDescent="0.2">
      <c r="A429" s="1">
        <v>46095</v>
      </c>
      <c r="B429" t="s">
        <v>19</v>
      </c>
      <c r="C429" t="s">
        <v>14</v>
      </c>
      <c r="D429" t="s">
        <v>12</v>
      </c>
      <c r="E429">
        <v>77425</v>
      </c>
      <c r="F429">
        <v>2562</v>
      </c>
      <c r="G429">
        <v>377.52</v>
      </c>
      <c r="H429">
        <v>59910</v>
      </c>
      <c r="I429">
        <v>72</v>
      </c>
      <c r="J429" t="s">
        <v>13</v>
      </c>
    </row>
    <row r="430" spans="1:10" x14ac:dyDescent="0.2">
      <c r="A430" s="1">
        <v>46096</v>
      </c>
      <c r="B430" t="s">
        <v>10</v>
      </c>
      <c r="C430" t="s">
        <v>11</v>
      </c>
      <c r="D430" t="s">
        <v>12</v>
      </c>
      <c r="E430">
        <v>90396</v>
      </c>
      <c r="F430">
        <v>2993</v>
      </c>
      <c r="G430">
        <v>503.73</v>
      </c>
      <c r="H430">
        <v>72369</v>
      </c>
      <c r="I430">
        <v>137</v>
      </c>
      <c r="J430" t="s">
        <v>13</v>
      </c>
    </row>
    <row r="431" spans="1:10" x14ac:dyDescent="0.2">
      <c r="A431" s="1">
        <v>46096</v>
      </c>
      <c r="B431" t="s">
        <v>10</v>
      </c>
      <c r="C431" t="s">
        <v>14</v>
      </c>
      <c r="D431" t="s">
        <v>12</v>
      </c>
      <c r="E431">
        <v>147826</v>
      </c>
      <c r="F431">
        <v>5176</v>
      </c>
      <c r="G431">
        <v>810.87</v>
      </c>
      <c r="H431">
        <v>114269</v>
      </c>
      <c r="I431">
        <v>166</v>
      </c>
      <c r="J431" t="s">
        <v>13</v>
      </c>
    </row>
    <row r="432" spans="1:10" x14ac:dyDescent="0.2">
      <c r="A432" s="1">
        <v>46096</v>
      </c>
      <c r="B432" t="s">
        <v>15</v>
      </c>
      <c r="C432" t="s">
        <v>16</v>
      </c>
      <c r="D432" t="s">
        <v>12</v>
      </c>
      <c r="E432">
        <v>95448</v>
      </c>
      <c r="F432">
        <v>3002</v>
      </c>
      <c r="G432">
        <v>497.94</v>
      </c>
      <c r="H432">
        <v>77525</v>
      </c>
      <c r="I432">
        <v>132</v>
      </c>
      <c r="J432" t="s">
        <v>13</v>
      </c>
    </row>
    <row r="433" spans="1:10" x14ac:dyDescent="0.2">
      <c r="A433" s="1">
        <v>46096</v>
      </c>
      <c r="B433" t="s">
        <v>15</v>
      </c>
      <c r="C433" t="s">
        <v>17</v>
      </c>
      <c r="D433" t="s">
        <v>12</v>
      </c>
      <c r="E433">
        <v>67754</v>
      </c>
      <c r="F433">
        <v>2514</v>
      </c>
      <c r="G433">
        <v>435.37</v>
      </c>
      <c r="H433">
        <v>49132</v>
      </c>
      <c r="I433">
        <v>79</v>
      </c>
      <c r="J433" t="s">
        <v>13</v>
      </c>
    </row>
    <row r="434" spans="1:10" x14ac:dyDescent="0.2">
      <c r="A434" s="1">
        <v>46096</v>
      </c>
      <c r="B434" t="s">
        <v>19</v>
      </c>
      <c r="C434" t="s">
        <v>11</v>
      </c>
      <c r="D434" t="s">
        <v>12</v>
      </c>
      <c r="E434">
        <v>155082</v>
      </c>
      <c r="F434">
        <v>5931</v>
      </c>
      <c r="G434">
        <v>1037.5999999999999</v>
      </c>
      <c r="H434">
        <v>114577</v>
      </c>
      <c r="I434">
        <v>247</v>
      </c>
      <c r="J434" t="s">
        <v>13</v>
      </c>
    </row>
    <row r="435" spans="1:10" x14ac:dyDescent="0.2">
      <c r="A435" s="1">
        <v>46096</v>
      </c>
      <c r="B435" t="s">
        <v>19</v>
      </c>
      <c r="C435" t="s">
        <v>14</v>
      </c>
      <c r="D435" t="s">
        <v>12</v>
      </c>
      <c r="E435">
        <v>166410</v>
      </c>
      <c r="F435">
        <v>6240</v>
      </c>
      <c r="G435">
        <v>993.26</v>
      </c>
      <c r="H435">
        <v>134284</v>
      </c>
      <c r="I435">
        <v>191</v>
      </c>
      <c r="J435" t="s">
        <v>13</v>
      </c>
    </row>
    <row r="436" spans="1:10" x14ac:dyDescent="0.2">
      <c r="A436" s="1">
        <v>46096</v>
      </c>
      <c r="B436" t="s">
        <v>21</v>
      </c>
      <c r="C436" t="s">
        <v>11</v>
      </c>
      <c r="D436" t="s">
        <v>12</v>
      </c>
      <c r="E436">
        <v>54611</v>
      </c>
      <c r="F436">
        <v>1725</v>
      </c>
      <c r="G436">
        <v>254.61</v>
      </c>
      <c r="H436">
        <v>43369</v>
      </c>
      <c r="I436">
        <v>71</v>
      </c>
      <c r="J436" t="s">
        <v>13</v>
      </c>
    </row>
    <row r="437" spans="1:10" x14ac:dyDescent="0.2">
      <c r="A437" s="1">
        <v>46096</v>
      </c>
      <c r="B437" t="s">
        <v>21</v>
      </c>
      <c r="C437" t="s">
        <v>14</v>
      </c>
      <c r="D437" t="s">
        <v>12</v>
      </c>
      <c r="E437">
        <v>133604</v>
      </c>
      <c r="F437">
        <v>5817</v>
      </c>
      <c r="G437">
        <v>976.24</v>
      </c>
      <c r="H437">
        <v>105597</v>
      </c>
      <c r="I437">
        <v>187</v>
      </c>
      <c r="J437" t="s">
        <v>13</v>
      </c>
    </row>
    <row r="438" spans="1:10" x14ac:dyDescent="0.2">
      <c r="A438" s="1">
        <v>46097</v>
      </c>
      <c r="B438" t="s">
        <v>10</v>
      </c>
      <c r="C438" t="s">
        <v>11</v>
      </c>
      <c r="D438" t="s">
        <v>12</v>
      </c>
      <c r="E438">
        <v>92779</v>
      </c>
      <c r="F438">
        <v>3468</v>
      </c>
      <c r="G438">
        <v>593.1</v>
      </c>
      <c r="H438">
        <v>70332</v>
      </c>
      <c r="I438">
        <v>124</v>
      </c>
      <c r="J438" t="s">
        <v>13</v>
      </c>
    </row>
    <row r="439" spans="1:10" x14ac:dyDescent="0.2">
      <c r="A439" s="1">
        <v>46097</v>
      </c>
      <c r="B439" t="s">
        <v>10</v>
      </c>
      <c r="C439" t="s">
        <v>14</v>
      </c>
      <c r="D439" t="s">
        <v>12</v>
      </c>
      <c r="E439">
        <v>113214</v>
      </c>
      <c r="F439">
        <v>3763</v>
      </c>
      <c r="G439">
        <v>580.95000000000005</v>
      </c>
      <c r="H439">
        <v>91508</v>
      </c>
      <c r="I439">
        <v>128</v>
      </c>
      <c r="J439" t="s">
        <v>13</v>
      </c>
    </row>
    <row r="440" spans="1:10" x14ac:dyDescent="0.2">
      <c r="A440" s="1">
        <v>46097</v>
      </c>
      <c r="B440" t="s">
        <v>15</v>
      </c>
      <c r="C440" t="s">
        <v>16</v>
      </c>
      <c r="D440" t="s">
        <v>12</v>
      </c>
      <c r="E440">
        <v>131998</v>
      </c>
      <c r="F440">
        <v>5405</v>
      </c>
      <c r="G440">
        <v>825.93</v>
      </c>
      <c r="H440">
        <v>97719</v>
      </c>
      <c r="I440">
        <v>162</v>
      </c>
      <c r="J440" t="s">
        <v>13</v>
      </c>
    </row>
    <row r="441" spans="1:10" x14ac:dyDescent="0.2">
      <c r="A441" s="1">
        <v>46097</v>
      </c>
      <c r="B441" t="s">
        <v>15</v>
      </c>
      <c r="C441" t="s">
        <v>17</v>
      </c>
      <c r="D441" t="s">
        <v>12</v>
      </c>
      <c r="E441">
        <v>59789</v>
      </c>
      <c r="F441">
        <v>2245</v>
      </c>
      <c r="G441">
        <v>334.17</v>
      </c>
      <c r="H441">
        <v>43920</v>
      </c>
      <c r="I441">
        <v>64</v>
      </c>
      <c r="J441" t="s">
        <v>13</v>
      </c>
    </row>
    <row r="442" spans="1:10" x14ac:dyDescent="0.2">
      <c r="A442" s="1">
        <v>46097</v>
      </c>
      <c r="B442" t="s">
        <v>21</v>
      </c>
      <c r="C442" t="s">
        <v>11</v>
      </c>
      <c r="D442" t="s">
        <v>12</v>
      </c>
      <c r="E442">
        <v>151515</v>
      </c>
      <c r="F442">
        <v>5734</v>
      </c>
      <c r="G442">
        <v>898.54</v>
      </c>
      <c r="H442">
        <v>111400</v>
      </c>
      <c r="I442">
        <v>175</v>
      </c>
      <c r="J442" t="s">
        <v>13</v>
      </c>
    </row>
    <row r="443" spans="1:10" x14ac:dyDescent="0.2">
      <c r="A443" s="1">
        <v>46097</v>
      </c>
      <c r="B443" t="s">
        <v>21</v>
      </c>
      <c r="C443" t="s">
        <v>14</v>
      </c>
      <c r="D443" t="s">
        <v>12</v>
      </c>
      <c r="E443">
        <v>116721</v>
      </c>
      <c r="F443">
        <v>4398</v>
      </c>
      <c r="G443">
        <v>658.95</v>
      </c>
      <c r="H443">
        <v>90466</v>
      </c>
      <c r="I443">
        <v>204</v>
      </c>
      <c r="J443" t="s">
        <v>13</v>
      </c>
    </row>
    <row r="444" spans="1:10" x14ac:dyDescent="0.2">
      <c r="A444" s="1">
        <v>46098</v>
      </c>
      <c r="B444" t="s">
        <v>10</v>
      </c>
      <c r="C444" t="s">
        <v>11</v>
      </c>
      <c r="D444" t="s">
        <v>12</v>
      </c>
      <c r="E444">
        <v>109518</v>
      </c>
      <c r="F444">
        <v>3545</v>
      </c>
      <c r="G444">
        <v>612.79999999999995</v>
      </c>
      <c r="H444">
        <v>89437</v>
      </c>
      <c r="I444">
        <v>137</v>
      </c>
      <c r="J444" t="s">
        <v>13</v>
      </c>
    </row>
    <row r="445" spans="1:10" x14ac:dyDescent="0.2">
      <c r="A445" s="1">
        <v>46098</v>
      </c>
      <c r="B445" t="s">
        <v>10</v>
      </c>
      <c r="C445" t="s">
        <v>14</v>
      </c>
      <c r="D445" t="s">
        <v>12</v>
      </c>
      <c r="E445">
        <v>135593</v>
      </c>
      <c r="F445">
        <v>4858</v>
      </c>
      <c r="G445">
        <v>822.51</v>
      </c>
      <c r="H445">
        <v>102402</v>
      </c>
      <c r="I445">
        <v>124</v>
      </c>
      <c r="J445" t="s">
        <v>13</v>
      </c>
    </row>
    <row r="446" spans="1:10" x14ac:dyDescent="0.2">
      <c r="A446" s="1">
        <v>46098</v>
      </c>
      <c r="B446" t="s">
        <v>15</v>
      </c>
      <c r="C446" t="s">
        <v>16</v>
      </c>
      <c r="D446" t="s">
        <v>12</v>
      </c>
      <c r="E446">
        <v>145126</v>
      </c>
      <c r="F446">
        <v>5268</v>
      </c>
      <c r="G446">
        <v>930.73</v>
      </c>
      <c r="H446">
        <v>112358</v>
      </c>
      <c r="I446">
        <v>203</v>
      </c>
      <c r="J446" t="s">
        <v>13</v>
      </c>
    </row>
    <row r="447" spans="1:10" x14ac:dyDescent="0.2">
      <c r="A447" s="1">
        <v>46098</v>
      </c>
      <c r="B447" t="s">
        <v>15</v>
      </c>
      <c r="C447" t="s">
        <v>17</v>
      </c>
      <c r="D447" t="s">
        <v>12</v>
      </c>
      <c r="E447">
        <v>62007</v>
      </c>
      <c r="F447">
        <v>2288</v>
      </c>
      <c r="G447">
        <v>397.11</v>
      </c>
      <c r="H447">
        <v>45105</v>
      </c>
      <c r="I447">
        <v>98</v>
      </c>
      <c r="J447" t="s">
        <v>13</v>
      </c>
    </row>
    <row r="448" spans="1:10" x14ac:dyDescent="0.2">
      <c r="A448" s="1">
        <v>46098</v>
      </c>
      <c r="B448" t="s">
        <v>21</v>
      </c>
      <c r="C448" t="s">
        <v>11</v>
      </c>
      <c r="D448" t="s">
        <v>12</v>
      </c>
      <c r="E448">
        <v>60265</v>
      </c>
      <c r="F448">
        <v>2470</v>
      </c>
      <c r="G448">
        <v>386.54</v>
      </c>
      <c r="H448">
        <v>48468</v>
      </c>
      <c r="I448">
        <v>69</v>
      </c>
      <c r="J448" t="s">
        <v>13</v>
      </c>
    </row>
    <row r="449" spans="1:10" x14ac:dyDescent="0.2">
      <c r="A449" s="1">
        <v>46098</v>
      </c>
      <c r="B449" t="s">
        <v>21</v>
      </c>
      <c r="C449" t="s">
        <v>14</v>
      </c>
      <c r="D449" t="s">
        <v>12</v>
      </c>
      <c r="E449">
        <v>77733</v>
      </c>
      <c r="F449">
        <v>2188</v>
      </c>
      <c r="G449">
        <v>350.58</v>
      </c>
      <c r="H449">
        <v>58868</v>
      </c>
      <c r="I449">
        <v>83</v>
      </c>
      <c r="J449" t="s">
        <v>13</v>
      </c>
    </row>
    <row r="450" spans="1:10" x14ac:dyDescent="0.2">
      <c r="A450" s="1">
        <v>46099</v>
      </c>
      <c r="B450" t="s">
        <v>10</v>
      </c>
      <c r="C450" t="s">
        <v>11</v>
      </c>
      <c r="D450" t="s">
        <v>12</v>
      </c>
      <c r="E450">
        <v>165609</v>
      </c>
      <c r="F450">
        <v>7266</v>
      </c>
      <c r="G450">
        <v>1282.52</v>
      </c>
      <c r="H450">
        <v>130156</v>
      </c>
      <c r="I450">
        <v>162</v>
      </c>
      <c r="J450" t="s">
        <v>13</v>
      </c>
    </row>
    <row r="451" spans="1:10" x14ac:dyDescent="0.2">
      <c r="A451" s="1">
        <v>46099</v>
      </c>
      <c r="B451" t="s">
        <v>10</v>
      </c>
      <c r="C451" t="s">
        <v>14</v>
      </c>
      <c r="D451" t="s">
        <v>12</v>
      </c>
      <c r="E451">
        <v>142685</v>
      </c>
      <c r="F451">
        <v>5333</v>
      </c>
      <c r="G451">
        <v>749.15</v>
      </c>
      <c r="H451">
        <v>110287</v>
      </c>
      <c r="I451">
        <v>155</v>
      </c>
      <c r="J451" t="s">
        <v>13</v>
      </c>
    </row>
    <row r="452" spans="1:10" x14ac:dyDescent="0.2">
      <c r="A452" s="1">
        <v>46099</v>
      </c>
      <c r="B452" t="s">
        <v>15</v>
      </c>
      <c r="C452" t="s">
        <v>16</v>
      </c>
      <c r="D452" t="s">
        <v>12</v>
      </c>
      <c r="E452">
        <v>100848</v>
      </c>
      <c r="F452">
        <v>2853</v>
      </c>
      <c r="G452">
        <v>492.22</v>
      </c>
      <c r="H452">
        <v>79408</v>
      </c>
      <c r="I452">
        <v>122</v>
      </c>
      <c r="J452" t="s">
        <v>13</v>
      </c>
    </row>
    <row r="453" spans="1:10" x14ac:dyDescent="0.2">
      <c r="A453" s="1">
        <v>46099</v>
      </c>
      <c r="B453" t="s">
        <v>15</v>
      </c>
      <c r="C453" t="s">
        <v>17</v>
      </c>
      <c r="D453" t="s">
        <v>12</v>
      </c>
      <c r="E453">
        <v>82544</v>
      </c>
      <c r="F453">
        <v>2461</v>
      </c>
      <c r="G453">
        <v>354.02</v>
      </c>
      <c r="H453">
        <v>60660</v>
      </c>
      <c r="I453">
        <v>66</v>
      </c>
      <c r="J453" t="s">
        <v>13</v>
      </c>
    </row>
    <row r="454" spans="1:10" x14ac:dyDescent="0.2">
      <c r="A454" s="1">
        <v>46099</v>
      </c>
      <c r="B454" t="s">
        <v>21</v>
      </c>
      <c r="C454" t="s">
        <v>11</v>
      </c>
      <c r="D454" t="s">
        <v>12</v>
      </c>
      <c r="E454">
        <v>141703</v>
      </c>
      <c r="F454">
        <v>4575</v>
      </c>
      <c r="G454">
        <v>705.36</v>
      </c>
      <c r="H454">
        <v>113290</v>
      </c>
      <c r="I454">
        <v>110</v>
      </c>
      <c r="J454" t="s">
        <v>13</v>
      </c>
    </row>
    <row r="455" spans="1:10" x14ac:dyDescent="0.2">
      <c r="A455" s="1">
        <v>46099</v>
      </c>
      <c r="B455" t="s">
        <v>21</v>
      </c>
      <c r="C455" t="s">
        <v>14</v>
      </c>
      <c r="D455" t="s">
        <v>12</v>
      </c>
      <c r="E455">
        <v>121183</v>
      </c>
      <c r="F455">
        <v>4338</v>
      </c>
      <c r="G455">
        <v>649.52</v>
      </c>
      <c r="H455">
        <v>95701</v>
      </c>
      <c r="I455">
        <v>129</v>
      </c>
      <c r="J455" t="s">
        <v>13</v>
      </c>
    </row>
    <row r="456" spans="1:10" x14ac:dyDescent="0.2">
      <c r="A456" s="1">
        <v>46100</v>
      </c>
      <c r="B456" t="s">
        <v>10</v>
      </c>
      <c r="C456" t="s">
        <v>11</v>
      </c>
      <c r="D456" t="s">
        <v>12</v>
      </c>
      <c r="E456">
        <v>65735</v>
      </c>
      <c r="F456">
        <v>2571</v>
      </c>
      <c r="G456">
        <v>448.2</v>
      </c>
      <c r="H456">
        <v>52322</v>
      </c>
      <c r="I456">
        <v>62</v>
      </c>
      <c r="J456" t="s">
        <v>13</v>
      </c>
    </row>
    <row r="457" spans="1:10" x14ac:dyDescent="0.2">
      <c r="A457" s="1">
        <v>46100</v>
      </c>
      <c r="B457" t="s">
        <v>10</v>
      </c>
      <c r="C457" t="s">
        <v>14</v>
      </c>
      <c r="D457" t="s">
        <v>12</v>
      </c>
      <c r="E457">
        <v>116623</v>
      </c>
      <c r="F457">
        <v>4013</v>
      </c>
      <c r="G457">
        <v>638.23</v>
      </c>
      <c r="H457">
        <v>91394</v>
      </c>
      <c r="I457">
        <v>161</v>
      </c>
      <c r="J457" t="s">
        <v>13</v>
      </c>
    </row>
    <row r="458" spans="1:10" x14ac:dyDescent="0.2">
      <c r="A458" s="1">
        <v>46100</v>
      </c>
      <c r="B458" t="s">
        <v>15</v>
      </c>
      <c r="C458" t="s">
        <v>16</v>
      </c>
      <c r="D458" t="s">
        <v>12</v>
      </c>
      <c r="E458">
        <v>66088</v>
      </c>
      <c r="F458">
        <v>2412</v>
      </c>
      <c r="G458">
        <v>379.54</v>
      </c>
      <c r="H458">
        <v>52767</v>
      </c>
      <c r="I458">
        <v>88</v>
      </c>
      <c r="J458" t="s">
        <v>13</v>
      </c>
    </row>
    <row r="459" spans="1:10" x14ac:dyDescent="0.2">
      <c r="A459" s="1">
        <v>46100</v>
      </c>
      <c r="B459" t="s">
        <v>15</v>
      </c>
      <c r="C459" t="s">
        <v>17</v>
      </c>
      <c r="D459" t="s">
        <v>12</v>
      </c>
      <c r="E459">
        <v>68248</v>
      </c>
      <c r="F459">
        <v>2949</v>
      </c>
      <c r="G459">
        <v>521.28</v>
      </c>
      <c r="H459">
        <v>50706</v>
      </c>
      <c r="I459">
        <v>133</v>
      </c>
      <c r="J459" t="s">
        <v>13</v>
      </c>
    </row>
    <row r="460" spans="1:10" x14ac:dyDescent="0.2">
      <c r="A460" s="1">
        <v>46100</v>
      </c>
      <c r="B460" t="s">
        <v>21</v>
      </c>
      <c r="C460" t="s">
        <v>11</v>
      </c>
      <c r="D460" t="s">
        <v>12</v>
      </c>
      <c r="E460">
        <v>148575</v>
      </c>
      <c r="F460">
        <v>5361</v>
      </c>
      <c r="G460">
        <v>760.52</v>
      </c>
      <c r="H460">
        <v>108078</v>
      </c>
      <c r="I460">
        <v>246</v>
      </c>
      <c r="J460" t="s">
        <v>13</v>
      </c>
    </row>
    <row r="461" spans="1:10" x14ac:dyDescent="0.2">
      <c r="A461" s="1">
        <v>46100</v>
      </c>
      <c r="B461" t="s">
        <v>21</v>
      </c>
      <c r="C461" t="s">
        <v>14</v>
      </c>
      <c r="D461" t="s">
        <v>12</v>
      </c>
      <c r="E461">
        <v>144528</v>
      </c>
      <c r="F461">
        <v>5431</v>
      </c>
      <c r="G461">
        <v>767.49</v>
      </c>
      <c r="H461">
        <v>117483</v>
      </c>
      <c r="I461">
        <v>163</v>
      </c>
      <c r="J461" t="s">
        <v>13</v>
      </c>
    </row>
    <row r="462" spans="1:10" x14ac:dyDescent="0.2">
      <c r="A462" s="1">
        <v>46101</v>
      </c>
      <c r="B462" t="s">
        <v>10</v>
      </c>
      <c r="C462" t="s">
        <v>11</v>
      </c>
      <c r="D462" t="s">
        <v>12</v>
      </c>
      <c r="E462">
        <v>87297</v>
      </c>
      <c r="F462">
        <v>3315</v>
      </c>
      <c r="G462">
        <v>563.85</v>
      </c>
      <c r="H462">
        <v>69075</v>
      </c>
      <c r="I462">
        <v>107</v>
      </c>
      <c r="J462" t="s">
        <v>13</v>
      </c>
    </row>
    <row r="463" spans="1:10" x14ac:dyDescent="0.2">
      <c r="A463" s="1">
        <v>46101</v>
      </c>
      <c r="B463" t="s">
        <v>10</v>
      </c>
      <c r="C463" t="s">
        <v>14</v>
      </c>
      <c r="D463" t="s">
        <v>12</v>
      </c>
      <c r="E463">
        <v>65109</v>
      </c>
      <c r="F463">
        <v>2154</v>
      </c>
      <c r="G463">
        <v>350.15</v>
      </c>
      <c r="H463">
        <v>50568</v>
      </c>
      <c r="I463">
        <v>94</v>
      </c>
      <c r="J463" t="s">
        <v>13</v>
      </c>
    </row>
    <row r="464" spans="1:10" x14ac:dyDescent="0.2">
      <c r="A464" s="1">
        <v>46101</v>
      </c>
      <c r="B464" t="s">
        <v>15</v>
      </c>
      <c r="C464" t="s">
        <v>16</v>
      </c>
      <c r="D464" t="s">
        <v>12</v>
      </c>
      <c r="E464">
        <v>167362</v>
      </c>
      <c r="F464">
        <v>7236</v>
      </c>
      <c r="G464">
        <v>1109.06</v>
      </c>
      <c r="H464">
        <v>133146</v>
      </c>
      <c r="I464">
        <v>185</v>
      </c>
      <c r="J464" t="s">
        <v>13</v>
      </c>
    </row>
    <row r="465" spans="1:10" x14ac:dyDescent="0.2">
      <c r="A465" s="1">
        <v>46101</v>
      </c>
      <c r="B465" t="s">
        <v>15</v>
      </c>
      <c r="C465" t="s">
        <v>17</v>
      </c>
      <c r="D465" t="s">
        <v>12</v>
      </c>
      <c r="E465">
        <v>65362</v>
      </c>
      <c r="F465">
        <v>2386</v>
      </c>
      <c r="G465">
        <v>427.03</v>
      </c>
      <c r="H465">
        <v>47411</v>
      </c>
      <c r="I465">
        <v>79</v>
      </c>
      <c r="J465" t="s">
        <v>13</v>
      </c>
    </row>
    <row r="466" spans="1:10" x14ac:dyDescent="0.2">
      <c r="A466" s="1">
        <v>46101</v>
      </c>
      <c r="B466" t="s">
        <v>21</v>
      </c>
      <c r="C466" t="s">
        <v>11</v>
      </c>
      <c r="D466" t="s">
        <v>12</v>
      </c>
      <c r="E466">
        <v>64951</v>
      </c>
      <c r="F466">
        <v>2194</v>
      </c>
      <c r="G466">
        <v>374.65</v>
      </c>
      <c r="H466">
        <v>52966</v>
      </c>
      <c r="I466">
        <v>70</v>
      </c>
      <c r="J466" t="s">
        <v>13</v>
      </c>
    </row>
    <row r="467" spans="1:10" x14ac:dyDescent="0.2">
      <c r="A467" s="1">
        <v>46101</v>
      </c>
      <c r="B467" t="s">
        <v>21</v>
      </c>
      <c r="C467" t="s">
        <v>14</v>
      </c>
      <c r="D467" t="s">
        <v>12</v>
      </c>
      <c r="E467">
        <v>107611</v>
      </c>
      <c r="F467">
        <v>3067</v>
      </c>
      <c r="G467">
        <v>462.91</v>
      </c>
      <c r="H467">
        <v>88161</v>
      </c>
      <c r="I467">
        <v>106</v>
      </c>
      <c r="J467" t="s">
        <v>13</v>
      </c>
    </row>
    <row r="468" spans="1:10" x14ac:dyDescent="0.2">
      <c r="A468" s="1">
        <v>46102</v>
      </c>
      <c r="B468" t="s">
        <v>10</v>
      </c>
      <c r="C468" t="s">
        <v>11</v>
      </c>
      <c r="D468" t="s">
        <v>12</v>
      </c>
      <c r="E468">
        <v>112626</v>
      </c>
      <c r="F468">
        <v>4212</v>
      </c>
      <c r="G468">
        <v>652.92999999999995</v>
      </c>
      <c r="H468">
        <v>83182</v>
      </c>
      <c r="I468">
        <v>156</v>
      </c>
      <c r="J468" t="s">
        <v>13</v>
      </c>
    </row>
    <row r="469" spans="1:10" x14ac:dyDescent="0.2">
      <c r="A469" s="1">
        <v>46102</v>
      </c>
      <c r="B469" t="s">
        <v>10</v>
      </c>
      <c r="C469" t="s">
        <v>14</v>
      </c>
      <c r="D469" t="s">
        <v>12</v>
      </c>
      <c r="E469">
        <v>116760</v>
      </c>
      <c r="F469">
        <v>3439</v>
      </c>
      <c r="G469">
        <v>566.55999999999995</v>
      </c>
      <c r="H469">
        <v>93385</v>
      </c>
      <c r="I469">
        <v>139</v>
      </c>
      <c r="J469" t="s">
        <v>13</v>
      </c>
    </row>
    <row r="470" spans="1:10" x14ac:dyDescent="0.2">
      <c r="A470" s="1">
        <v>46102</v>
      </c>
      <c r="B470" t="s">
        <v>15</v>
      </c>
      <c r="C470" t="s">
        <v>16</v>
      </c>
      <c r="D470" t="s">
        <v>12</v>
      </c>
      <c r="E470">
        <v>65977</v>
      </c>
      <c r="F470">
        <v>2147</v>
      </c>
      <c r="G470">
        <v>333.21</v>
      </c>
      <c r="H470">
        <v>52675</v>
      </c>
      <c r="I470">
        <v>55</v>
      </c>
      <c r="J470" t="s">
        <v>13</v>
      </c>
    </row>
    <row r="471" spans="1:10" x14ac:dyDescent="0.2">
      <c r="A471" s="1">
        <v>46102</v>
      </c>
      <c r="B471" t="s">
        <v>15</v>
      </c>
      <c r="C471" t="s">
        <v>17</v>
      </c>
      <c r="D471" t="s">
        <v>12</v>
      </c>
      <c r="E471">
        <v>118388</v>
      </c>
      <c r="F471">
        <v>3952</v>
      </c>
      <c r="G471">
        <v>570.12</v>
      </c>
      <c r="H471">
        <v>85300</v>
      </c>
      <c r="I471">
        <v>118</v>
      </c>
      <c r="J471" t="s">
        <v>13</v>
      </c>
    </row>
    <row r="472" spans="1:10" x14ac:dyDescent="0.2">
      <c r="A472" s="1">
        <v>46102</v>
      </c>
      <c r="B472" t="s">
        <v>19</v>
      </c>
      <c r="C472" t="s">
        <v>11</v>
      </c>
      <c r="D472" t="s">
        <v>12</v>
      </c>
      <c r="E472">
        <v>113327</v>
      </c>
      <c r="F472">
        <v>4639</v>
      </c>
      <c r="G472">
        <v>668.43</v>
      </c>
      <c r="H472">
        <v>82584</v>
      </c>
      <c r="I472">
        <v>154</v>
      </c>
      <c r="J472" t="s">
        <v>13</v>
      </c>
    </row>
    <row r="473" spans="1:10" x14ac:dyDescent="0.2">
      <c r="A473" s="1">
        <v>46102</v>
      </c>
      <c r="B473" t="s">
        <v>19</v>
      </c>
      <c r="C473" t="s">
        <v>14</v>
      </c>
      <c r="D473" t="s">
        <v>12</v>
      </c>
      <c r="E473">
        <v>146906</v>
      </c>
      <c r="F473">
        <v>5498</v>
      </c>
      <c r="G473">
        <v>859.46</v>
      </c>
      <c r="H473">
        <v>106158</v>
      </c>
      <c r="I473">
        <v>171</v>
      </c>
      <c r="J473" t="s">
        <v>13</v>
      </c>
    </row>
    <row r="474" spans="1:10" x14ac:dyDescent="0.2">
      <c r="A474" s="1">
        <v>46102</v>
      </c>
      <c r="B474" t="s">
        <v>21</v>
      </c>
      <c r="C474" t="s">
        <v>11</v>
      </c>
      <c r="D474" t="s">
        <v>12</v>
      </c>
      <c r="E474">
        <v>67857</v>
      </c>
      <c r="F474">
        <v>2588</v>
      </c>
      <c r="G474">
        <v>443.53</v>
      </c>
      <c r="H474">
        <v>54717</v>
      </c>
      <c r="I474">
        <v>57</v>
      </c>
      <c r="J474" t="s">
        <v>13</v>
      </c>
    </row>
    <row r="475" spans="1:10" x14ac:dyDescent="0.2">
      <c r="A475" s="1">
        <v>46102</v>
      </c>
      <c r="B475" t="s">
        <v>21</v>
      </c>
      <c r="C475" t="s">
        <v>14</v>
      </c>
      <c r="D475" t="s">
        <v>12</v>
      </c>
      <c r="E475">
        <v>122509</v>
      </c>
      <c r="F475">
        <v>4237</v>
      </c>
      <c r="G475">
        <v>607.53</v>
      </c>
      <c r="H475">
        <v>99246</v>
      </c>
      <c r="I475">
        <v>192</v>
      </c>
      <c r="J475" t="s">
        <v>13</v>
      </c>
    </row>
    <row r="476" spans="1:10" x14ac:dyDescent="0.2">
      <c r="A476" s="1">
        <v>46103</v>
      </c>
      <c r="B476" t="s">
        <v>10</v>
      </c>
      <c r="C476" t="s">
        <v>11</v>
      </c>
      <c r="D476" t="s">
        <v>12</v>
      </c>
      <c r="E476">
        <v>93360</v>
      </c>
      <c r="F476">
        <v>3521</v>
      </c>
      <c r="G476">
        <v>516.82000000000005</v>
      </c>
      <c r="H476">
        <v>70773</v>
      </c>
      <c r="I476">
        <v>90</v>
      </c>
      <c r="J476" t="s">
        <v>13</v>
      </c>
    </row>
    <row r="477" spans="1:10" x14ac:dyDescent="0.2">
      <c r="A477" s="1">
        <v>46103</v>
      </c>
      <c r="B477" t="s">
        <v>10</v>
      </c>
      <c r="C477" t="s">
        <v>14</v>
      </c>
      <c r="D477" t="s">
        <v>12</v>
      </c>
      <c r="E477">
        <v>103309</v>
      </c>
      <c r="F477">
        <v>3364</v>
      </c>
      <c r="G477">
        <v>490.6</v>
      </c>
      <c r="H477">
        <v>76109</v>
      </c>
      <c r="I477">
        <v>98</v>
      </c>
      <c r="J477" t="s">
        <v>13</v>
      </c>
    </row>
    <row r="478" spans="1:10" x14ac:dyDescent="0.2">
      <c r="A478" s="1">
        <v>46103</v>
      </c>
      <c r="B478" t="s">
        <v>15</v>
      </c>
      <c r="C478" t="s">
        <v>16</v>
      </c>
      <c r="D478" t="s">
        <v>12</v>
      </c>
      <c r="E478">
        <v>103075</v>
      </c>
      <c r="F478">
        <v>3734</v>
      </c>
      <c r="G478">
        <v>534.25</v>
      </c>
      <c r="H478">
        <v>76808</v>
      </c>
      <c r="I478">
        <v>106</v>
      </c>
      <c r="J478" t="s">
        <v>13</v>
      </c>
    </row>
    <row r="479" spans="1:10" x14ac:dyDescent="0.2">
      <c r="A479" s="1">
        <v>46103</v>
      </c>
      <c r="B479" t="s">
        <v>15</v>
      </c>
      <c r="C479" t="s">
        <v>17</v>
      </c>
      <c r="D479" t="s">
        <v>12</v>
      </c>
      <c r="E479">
        <v>158501</v>
      </c>
      <c r="F479">
        <v>5773</v>
      </c>
      <c r="G479">
        <v>950.62</v>
      </c>
      <c r="H479">
        <v>121377</v>
      </c>
      <c r="I479">
        <v>147</v>
      </c>
      <c r="J479" t="s">
        <v>13</v>
      </c>
    </row>
    <row r="480" spans="1:10" x14ac:dyDescent="0.2">
      <c r="A480" s="1">
        <v>46103</v>
      </c>
      <c r="B480" t="s">
        <v>19</v>
      </c>
      <c r="C480" t="s">
        <v>11</v>
      </c>
      <c r="D480" t="s">
        <v>12</v>
      </c>
      <c r="E480">
        <v>53153</v>
      </c>
      <c r="F480">
        <v>2345</v>
      </c>
      <c r="G480">
        <v>359.46</v>
      </c>
      <c r="H480">
        <v>41566</v>
      </c>
      <c r="I480">
        <v>100</v>
      </c>
      <c r="J480" t="s">
        <v>13</v>
      </c>
    </row>
    <row r="481" spans="1:10" x14ac:dyDescent="0.2">
      <c r="A481" s="1">
        <v>46103</v>
      </c>
      <c r="B481" t="s">
        <v>19</v>
      </c>
      <c r="C481" t="s">
        <v>14</v>
      </c>
      <c r="D481" t="s">
        <v>12</v>
      </c>
      <c r="E481">
        <v>108150</v>
      </c>
      <c r="F481">
        <v>3837</v>
      </c>
      <c r="G481">
        <v>603.27</v>
      </c>
      <c r="H481">
        <v>86774</v>
      </c>
      <c r="I481">
        <v>149</v>
      </c>
      <c r="J481" t="s">
        <v>13</v>
      </c>
    </row>
    <row r="482" spans="1:10" x14ac:dyDescent="0.2">
      <c r="A482" s="1">
        <v>46103</v>
      </c>
      <c r="B482" t="s">
        <v>21</v>
      </c>
      <c r="C482" t="s">
        <v>11</v>
      </c>
      <c r="D482" t="s">
        <v>12</v>
      </c>
      <c r="E482">
        <v>153280</v>
      </c>
      <c r="F482">
        <v>4646</v>
      </c>
      <c r="G482">
        <v>710.03</v>
      </c>
      <c r="H482">
        <v>124881</v>
      </c>
      <c r="I482">
        <v>126</v>
      </c>
      <c r="J482" t="s">
        <v>13</v>
      </c>
    </row>
    <row r="483" spans="1:10" x14ac:dyDescent="0.2">
      <c r="A483" s="1">
        <v>46103</v>
      </c>
      <c r="B483" t="s">
        <v>21</v>
      </c>
      <c r="C483" t="s">
        <v>14</v>
      </c>
      <c r="D483" t="s">
        <v>12</v>
      </c>
      <c r="E483">
        <v>105534</v>
      </c>
      <c r="F483">
        <v>3273</v>
      </c>
      <c r="G483">
        <v>510.36</v>
      </c>
      <c r="H483">
        <v>79352</v>
      </c>
      <c r="I483">
        <v>134</v>
      </c>
      <c r="J483" t="s">
        <v>13</v>
      </c>
    </row>
    <row r="484" spans="1:10" x14ac:dyDescent="0.2">
      <c r="A484" s="1">
        <v>46104</v>
      </c>
      <c r="B484" t="s">
        <v>10</v>
      </c>
      <c r="C484" t="s">
        <v>11</v>
      </c>
      <c r="D484" t="s">
        <v>12</v>
      </c>
      <c r="E484">
        <v>159841</v>
      </c>
      <c r="F484">
        <v>5809</v>
      </c>
      <c r="G484">
        <v>947.07</v>
      </c>
      <c r="H484">
        <v>118960</v>
      </c>
      <c r="I484">
        <v>184</v>
      </c>
      <c r="J484" t="s">
        <v>13</v>
      </c>
    </row>
    <row r="485" spans="1:10" x14ac:dyDescent="0.2">
      <c r="A485" s="1">
        <v>46104</v>
      </c>
      <c r="B485" t="s">
        <v>10</v>
      </c>
      <c r="C485" t="s">
        <v>14</v>
      </c>
      <c r="D485" t="s">
        <v>12</v>
      </c>
      <c r="E485">
        <v>118952</v>
      </c>
      <c r="F485">
        <v>4068</v>
      </c>
      <c r="G485">
        <v>721.19</v>
      </c>
      <c r="H485">
        <v>88022</v>
      </c>
      <c r="I485">
        <v>194</v>
      </c>
      <c r="J485" t="s">
        <v>13</v>
      </c>
    </row>
    <row r="486" spans="1:10" x14ac:dyDescent="0.2">
      <c r="A486" s="1">
        <v>46104</v>
      </c>
      <c r="B486" t="s">
        <v>15</v>
      </c>
      <c r="C486" t="s">
        <v>16</v>
      </c>
      <c r="D486" t="s">
        <v>12</v>
      </c>
      <c r="E486">
        <v>82657</v>
      </c>
      <c r="F486">
        <v>3272</v>
      </c>
      <c r="G486">
        <v>530.08000000000004</v>
      </c>
      <c r="H486">
        <v>67390</v>
      </c>
      <c r="I486">
        <v>111</v>
      </c>
      <c r="J486" t="s">
        <v>13</v>
      </c>
    </row>
    <row r="487" spans="1:10" x14ac:dyDescent="0.2">
      <c r="A487" s="1">
        <v>46104</v>
      </c>
      <c r="B487" t="s">
        <v>15</v>
      </c>
      <c r="C487" t="s">
        <v>17</v>
      </c>
      <c r="D487" t="s">
        <v>12</v>
      </c>
      <c r="E487">
        <v>87722</v>
      </c>
      <c r="F487">
        <v>3110</v>
      </c>
      <c r="G487">
        <v>471.64</v>
      </c>
      <c r="H487">
        <v>69237</v>
      </c>
      <c r="I487">
        <v>134</v>
      </c>
      <c r="J487" t="s">
        <v>13</v>
      </c>
    </row>
    <row r="488" spans="1:10" x14ac:dyDescent="0.2">
      <c r="A488" s="1">
        <v>46104</v>
      </c>
      <c r="B488" t="s">
        <v>21</v>
      </c>
      <c r="C488" t="s">
        <v>11</v>
      </c>
      <c r="D488" t="s">
        <v>12</v>
      </c>
      <c r="E488">
        <v>121715</v>
      </c>
      <c r="F488">
        <v>4800</v>
      </c>
      <c r="G488">
        <v>698.72</v>
      </c>
      <c r="H488">
        <v>91320</v>
      </c>
      <c r="I488">
        <v>137</v>
      </c>
      <c r="J488" t="s">
        <v>13</v>
      </c>
    </row>
    <row r="489" spans="1:10" x14ac:dyDescent="0.2">
      <c r="A489" s="1">
        <v>46104</v>
      </c>
      <c r="B489" t="s">
        <v>21</v>
      </c>
      <c r="C489" t="s">
        <v>14</v>
      </c>
      <c r="D489" t="s">
        <v>12</v>
      </c>
      <c r="E489">
        <v>78263</v>
      </c>
      <c r="F489">
        <v>3142</v>
      </c>
      <c r="G489">
        <v>539.04999999999995</v>
      </c>
      <c r="H489">
        <v>56928</v>
      </c>
      <c r="I489">
        <v>150</v>
      </c>
      <c r="J489" t="s">
        <v>13</v>
      </c>
    </row>
    <row r="490" spans="1:10" x14ac:dyDescent="0.2">
      <c r="A490" s="1">
        <v>46105</v>
      </c>
      <c r="B490" t="s">
        <v>10</v>
      </c>
      <c r="C490" t="s">
        <v>11</v>
      </c>
      <c r="D490" t="s">
        <v>12</v>
      </c>
      <c r="E490">
        <v>133658</v>
      </c>
      <c r="F490">
        <v>5065</v>
      </c>
      <c r="G490">
        <v>817.36</v>
      </c>
      <c r="H490">
        <v>108577</v>
      </c>
      <c r="I490">
        <v>225</v>
      </c>
      <c r="J490" t="s">
        <v>13</v>
      </c>
    </row>
    <row r="491" spans="1:10" x14ac:dyDescent="0.2">
      <c r="A491" s="1">
        <v>46105</v>
      </c>
      <c r="B491" t="s">
        <v>10</v>
      </c>
      <c r="C491" t="s">
        <v>14</v>
      </c>
      <c r="D491" t="s">
        <v>12</v>
      </c>
      <c r="E491">
        <v>123275</v>
      </c>
      <c r="F491">
        <v>4591</v>
      </c>
      <c r="G491">
        <v>787.95</v>
      </c>
      <c r="H491">
        <v>93190</v>
      </c>
      <c r="I491">
        <v>207</v>
      </c>
      <c r="J491" t="s">
        <v>13</v>
      </c>
    </row>
    <row r="492" spans="1:10" x14ac:dyDescent="0.2">
      <c r="A492" s="1">
        <v>46105</v>
      </c>
      <c r="B492" t="s">
        <v>15</v>
      </c>
      <c r="C492" t="s">
        <v>16</v>
      </c>
      <c r="D492" t="s">
        <v>12</v>
      </c>
      <c r="E492">
        <v>143484</v>
      </c>
      <c r="F492">
        <v>5466</v>
      </c>
      <c r="G492">
        <v>965.16</v>
      </c>
      <c r="H492">
        <v>104877</v>
      </c>
      <c r="I492">
        <v>155</v>
      </c>
      <c r="J492" t="s">
        <v>13</v>
      </c>
    </row>
    <row r="493" spans="1:10" x14ac:dyDescent="0.2">
      <c r="A493" s="1">
        <v>46105</v>
      </c>
      <c r="B493" t="s">
        <v>15</v>
      </c>
      <c r="C493" t="s">
        <v>17</v>
      </c>
      <c r="D493" t="s">
        <v>12</v>
      </c>
      <c r="E493">
        <v>165258</v>
      </c>
      <c r="F493">
        <v>5624</v>
      </c>
      <c r="G493">
        <v>932.91</v>
      </c>
      <c r="H493">
        <v>119717</v>
      </c>
      <c r="I493">
        <v>267</v>
      </c>
      <c r="J493" t="s">
        <v>13</v>
      </c>
    </row>
    <row r="494" spans="1:10" x14ac:dyDescent="0.2">
      <c r="A494" s="1">
        <v>46105</v>
      </c>
      <c r="B494" t="s">
        <v>21</v>
      </c>
      <c r="C494" t="s">
        <v>11</v>
      </c>
      <c r="D494" t="s">
        <v>12</v>
      </c>
      <c r="E494">
        <v>167436</v>
      </c>
      <c r="F494">
        <v>6529</v>
      </c>
      <c r="G494">
        <v>1166.55</v>
      </c>
      <c r="H494">
        <v>126106</v>
      </c>
      <c r="I494">
        <v>278</v>
      </c>
      <c r="J494" t="s">
        <v>13</v>
      </c>
    </row>
    <row r="495" spans="1:10" x14ac:dyDescent="0.2">
      <c r="A495" s="1">
        <v>46105</v>
      </c>
      <c r="B495" t="s">
        <v>21</v>
      </c>
      <c r="C495" t="s">
        <v>14</v>
      </c>
      <c r="D495" t="s">
        <v>12</v>
      </c>
      <c r="E495">
        <v>70051</v>
      </c>
      <c r="F495">
        <v>1973</v>
      </c>
      <c r="G495">
        <v>296.64</v>
      </c>
      <c r="H495">
        <v>54014</v>
      </c>
      <c r="I495">
        <v>70</v>
      </c>
      <c r="J495" t="s">
        <v>13</v>
      </c>
    </row>
    <row r="496" spans="1:10" x14ac:dyDescent="0.2">
      <c r="A496" s="1">
        <v>46106</v>
      </c>
      <c r="B496" t="s">
        <v>10</v>
      </c>
      <c r="C496" t="s">
        <v>11</v>
      </c>
      <c r="D496" t="s">
        <v>12</v>
      </c>
      <c r="E496">
        <v>150915</v>
      </c>
      <c r="F496">
        <v>5989</v>
      </c>
      <c r="G496">
        <v>891.41</v>
      </c>
      <c r="H496">
        <v>114304</v>
      </c>
      <c r="I496">
        <v>203</v>
      </c>
      <c r="J496" t="s">
        <v>13</v>
      </c>
    </row>
    <row r="497" spans="1:10" x14ac:dyDescent="0.2">
      <c r="A497" s="1">
        <v>46106</v>
      </c>
      <c r="B497" t="s">
        <v>10</v>
      </c>
      <c r="C497" t="s">
        <v>14</v>
      </c>
      <c r="D497" t="s">
        <v>12</v>
      </c>
      <c r="E497">
        <v>167791</v>
      </c>
      <c r="F497">
        <v>6377</v>
      </c>
      <c r="G497">
        <v>1020.44</v>
      </c>
      <c r="H497">
        <v>126597</v>
      </c>
      <c r="I497">
        <v>144</v>
      </c>
      <c r="J497" t="s">
        <v>13</v>
      </c>
    </row>
    <row r="498" spans="1:10" x14ac:dyDescent="0.2">
      <c r="A498" s="1">
        <v>46106</v>
      </c>
      <c r="B498" t="s">
        <v>15</v>
      </c>
      <c r="C498" t="s">
        <v>16</v>
      </c>
      <c r="D498" t="s">
        <v>12</v>
      </c>
      <c r="E498">
        <v>69813</v>
      </c>
      <c r="F498">
        <v>2305</v>
      </c>
      <c r="G498">
        <v>407.57</v>
      </c>
      <c r="H498">
        <v>50864</v>
      </c>
      <c r="I498">
        <v>100</v>
      </c>
      <c r="J498" t="s">
        <v>13</v>
      </c>
    </row>
    <row r="499" spans="1:10" x14ac:dyDescent="0.2">
      <c r="A499" s="1">
        <v>46106</v>
      </c>
      <c r="B499" t="s">
        <v>15</v>
      </c>
      <c r="C499" t="s">
        <v>17</v>
      </c>
      <c r="D499" t="s">
        <v>12</v>
      </c>
      <c r="E499">
        <v>76139</v>
      </c>
      <c r="F499">
        <v>2582</v>
      </c>
      <c r="G499">
        <v>396.91</v>
      </c>
      <c r="H499">
        <v>60791</v>
      </c>
      <c r="I499">
        <v>91</v>
      </c>
      <c r="J499" t="s">
        <v>13</v>
      </c>
    </row>
    <row r="500" spans="1:10" x14ac:dyDescent="0.2">
      <c r="A500" s="1">
        <v>46106</v>
      </c>
      <c r="B500" t="s">
        <v>21</v>
      </c>
      <c r="C500" t="s">
        <v>11</v>
      </c>
      <c r="D500" t="s">
        <v>12</v>
      </c>
      <c r="E500">
        <v>111347</v>
      </c>
      <c r="F500">
        <v>4019</v>
      </c>
      <c r="G500">
        <v>633.1</v>
      </c>
      <c r="H500">
        <v>87928</v>
      </c>
      <c r="I500">
        <v>121</v>
      </c>
      <c r="J500" t="s">
        <v>13</v>
      </c>
    </row>
    <row r="501" spans="1:10" x14ac:dyDescent="0.2">
      <c r="A501" s="1">
        <v>46106</v>
      </c>
      <c r="B501" t="s">
        <v>21</v>
      </c>
      <c r="C501" t="s">
        <v>14</v>
      </c>
      <c r="D501" t="s">
        <v>12</v>
      </c>
      <c r="E501">
        <v>103162</v>
      </c>
      <c r="F501">
        <v>2966</v>
      </c>
      <c r="G501">
        <v>499.57</v>
      </c>
      <c r="H501">
        <v>74509</v>
      </c>
      <c r="I501">
        <v>91</v>
      </c>
      <c r="J501" t="s">
        <v>13</v>
      </c>
    </row>
    <row r="502" spans="1:10" x14ac:dyDescent="0.2">
      <c r="A502" s="1">
        <v>46107</v>
      </c>
      <c r="B502" t="s">
        <v>10</v>
      </c>
      <c r="C502" t="s">
        <v>11</v>
      </c>
      <c r="D502" t="s">
        <v>12</v>
      </c>
      <c r="E502">
        <v>70634</v>
      </c>
      <c r="F502">
        <v>2790</v>
      </c>
      <c r="G502">
        <v>408.94</v>
      </c>
      <c r="H502">
        <v>57806</v>
      </c>
      <c r="I502">
        <v>79</v>
      </c>
      <c r="J502" t="s">
        <v>13</v>
      </c>
    </row>
    <row r="503" spans="1:10" x14ac:dyDescent="0.2">
      <c r="A503" s="1">
        <v>46107</v>
      </c>
      <c r="B503" t="s">
        <v>10</v>
      </c>
      <c r="C503" t="s">
        <v>14</v>
      </c>
      <c r="D503" t="s">
        <v>12</v>
      </c>
      <c r="E503">
        <v>81724</v>
      </c>
      <c r="F503">
        <v>3055</v>
      </c>
      <c r="G503">
        <v>468.15</v>
      </c>
      <c r="H503">
        <v>62325</v>
      </c>
      <c r="I503">
        <v>103</v>
      </c>
      <c r="J503" t="s">
        <v>13</v>
      </c>
    </row>
    <row r="504" spans="1:10" x14ac:dyDescent="0.2">
      <c r="A504" s="1">
        <v>46107</v>
      </c>
      <c r="B504" t="s">
        <v>15</v>
      </c>
      <c r="C504" t="s">
        <v>16</v>
      </c>
      <c r="D504" t="s">
        <v>12</v>
      </c>
      <c r="E504">
        <v>121017</v>
      </c>
      <c r="F504">
        <v>4684</v>
      </c>
      <c r="G504">
        <v>690.68</v>
      </c>
      <c r="H504">
        <v>95086</v>
      </c>
      <c r="I504">
        <v>151</v>
      </c>
      <c r="J504" t="s">
        <v>13</v>
      </c>
    </row>
    <row r="505" spans="1:10" x14ac:dyDescent="0.2">
      <c r="A505" s="1">
        <v>46107</v>
      </c>
      <c r="B505" t="s">
        <v>15</v>
      </c>
      <c r="C505" t="s">
        <v>17</v>
      </c>
      <c r="D505" t="s">
        <v>12</v>
      </c>
      <c r="E505">
        <v>156639</v>
      </c>
      <c r="F505">
        <v>6737</v>
      </c>
      <c r="G505">
        <v>1064.33</v>
      </c>
      <c r="H505">
        <v>119508</v>
      </c>
      <c r="I505">
        <v>148</v>
      </c>
      <c r="J505" t="s">
        <v>13</v>
      </c>
    </row>
    <row r="506" spans="1:10" x14ac:dyDescent="0.2">
      <c r="A506" s="1">
        <v>46107</v>
      </c>
      <c r="B506" t="s">
        <v>21</v>
      </c>
      <c r="C506" t="s">
        <v>11</v>
      </c>
      <c r="D506" t="s">
        <v>12</v>
      </c>
      <c r="E506">
        <v>88598</v>
      </c>
      <c r="F506">
        <v>2790</v>
      </c>
      <c r="G506">
        <v>474.56</v>
      </c>
      <c r="H506">
        <v>70955</v>
      </c>
      <c r="I506">
        <v>65</v>
      </c>
      <c r="J506" t="s">
        <v>13</v>
      </c>
    </row>
    <row r="507" spans="1:10" x14ac:dyDescent="0.2">
      <c r="A507" s="1">
        <v>46107</v>
      </c>
      <c r="B507" t="s">
        <v>21</v>
      </c>
      <c r="C507" t="s">
        <v>14</v>
      </c>
      <c r="D507" t="s">
        <v>12</v>
      </c>
      <c r="E507">
        <v>69336</v>
      </c>
      <c r="F507">
        <v>2883</v>
      </c>
      <c r="G507">
        <v>465.53</v>
      </c>
      <c r="H507">
        <v>52458</v>
      </c>
      <c r="I507">
        <v>78</v>
      </c>
      <c r="J507" t="s">
        <v>13</v>
      </c>
    </row>
    <row r="508" spans="1:10" x14ac:dyDescent="0.2">
      <c r="A508" s="1">
        <v>46108</v>
      </c>
      <c r="B508" t="s">
        <v>10</v>
      </c>
      <c r="C508" t="s">
        <v>11</v>
      </c>
      <c r="D508" t="s">
        <v>12</v>
      </c>
      <c r="E508">
        <v>71416</v>
      </c>
      <c r="F508">
        <v>2318</v>
      </c>
      <c r="G508">
        <v>404.5</v>
      </c>
      <c r="H508">
        <v>55188</v>
      </c>
      <c r="I508">
        <v>89</v>
      </c>
      <c r="J508" t="s">
        <v>13</v>
      </c>
    </row>
    <row r="509" spans="1:10" x14ac:dyDescent="0.2">
      <c r="A509" s="1">
        <v>46108</v>
      </c>
      <c r="B509" t="s">
        <v>10</v>
      </c>
      <c r="C509" t="s">
        <v>14</v>
      </c>
      <c r="D509" t="s">
        <v>12</v>
      </c>
      <c r="E509">
        <v>153719</v>
      </c>
      <c r="F509">
        <v>5319</v>
      </c>
      <c r="G509">
        <v>828.18</v>
      </c>
      <c r="H509">
        <v>112433</v>
      </c>
      <c r="I509">
        <v>165</v>
      </c>
      <c r="J509" t="s">
        <v>13</v>
      </c>
    </row>
    <row r="510" spans="1:10" x14ac:dyDescent="0.2">
      <c r="A510" s="1">
        <v>46108</v>
      </c>
      <c r="B510" t="s">
        <v>15</v>
      </c>
      <c r="C510" t="s">
        <v>16</v>
      </c>
      <c r="D510" t="s">
        <v>12</v>
      </c>
      <c r="E510">
        <v>130015</v>
      </c>
      <c r="F510">
        <v>5004</v>
      </c>
      <c r="G510">
        <v>863.44</v>
      </c>
      <c r="H510">
        <v>102789</v>
      </c>
      <c r="I510">
        <v>148</v>
      </c>
      <c r="J510" t="s">
        <v>13</v>
      </c>
    </row>
    <row r="511" spans="1:10" x14ac:dyDescent="0.2">
      <c r="A511" s="1">
        <v>46108</v>
      </c>
      <c r="B511" t="s">
        <v>15</v>
      </c>
      <c r="C511" t="s">
        <v>17</v>
      </c>
      <c r="D511" t="s">
        <v>12</v>
      </c>
      <c r="E511">
        <v>156703</v>
      </c>
      <c r="F511">
        <v>5959</v>
      </c>
      <c r="G511">
        <v>994.46</v>
      </c>
      <c r="H511">
        <v>117733</v>
      </c>
      <c r="I511">
        <v>168</v>
      </c>
      <c r="J511" t="s">
        <v>13</v>
      </c>
    </row>
    <row r="512" spans="1:10" x14ac:dyDescent="0.2">
      <c r="A512" s="1">
        <v>46108</v>
      </c>
      <c r="B512" t="s">
        <v>21</v>
      </c>
      <c r="C512" t="s">
        <v>11</v>
      </c>
      <c r="D512" t="s">
        <v>12</v>
      </c>
      <c r="E512">
        <v>71926</v>
      </c>
      <c r="F512">
        <v>2237</v>
      </c>
      <c r="G512">
        <v>375.23</v>
      </c>
      <c r="H512">
        <v>55460</v>
      </c>
      <c r="I512">
        <v>73</v>
      </c>
      <c r="J512" t="s">
        <v>13</v>
      </c>
    </row>
    <row r="513" spans="1:10" x14ac:dyDescent="0.2">
      <c r="A513" s="1">
        <v>46108</v>
      </c>
      <c r="B513" t="s">
        <v>21</v>
      </c>
      <c r="C513" t="s">
        <v>14</v>
      </c>
      <c r="D513" t="s">
        <v>12</v>
      </c>
      <c r="E513">
        <v>75491</v>
      </c>
      <c r="F513">
        <v>2851</v>
      </c>
      <c r="G513">
        <v>447.38</v>
      </c>
      <c r="H513">
        <v>58027</v>
      </c>
      <c r="I513">
        <v>102</v>
      </c>
      <c r="J513" t="s">
        <v>13</v>
      </c>
    </row>
    <row r="514" spans="1:10" x14ac:dyDescent="0.2">
      <c r="A514" s="1">
        <v>46109</v>
      </c>
      <c r="B514" t="s">
        <v>10</v>
      </c>
      <c r="C514" t="s">
        <v>11</v>
      </c>
      <c r="D514" t="s">
        <v>12</v>
      </c>
      <c r="E514">
        <v>161947</v>
      </c>
      <c r="F514">
        <v>7096</v>
      </c>
      <c r="G514">
        <v>1042.6099999999999</v>
      </c>
      <c r="H514">
        <v>119304</v>
      </c>
      <c r="I514">
        <v>209</v>
      </c>
      <c r="J514" t="s">
        <v>13</v>
      </c>
    </row>
    <row r="515" spans="1:10" x14ac:dyDescent="0.2">
      <c r="A515" s="1">
        <v>46109</v>
      </c>
      <c r="B515" t="s">
        <v>10</v>
      </c>
      <c r="C515" t="s">
        <v>14</v>
      </c>
      <c r="D515" t="s">
        <v>12</v>
      </c>
      <c r="E515">
        <v>83879</v>
      </c>
      <c r="F515">
        <v>2797</v>
      </c>
      <c r="G515">
        <v>442.04</v>
      </c>
      <c r="H515">
        <v>60842</v>
      </c>
      <c r="I515">
        <v>87</v>
      </c>
      <c r="J515" t="s">
        <v>13</v>
      </c>
    </row>
    <row r="516" spans="1:10" x14ac:dyDescent="0.2">
      <c r="A516" s="1">
        <v>46109</v>
      </c>
      <c r="B516" t="s">
        <v>15</v>
      </c>
      <c r="C516" t="s">
        <v>16</v>
      </c>
      <c r="D516" t="s">
        <v>12</v>
      </c>
      <c r="E516">
        <v>53632</v>
      </c>
      <c r="F516">
        <v>1943</v>
      </c>
      <c r="G516">
        <v>287.19</v>
      </c>
      <c r="H516">
        <v>40674</v>
      </c>
      <c r="I516">
        <v>71</v>
      </c>
      <c r="J516" t="s">
        <v>13</v>
      </c>
    </row>
    <row r="517" spans="1:10" x14ac:dyDescent="0.2">
      <c r="A517" s="1">
        <v>46109</v>
      </c>
      <c r="B517" t="s">
        <v>15</v>
      </c>
      <c r="C517" t="s">
        <v>17</v>
      </c>
      <c r="D517" t="s">
        <v>12</v>
      </c>
      <c r="E517">
        <v>163278</v>
      </c>
      <c r="F517">
        <v>5945</v>
      </c>
      <c r="G517">
        <v>995.12</v>
      </c>
      <c r="H517">
        <v>124346</v>
      </c>
      <c r="I517">
        <v>260</v>
      </c>
      <c r="J517" t="s">
        <v>13</v>
      </c>
    </row>
    <row r="518" spans="1:10" x14ac:dyDescent="0.2">
      <c r="A518" s="1">
        <v>46109</v>
      </c>
      <c r="B518" t="s">
        <v>19</v>
      </c>
      <c r="C518" t="s">
        <v>11</v>
      </c>
      <c r="D518" t="s">
        <v>12</v>
      </c>
      <c r="E518">
        <v>135270</v>
      </c>
      <c r="F518">
        <v>4172</v>
      </c>
      <c r="G518">
        <v>678.43</v>
      </c>
      <c r="H518">
        <v>108160</v>
      </c>
      <c r="I518">
        <v>115</v>
      </c>
      <c r="J518" t="s">
        <v>13</v>
      </c>
    </row>
    <row r="519" spans="1:10" x14ac:dyDescent="0.2">
      <c r="A519" s="1">
        <v>46109</v>
      </c>
      <c r="B519" t="s">
        <v>19</v>
      </c>
      <c r="C519" t="s">
        <v>14</v>
      </c>
      <c r="D519" t="s">
        <v>12</v>
      </c>
      <c r="E519">
        <v>57570</v>
      </c>
      <c r="F519">
        <v>1880</v>
      </c>
      <c r="G519">
        <v>303.63</v>
      </c>
      <c r="H519">
        <v>42418</v>
      </c>
      <c r="I519">
        <v>63</v>
      </c>
      <c r="J519" t="s">
        <v>13</v>
      </c>
    </row>
    <row r="520" spans="1:10" x14ac:dyDescent="0.2">
      <c r="A520" s="1">
        <v>46109</v>
      </c>
      <c r="B520" t="s">
        <v>21</v>
      </c>
      <c r="C520" t="s">
        <v>11</v>
      </c>
      <c r="D520" t="s">
        <v>12</v>
      </c>
      <c r="E520">
        <v>136397</v>
      </c>
      <c r="F520">
        <v>5093</v>
      </c>
      <c r="G520">
        <v>736.08</v>
      </c>
      <c r="H520">
        <v>99763</v>
      </c>
      <c r="I520">
        <v>214</v>
      </c>
      <c r="J520" t="s">
        <v>13</v>
      </c>
    </row>
    <row r="521" spans="1:10" x14ac:dyDescent="0.2">
      <c r="A521" s="1">
        <v>46109</v>
      </c>
      <c r="B521" t="s">
        <v>21</v>
      </c>
      <c r="C521" t="s">
        <v>14</v>
      </c>
      <c r="D521" t="s">
        <v>12</v>
      </c>
      <c r="E521">
        <v>114510</v>
      </c>
      <c r="F521">
        <v>4261</v>
      </c>
      <c r="G521">
        <v>725.53</v>
      </c>
      <c r="H521">
        <v>91150</v>
      </c>
      <c r="I521">
        <v>142</v>
      </c>
      <c r="J521" t="s">
        <v>13</v>
      </c>
    </row>
    <row r="522" spans="1:10" x14ac:dyDescent="0.2">
      <c r="A522" s="1">
        <v>46110</v>
      </c>
      <c r="B522" t="s">
        <v>10</v>
      </c>
      <c r="C522" t="s">
        <v>11</v>
      </c>
      <c r="D522" t="s">
        <v>12</v>
      </c>
      <c r="E522">
        <v>89237</v>
      </c>
      <c r="F522">
        <v>4000</v>
      </c>
      <c r="G522">
        <v>576.39</v>
      </c>
      <c r="H522">
        <v>71657</v>
      </c>
      <c r="I522">
        <v>166</v>
      </c>
      <c r="J522" t="s">
        <v>13</v>
      </c>
    </row>
    <row r="523" spans="1:10" x14ac:dyDescent="0.2">
      <c r="A523" s="1">
        <v>46110</v>
      </c>
      <c r="B523" t="s">
        <v>10</v>
      </c>
      <c r="C523" t="s">
        <v>14</v>
      </c>
      <c r="D523" t="s">
        <v>12</v>
      </c>
      <c r="E523">
        <v>102727</v>
      </c>
      <c r="F523">
        <v>4404</v>
      </c>
      <c r="G523">
        <v>622.24</v>
      </c>
      <c r="H523">
        <v>76663</v>
      </c>
      <c r="I523">
        <v>195</v>
      </c>
      <c r="J523" t="s">
        <v>13</v>
      </c>
    </row>
    <row r="524" spans="1:10" x14ac:dyDescent="0.2">
      <c r="A524" s="1">
        <v>46110</v>
      </c>
      <c r="B524" t="s">
        <v>15</v>
      </c>
      <c r="C524" t="s">
        <v>16</v>
      </c>
      <c r="D524" t="s">
        <v>12</v>
      </c>
      <c r="E524">
        <v>66821</v>
      </c>
      <c r="F524">
        <v>2369</v>
      </c>
      <c r="G524">
        <v>425.85</v>
      </c>
      <c r="H524">
        <v>53293</v>
      </c>
      <c r="I524">
        <v>66</v>
      </c>
      <c r="J524" t="s">
        <v>13</v>
      </c>
    </row>
    <row r="525" spans="1:10" x14ac:dyDescent="0.2">
      <c r="A525" s="1">
        <v>46110</v>
      </c>
      <c r="B525" t="s">
        <v>15</v>
      </c>
      <c r="C525" t="s">
        <v>17</v>
      </c>
      <c r="D525" t="s">
        <v>12</v>
      </c>
      <c r="E525">
        <v>152178</v>
      </c>
      <c r="F525">
        <v>6043</v>
      </c>
      <c r="G525">
        <v>1054.1500000000001</v>
      </c>
      <c r="H525">
        <v>118855</v>
      </c>
      <c r="I525">
        <v>200</v>
      </c>
      <c r="J525" t="s">
        <v>13</v>
      </c>
    </row>
    <row r="526" spans="1:10" x14ac:dyDescent="0.2">
      <c r="A526" s="1">
        <v>46110</v>
      </c>
      <c r="B526" t="s">
        <v>19</v>
      </c>
      <c r="C526" t="s">
        <v>11</v>
      </c>
      <c r="D526" t="s">
        <v>12</v>
      </c>
      <c r="E526">
        <v>156988</v>
      </c>
      <c r="F526">
        <v>4767</v>
      </c>
      <c r="G526">
        <v>706.78</v>
      </c>
      <c r="H526">
        <v>116280</v>
      </c>
      <c r="I526">
        <v>112</v>
      </c>
      <c r="J526" t="s">
        <v>13</v>
      </c>
    </row>
    <row r="527" spans="1:10" x14ac:dyDescent="0.2">
      <c r="A527" s="1">
        <v>46110</v>
      </c>
      <c r="B527" t="s">
        <v>19</v>
      </c>
      <c r="C527" t="s">
        <v>14</v>
      </c>
      <c r="D527" t="s">
        <v>12</v>
      </c>
      <c r="E527">
        <v>111776</v>
      </c>
      <c r="F527">
        <v>4141</v>
      </c>
      <c r="G527">
        <v>678.6</v>
      </c>
      <c r="H527">
        <v>82360</v>
      </c>
      <c r="I527">
        <v>196</v>
      </c>
      <c r="J527" t="s">
        <v>13</v>
      </c>
    </row>
    <row r="528" spans="1:10" x14ac:dyDescent="0.2">
      <c r="A528" s="1">
        <v>46110</v>
      </c>
      <c r="B528" t="s">
        <v>21</v>
      </c>
      <c r="C528" t="s">
        <v>11</v>
      </c>
      <c r="D528" t="s">
        <v>12</v>
      </c>
      <c r="E528">
        <v>101862</v>
      </c>
      <c r="F528">
        <v>3353</v>
      </c>
      <c r="G528">
        <v>505.28</v>
      </c>
      <c r="H528">
        <v>82080</v>
      </c>
      <c r="I528">
        <v>159</v>
      </c>
      <c r="J528" t="s">
        <v>13</v>
      </c>
    </row>
    <row r="529" spans="1:10" x14ac:dyDescent="0.2">
      <c r="A529" s="1">
        <v>46110</v>
      </c>
      <c r="B529" t="s">
        <v>21</v>
      </c>
      <c r="C529" t="s">
        <v>14</v>
      </c>
      <c r="D529" t="s">
        <v>12</v>
      </c>
      <c r="E529">
        <v>167748</v>
      </c>
      <c r="F529">
        <v>7021</v>
      </c>
      <c r="G529">
        <v>1021.02</v>
      </c>
      <c r="H529">
        <v>133361</v>
      </c>
      <c r="I529">
        <v>229</v>
      </c>
      <c r="J529" t="s">
        <v>13</v>
      </c>
    </row>
    <row r="530" spans="1:10" x14ac:dyDescent="0.2">
      <c r="A530" s="1">
        <v>46111</v>
      </c>
      <c r="B530" t="s">
        <v>10</v>
      </c>
      <c r="C530" t="s">
        <v>11</v>
      </c>
      <c r="D530" t="s">
        <v>12</v>
      </c>
      <c r="E530">
        <v>62101</v>
      </c>
      <c r="F530">
        <v>2786</v>
      </c>
      <c r="G530">
        <v>486.66</v>
      </c>
      <c r="H530">
        <v>45500</v>
      </c>
      <c r="I530">
        <v>124</v>
      </c>
      <c r="J530" t="s">
        <v>13</v>
      </c>
    </row>
    <row r="531" spans="1:10" x14ac:dyDescent="0.2">
      <c r="A531" s="1">
        <v>46111</v>
      </c>
      <c r="B531" t="s">
        <v>10</v>
      </c>
      <c r="C531" t="s">
        <v>14</v>
      </c>
      <c r="D531" t="s">
        <v>12</v>
      </c>
      <c r="E531">
        <v>94542</v>
      </c>
      <c r="F531">
        <v>2882</v>
      </c>
      <c r="G531">
        <v>440.61</v>
      </c>
      <c r="H531">
        <v>70410</v>
      </c>
      <c r="I531">
        <v>126</v>
      </c>
      <c r="J531" t="s">
        <v>13</v>
      </c>
    </row>
    <row r="532" spans="1:10" x14ac:dyDescent="0.2">
      <c r="A532" s="1">
        <v>46111</v>
      </c>
      <c r="B532" t="s">
        <v>15</v>
      </c>
      <c r="C532" t="s">
        <v>16</v>
      </c>
      <c r="D532" t="s">
        <v>12</v>
      </c>
      <c r="E532">
        <v>118913</v>
      </c>
      <c r="F532">
        <v>4319</v>
      </c>
      <c r="G532">
        <v>704.42</v>
      </c>
      <c r="H532">
        <v>88812</v>
      </c>
      <c r="I532">
        <v>141</v>
      </c>
      <c r="J532" t="s">
        <v>13</v>
      </c>
    </row>
    <row r="533" spans="1:10" x14ac:dyDescent="0.2">
      <c r="A533" s="1">
        <v>46111</v>
      </c>
      <c r="B533" t="s">
        <v>15</v>
      </c>
      <c r="C533" t="s">
        <v>17</v>
      </c>
      <c r="D533" t="s">
        <v>12</v>
      </c>
      <c r="E533">
        <v>129015</v>
      </c>
      <c r="F533">
        <v>3778</v>
      </c>
      <c r="G533">
        <v>649</v>
      </c>
      <c r="H533">
        <v>102810</v>
      </c>
      <c r="I533">
        <v>122</v>
      </c>
      <c r="J533" t="s">
        <v>13</v>
      </c>
    </row>
    <row r="534" spans="1:10" x14ac:dyDescent="0.2">
      <c r="A534" s="1">
        <v>46111</v>
      </c>
      <c r="B534" t="s">
        <v>21</v>
      </c>
      <c r="C534" t="s">
        <v>11</v>
      </c>
      <c r="D534" t="s">
        <v>12</v>
      </c>
      <c r="E534">
        <v>99407</v>
      </c>
      <c r="F534">
        <v>3957</v>
      </c>
      <c r="G534">
        <v>692.84</v>
      </c>
      <c r="H534">
        <v>76093</v>
      </c>
      <c r="I534">
        <v>137</v>
      </c>
      <c r="J534" t="s">
        <v>13</v>
      </c>
    </row>
    <row r="535" spans="1:10" x14ac:dyDescent="0.2">
      <c r="A535" s="1">
        <v>46111</v>
      </c>
      <c r="B535" t="s">
        <v>21</v>
      </c>
      <c r="C535" t="s">
        <v>14</v>
      </c>
      <c r="D535" t="s">
        <v>12</v>
      </c>
      <c r="E535">
        <v>151161</v>
      </c>
      <c r="F535">
        <v>4238</v>
      </c>
      <c r="G535">
        <v>724.55</v>
      </c>
      <c r="H535">
        <v>119911</v>
      </c>
      <c r="I535">
        <v>173</v>
      </c>
      <c r="J535" t="s">
        <v>13</v>
      </c>
    </row>
    <row r="536" spans="1:10" x14ac:dyDescent="0.2">
      <c r="A536" s="1">
        <v>46112</v>
      </c>
      <c r="B536" t="s">
        <v>10</v>
      </c>
      <c r="C536" t="s">
        <v>11</v>
      </c>
      <c r="D536" t="s">
        <v>12</v>
      </c>
      <c r="E536">
        <v>130115</v>
      </c>
      <c r="F536">
        <v>5047</v>
      </c>
      <c r="G536">
        <v>847.35</v>
      </c>
      <c r="H536">
        <v>104743</v>
      </c>
      <c r="I536">
        <v>215</v>
      </c>
      <c r="J536" t="s">
        <v>13</v>
      </c>
    </row>
    <row r="537" spans="1:10" x14ac:dyDescent="0.2">
      <c r="A537" s="1">
        <v>46112</v>
      </c>
      <c r="B537" t="s">
        <v>10</v>
      </c>
      <c r="C537" t="s">
        <v>14</v>
      </c>
      <c r="D537" t="s">
        <v>12</v>
      </c>
      <c r="E537">
        <v>119767</v>
      </c>
      <c r="F537">
        <v>3796</v>
      </c>
      <c r="G537">
        <v>596.67999999999995</v>
      </c>
      <c r="H537">
        <v>88769</v>
      </c>
      <c r="I537">
        <v>110</v>
      </c>
      <c r="J537" t="s">
        <v>13</v>
      </c>
    </row>
    <row r="538" spans="1:10" x14ac:dyDescent="0.2">
      <c r="A538" s="1">
        <v>46112</v>
      </c>
      <c r="B538" t="s">
        <v>15</v>
      </c>
      <c r="C538" t="s">
        <v>16</v>
      </c>
      <c r="D538" t="s">
        <v>12</v>
      </c>
      <c r="E538">
        <v>100322</v>
      </c>
      <c r="F538">
        <v>3385</v>
      </c>
      <c r="G538">
        <v>552.15</v>
      </c>
      <c r="H538">
        <v>77911</v>
      </c>
      <c r="I538">
        <v>117</v>
      </c>
      <c r="J538" t="s">
        <v>13</v>
      </c>
    </row>
    <row r="539" spans="1:10" x14ac:dyDescent="0.2">
      <c r="A539" s="1">
        <v>46112</v>
      </c>
      <c r="B539" t="s">
        <v>15</v>
      </c>
      <c r="C539" t="s">
        <v>17</v>
      </c>
      <c r="D539" t="s">
        <v>12</v>
      </c>
      <c r="E539">
        <v>110570</v>
      </c>
      <c r="F539">
        <v>4776</v>
      </c>
      <c r="G539">
        <v>814.26</v>
      </c>
      <c r="H539">
        <v>80118</v>
      </c>
      <c r="I539">
        <v>182</v>
      </c>
      <c r="J539" t="s">
        <v>13</v>
      </c>
    </row>
    <row r="540" spans="1:10" x14ac:dyDescent="0.2">
      <c r="A540" s="1">
        <v>46112</v>
      </c>
      <c r="B540" t="s">
        <v>21</v>
      </c>
      <c r="C540" t="s">
        <v>11</v>
      </c>
      <c r="D540" t="s">
        <v>12</v>
      </c>
      <c r="E540">
        <v>130309</v>
      </c>
      <c r="F540">
        <v>3684</v>
      </c>
      <c r="G540">
        <v>652.72</v>
      </c>
      <c r="H540">
        <v>95881</v>
      </c>
      <c r="I540">
        <v>124</v>
      </c>
      <c r="J540" t="s">
        <v>13</v>
      </c>
    </row>
    <row r="541" spans="1:10" x14ac:dyDescent="0.2">
      <c r="A541" s="1">
        <v>46112</v>
      </c>
      <c r="B541" t="s">
        <v>21</v>
      </c>
      <c r="C541" t="s">
        <v>14</v>
      </c>
      <c r="D541" t="s">
        <v>12</v>
      </c>
      <c r="E541">
        <v>124893</v>
      </c>
      <c r="F541">
        <v>3926</v>
      </c>
      <c r="G541">
        <v>657.78</v>
      </c>
      <c r="H541">
        <v>91570</v>
      </c>
      <c r="I541">
        <v>152</v>
      </c>
      <c r="J541" t="s">
        <v>13</v>
      </c>
    </row>
    <row r="542" spans="1:10" x14ac:dyDescent="0.2">
      <c r="A542" s="1">
        <v>46023</v>
      </c>
      <c r="B542" t="s">
        <v>10</v>
      </c>
      <c r="C542" t="s">
        <v>23</v>
      </c>
      <c r="D542" t="s">
        <v>24</v>
      </c>
      <c r="E542">
        <v>84474</v>
      </c>
      <c r="F542">
        <v>3693</v>
      </c>
      <c r="G542">
        <v>671.27</v>
      </c>
      <c r="H542">
        <v>65126</v>
      </c>
      <c r="I542">
        <v>124</v>
      </c>
      <c r="J542" t="s">
        <v>25</v>
      </c>
    </row>
    <row r="543" spans="1:10" x14ac:dyDescent="0.2">
      <c r="A543" s="1">
        <v>46023</v>
      </c>
      <c r="B543" t="s">
        <v>10</v>
      </c>
      <c r="C543" t="s">
        <v>26</v>
      </c>
      <c r="D543" t="s">
        <v>24</v>
      </c>
      <c r="E543">
        <v>121867</v>
      </c>
      <c r="F543">
        <v>5033</v>
      </c>
      <c r="G543">
        <v>848.61</v>
      </c>
      <c r="H543">
        <v>96429</v>
      </c>
      <c r="I543">
        <v>184</v>
      </c>
      <c r="J543" t="s">
        <v>25</v>
      </c>
    </row>
    <row r="544" spans="1:10" x14ac:dyDescent="0.2">
      <c r="A544" s="1">
        <v>46023</v>
      </c>
      <c r="B544" t="s">
        <v>15</v>
      </c>
      <c r="C544" t="s">
        <v>27</v>
      </c>
      <c r="D544" t="s">
        <v>24</v>
      </c>
      <c r="E544">
        <v>82873</v>
      </c>
      <c r="F544">
        <v>2839</v>
      </c>
      <c r="G544">
        <v>439.2</v>
      </c>
      <c r="H544">
        <v>59792</v>
      </c>
      <c r="I544">
        <v>161</v>
      </c>
      <c r="J544" t="s">
        <v>25</v>
      </c>
    </row>
    <row r="545" spans="1:10" x14ac:dyDescent="0.2">
      <c r="A545" s="1">
        <v>46023</v>
      </c>
      <c r="B545" t="s">
        <v>15</v>
      </c>
      <c r="C545" t="s">
        <v>28</v>
      </c>
      <c r="D545" t="s">
        <v>29</v>
      </c>
      <c r="E545">
        <v>54623</v>
      </c>
      <c r="F545">
        <v>2416</v>
      </c>
      <c r="G545">
        <v>406.34</v>
      </c>
      <c r="H545">
        <v>40246</v>
      </c>
      <c r="I545">
        <v>115</v>
      </c>
      <c r="J545" t="s">
        <v>25</v>
      </c>
    </row>
    <row r="546" spans="1:10" x14ac:dyDescent="0.2">
      <c r="A546" s="1">
        <v>46023</v>
      </c>
      <c r="B546" t="s">
        <v>18</v>
      </c>
      <c r="C546" t="s">
        <v>23</v>
      </c>
      <c r="D546" t="s">
        <v>24</v>
      </c>
      <c r="E546">
        <v>96628</v>
      </c>
      <c r="F546">
        <v>3728</v>
      </c>
      <c r="G546">
        <v>597.38</v>
      </c>
      <c r="H546">
        <v>78632</v>
      </c>
      <c r="I546">
        <v>197</v>
      </c>
      <c r="J546" t="s">
        <v>25</v>
      </c>
    </row>
    <row r="547" spans="1:10" x14ac:dyDescent="0.2">
      <c r="A547" s="1">
        <v>46023</v>
      </c>
      <c r="B547" t="s">
        <v>18</v>
      </c>
      <c r="C547" t="s">
        <v>26</v>
      </c>
      <c r="D547" t="s">
        <v>29</v>
      </c>
      <c r="E547">
        <v>49583</v>
      </c>
      <c r="F547">
        <v>1710</v>
      </c>
      <c r="G547">
        <v>329.81</v>
      </c>
      <c r="H547">
        <v>35890</v>
      </c>
      <c r="I547">
        <v>93</v>
      </c>
      <c r="J547" t="s">
        <v>25</v>
      </c>
    </row>
    <row r="548" spans="1:10" x14ac:dyDescent="0.2">
      <c r="A548" s="1">
        <v>46024</v>
      </c>
      <c r="B548" t="s">
        <v>10</v>
      </c>
      <c r="C548" t="s">
        <v>23</v>
      </c>
      <c r="D548" t="s">
        <v>24</v>
      </c>
      <c r="E548">
        <v>36424</v>
      </c>
      <c r="F548">
        <v>1396</v>
      </c>
      <c r="G548">
        <v>230.92</v>
      </c>
      <c r="H548">
        <v>30369</v>
      </c>
      <c r="I548">
        <v>63</v>
      </c>
      <c r="J548" t="s">
        <v>25</v>
      </c>
    </row>
    <row r="549" spans="1:10" x14ac:dyDescent="0.2">
      <c r="A549" s="1">
        <v>46024</v>
      </c>
      <c r="B549" t="s">
        <v>10</v>
      </c>
      <c r="C549" t="s">
        <v>26</v>
      </c>
      <c r="D549" t="s">
        <v>30</v>
      </c>
      <c r="E549">
        <v>109981</v>
      </c>
      <c r="F549">
        <v>4402</v>
      </c>
      <c r="G549">
        <v>803.63</v>
      </c>
      <c r="H549">
        <v>84777</v>
      </c>
      <c r="I549">
        <v>161</v>
      </c>
      <c r="J549" t="s">
        <v>25</v>
      </c>
    </row>
    <row r="550" spans="1:10" x14ac:dyDescent="0.2">
      <c r="A550" s="1">
        <v>46024</v>
      </c>
      <c r="B550" t="s">
        <v>15</v>
      </c>
      <c r="C550" t="s">
        <v>27</v>
      </c>
      <c r="D550" t="s">
        <v>24</v>
      </c>
      <c r="E550">
        <v>103354</v>
      </c>
      <c r="F550">
        <v>3931</v>
      </c>
      <c r="G550">
        <v>774.66</v>
      </c>
      <c r="H550">
        <v>83631</v>
      </c>
      <c r="I550">
        <v>173</v>
      </c>
      <c r="J550" t="s">
        <v>25</v>
      </c>
    </row>
    <row r="551" spans="1:10" x14ac:dyDescent="0.2">
      <c r="A551" s="1">
        <v>46024</v>
      </c>
      <c r="B551" t="s">
        <v>15</v>
      </c>
      <c r="C551" t="s">
        <v>28</v>
      </c>
      <c r="D551" t="s">
        <v>30</v>
      </c>
      <c r="E551">
        <v>63692</v>
      </c>
      <c r="F551">
        <v>2437</v>
      </c>
      <c r="G551">
        <v>461.45</v>
      </c>
      <c r="H551">
        <v>53317</v>
      </c>
      <c r="I551">
        <v>122</v>
      </c>
      <c r="J551" t="s">
        <v>25</v>
      </c>
    </row>
    <row r="552" spans="1:10" x14ac:dyDescent="0.2">
      <c r="A552" s="1">
        <v>46024</v>
      </c>
      <c r="B552" t="s">
        <v>18</v>
      </c>
      <c r="C552" t="s">
        <v>23</v>
      </c>
      <c r="D552" t="s">
        <v>24</v>
      </c>
      <c r="E552">
        <v>125757</v>
      </c>
      <c r="F552">
        <v>4966</v>
      </c>
      <c r="G552">
        <v>788.56</v>
      </c>
      <c r="H552">
        <v>100231</v>
      </c>
      <c r="I552">
        <v>282</v>
      </c>
      <c r="J552" t="s">
        <v>25</v>
      </c>
    </row>
    <row r="553" spans="1:10" x14ac:dyDescent="0.2">
      <c r="A553" s="1">
        <v>46024</v>
      </c>
      <c r="B553" t="s">
        <v>18</v>
      </c>
      <c r="C553" t="s">
        <v>26</v>
      </c>
      <c r="D553" t="s">
        <v>29</v>
      </c>
      <c r="E553">
        <v>42165</v>
      </c>
      <c r="F553">
        <v>1891</v>
      </c>
      <c r="G553">
        <v>338.11</v>
      </c>
      <c r="H553">
        <v>31344</v>
      </c>
      <c r="I553">
        <v>66</v>
      </c>
      <c r="J553" t="s">
        <v>25</v>
      </c>
    </row>
    <row r="554" spans="1:10" x14ac:dyDescent="0.2">
      <c r="A554" s="1">
        <v>46025</v>
      </c>
      <c r="B554" t="s">
        <v>10</v>
      </c>
      <c r="C554" t="s">
        <v>23</v>
      </c>
      <c r="D554" t="s">
        <v>24</v>
      </c>
      <c r="E554">
        <v>115555</v>
      </c>
      <c r="F554">
        <v>4812</v>
      </c>
      <c r="G554">
        <v>918.11</v>
      </c>
      <c r="H554">
        <v>83588</v>
      </c>
      <c r="I554">
        <v>194</v>
      </c>
      <c r="J554" t="s">
        <v>25</v>
      </c>
    </row>
    <row r="555" spans="1:10" x14ac:dyDescent="0.2">
      <c r="A555" s="1">
        <v>46025</v>
      </c>
      <c r="B555" t="s">
        <v>10</v>
      </c>
      <c r="C555" t="s">
        <v>26</v>
      </c>
      <c r="D555" t="s">
        <v>24</v>
      </c>
      <c r="E555">
        <v>60985</v>
      </c>
      <c r="F555">
        <v>2158</v>
      </c>
      <c r="G555">
        <v>303.54000000000002</v>
      </c>
      <c r="H555">
        <v>50566</v>
      </c>
      <c r="I555">
        <v>81</v>
      </c>
      <c r="J555" t="s">
        <v>25</v>
      </c>
    </row>
    <row r="556" spans="1:10" x14ac:dyDescent="0.2">
      <c r="A556" s="1">
        <v>46025</v>
      </c>
      <c r="B556" t="s">
        <v>15</v>
      </c>
      <c r="C556" t="s">
        <v>27</v>
      </c>
      <c r="D556" t="s">
        <v>24</v>
      </c>
      <c r="E556">
        <v>166143</v>
      </c>
      <c r="F556">
        <v>7786</v>
      </c>
      <c r="G556">
        <v>1202.31</v>
      </c>
      <c r="H556">
        <v>121318</v>
      </c>
      <c r="I556">
        <v>382</v>
      </c>
      <c r="J556" t="s">
        <v>25</v>
      </c>
    </row>
    <row r="557" spans="1:10" x14ac:dyDescent="0.2">
      <c r="A557" s="1">
        <v>46025</v>
      </c>
      <c r="B557" t="s">
        <v>15</v>
      </c>
      <c r="C557" t="s">
        <v>28</v>
      </c>
      <c r="D557" t="s">
        <v>30</v>
      </c>
      <c r="E557">
        <v>152446</v>
      </c>
      <c r="F557">
        <v>7284</v>
      </c>
      <c r="G557">
        <v>1231.2</v>
      </c>
      <c r="H557">
        <v>110640</v>
      </c>
      <c r="I557">
        <v>253</v>
      </c>
      <c r="J557" t="s">
        <v>25</v>
      </c>
    </row>
    <row r="558" spans="1:10" x14ac:dyDescent="0.2">
      <c r="A558" s="1">
        <v>46025</v>
      </c>
      <c r="B558" t="s">
        <v>19</v>
      </c>
      <c r="C558" t="s">
        <v>23</v>
      </c>
      <c r="D558" t="s">
        <v>24</v>
      </c>
      <c r="E558">
        <v>50555</v>
      </c>
      <c r="F558">
        <v>2410</v>
      </c>
      <c r="G558">
        <v>446.09</v>
      </c>
      <c r="H558">
        <v>42215</v>
      </c>
      <c r="I558">
        <v>113</v>
      </c>
      <c r="J558" t="s">
        <v>25</v>
      </c>
    </row>
    <row r="559" spans="1:10" x14ac:dyDescent="0.2">
      <c r="A559" s="1">
        <v>46025</v>
      </c>
      <c r="B559" t="s">
        <v>19</v>
      </c>
      <c r="C559" t="s">
        <v>26</v>
      </c>
      <c r="D559" t="s">
        <v>24</v>
      </c>
      <c r="E559">
        <v>186963</v>
      </c>
      <c r="F559">
        <v>7151</v>
      </c>
      <c r="G559">
        <v>1153.82</v>
      </c>
      <c r="H559">
        <v>137519</v>
      </c>
      <c r="I559">
        <v>373</v>
      </c>
      <c r="J559" t="s">
        <v>25</v>
      </c>
    </row>
    <row r="560" spans="1:10" x14ac:dyDescent="0.2">
      <c r="A560" s="1">
        <v>46025</v>
      </c>
      <c r="B560" t="s">
        <v>18</v>
      </c>
      <c r="C560" t="s">
        <v>23</v>
      </c>
      <c r="D560" t="s">
        <v>24</v>
      </c>
      <c r="E560">
        <v>123736</v>
      </c>
      <c r="F560">
        <v>5734</v>
      </c>
      <c r="G560">
        <v>976.01</v>
      </c>
      <c r="H560">
        <v>96546</v>
      </c>
      <c r="I560">
        <v>316</v>
      </c>
      <c r="J560" t="s">
        <v>25</v>
      </c>
    </row>
    <row r="561" spans="1:10" x14ac:dyDescent="0.2">
      <c r="A561" s="1">
        <v>46025</v>
      </c>
      <c r="B561" t="s">
        <v>18</v>
      </c>
      <c r="C561" t="s">
        <v>26</v>
      </c>
      <c r="D561" t="s">
        <v>29</v>
      </c>
      <c r="E561">
        <v>156746</v>
      </c>
      <c r="F561">
        <v>7012</v>
      </c>
      <c r="G561">
        <v>1182.3399999999999</v>
      </c>
      <c r="H561">
        <v>129199</v>
      </c>
      <c r="I561">
        <v>232</v>
      </c>
      <c r="J561" t="s">
        <v>25</v>
      </c>
    </row>
    <row r="562" spans="1:10" x14ac:dyDescent="0.2">
      <c r="A562" s="1">
        <v>46026</v>
      </c>
      <c r="B562" t="s">
        <v>10</v>
      </c>
      <c r="C562" t="s">
        <v>23</v>
      </c>
      <c r="D562" t="s">
        <v>24</v>
      </c>
      <c r="E562">
        <v>76806</v>
      </c>
      <c r="F562">
        <v>3296</v>
      </c>
      <c r="G562">
        <v>477.01</v>
      </c>
      <c r="H562">
        <v>61069</v>
      </c>
      <c r="I562">
        <v>199</v>
      </c>
      <c r="J562" t="s">
        <v>25</v>
      </c>
    </row>
    <row r="563" spans="1:10" x14ac:dyDescent="0.2">
      <c r="A563" s="1">
        <v>46026</v>
      </c>
      <c r="B563" t="s">
        <v>10</v>
      </c>
      <c r="C563" t="s">
        <v>26</v>
      </c>
      <c r="D563" t="s">
        <v>24</v>
      </c>
      <c r="E563">
        <v>88571</v>
      </c>
      <c r="F563">
        <v>3978</v>
      </c>
      <c r="G563">
        <v>713.07</v>
      </c>
      <c r="H563">
        <v>71942</v>
      </c>
      <c r="I563">
        <v>146</v>
      </c>
      <c r="J563" t="s">
        <v>25</v>
      </c>
    </row>
    <row r="564" spans="1:10" x14ac:dyDescent="0.2">
      <c r="A564" s="1">
        <v>46026</v>
      </c>
      <c r="B564" t="s">
        <v>15</v>
      </c>
      <c r="C564" t="s">
        <v>27</v>
      </c>
      <c r="D564" t="s">
        <v>29</v>
      </c>
      <c r="E564">
        <v>131112</v>
      </c>
      <c r="F564">
        <v>5843</v>
      </c>
      <c r="G564">
        <v>936.87</v>
      </c>
      <c r="H564">
        <v>100069</v>
      </c>
      <c r="I564">
        <v>337</v>
      </c>
      <c r="J564" t="s">
        <v>25</v>
      </c>
    </row>
    <row r="565" spans="1:10" x14ac:dyDescent="0.2">
      <c r="A565" s="1">
        <v>46026</v>
      </c>
      <c r="B565" t="s">
        <v>15</v>
      </c>
      <c r="C565" t="s">
        <v>28</v>
      </c>
      <c r="D565" t="s">
        <v>29</v>
      </c>
      <c r="E565">
        <v>56341</v>
      </c>
      <c r="F565">
        <v>2605</v>
      </c>
      <c r="G565">
        <v>485.7</v>
      </c>
      <c r="H565">
        <v>43186</v>
      </c>
      <c r="I565">
        <v>99</v>
      </c>
      <c r="J565" t="s">
        <v>25</v>
      </c>
    </row>
    <row r="566" spans="1:10" x14ac:dyDescent="0.2">
      <c r="A566" s="1">
        <v>46026</v>
      </c>
      <c r="B566" t="s">
        <v>19</v>
      </c>
      <c r="C566" t="s">
        <v>23</v>
      </c>
      <c r="D566" t="s">
        <v>24</v>
      </c>
      <c r="E566">
        <v>76965</v>
      </c>
      <c r="F566">
        <v>3160</v>
      </c>
      <c r="G566">
        <v>630.94000000000005</v>
      </c>
      <c r="H566">
        <v>56314</v>
      </c>
      <c r="I566">
        <v>102</v>
      </c>
      <c r="J566" t="s">
        <v>25</v>
      </c>
    </row>
    <row r="567" spans="1:10" x14ac:dyDescent="0.2">
      <c r="A567" s="1">
        <v>46026</v>
      </c>
      <c r="B567" t="s">
        <v>19</v>
      </c>
      <c r="C567" t="s">
        <v>26</v>
      </c>
      <c r="D567" t="s">
        <v>24</v>
      </c>
      <c r="E567">
        <v>149399</v>
      </c>
      <c r="F567">
        <v>6854</v>
      </c>
      <c r="G567">
        <v>1287.48</v>
      </c>
      <c r="H567">
        <v>123615</v>
      </c>
      <c r="I567">
        <v>321</v>
      </c>
      <c r="J567" t="s">
        <v>25</v>
      </c>
    </row>
    <row r="568" spans="1:10" x14ac:dyDescent="0.2">
      <c r="A568" s="1">
        <v>46026</v>
      </c>
      <c r="B568" t="s">
        <v>18</v>
      </c>
      <c r="C568" t="s">
        <v>23</v>
      </c>
      <c r="D568" t="s">
        <v>24</v>
      </c>
      <c r="E568">
        <v>106566</v>
      </c>
      <c r="F568">
        <v>3699</v>
      </c>
      <c r="G568">
        <v>583.47</v>
      </c>
      <c r="H568">
        <v>77599</v>
      </c>
      <c r="I568">
        <v>182</v>
      </c>
      <c r="J568" t="s">
        <v>25</v>
      </c>
    </row>
    <row r="569" spans="1:10" x14ac:dyDescent="0.2">
      <c r="A569" s="1">
        <v>46026</v>
      </c>
      <c r="B569" t="s">
        <v>18</v>
      </c>
      <c r="C569" t="s">
        <v>26</v>
      </c>
      <c r="D569" t="s">
        <v>29</v>
      </c>
      <c r="E569">
        <v>65372</v>
      </c>
      <c r="F569">
        <v>2166</v>
      </c>
      <c r="G569">
        <v>395.6</v>
      </c>
      <c r="H569">
        <v>50682</v>
      </c>
      <c r="I569">
        <v>133</v>
      </c>
      <c r="J569" t="s">
        <v>25</v>
      </c>
    </row>
    <row r="570" spans="1:10" x14ac:dyDescent="0.2">
      <c r="A570" s="1">
        <v>46027</v>
      </c>
      <c r="B570" t="s">
        <v>10</v>
      </c>
      <c r="C570" t="s">
        <v>23</v>
      </c>
      <c r="D570" t="s">
        <v>29</v>
      </c>
      <c r="E570">
        <v>92939</v>
      </c>
      <c r="F570">
        <v>3941</v>
      </c>
      <c r="G570">
        <v>584.95000000000005</v>
      </c>
      <c r="H570">
        <v>68298</v>
      </c>
      <c r="I570">
        <v>193</v>
      </c>
      <c r="J570" t="s">
        <v>25</v>
      </c>
    </row>
    <row r="571" spans="1:10" x14ac:dyDescent="0.2">
      <c r="A571" s="1">
        <v>46027</v>
      </c>
      <c r="B571" t="s">
        <v>10</v>
      </c>
      <c r="C571" t="s">
        <v>26</v>
      </c>
      <c r="D571" t="s">
        <v>24</v>
      </c>
      <c r="E571">
        <v>82641</v>
      </c>
      <c r="F571">
        <v>3780</v>
      </c>
      <c r="G571">
        <v>620.13</v>
      </c>
      <c r="H571">
        <v>68000</v>
      </c>
      <c r="I571">
        <v>224</v>
      </c>
      <c r="J571" t="s">
        <v>25</v>
      </c>
    </row>
    <row r="572" spans="1:10" x14ac:dyDescent="0.2">
      <c r="A572" s="1">
        <v>46027</v>
      </c>
      <c r="B572" t="s">
        <v>15</v>
      </c>
      <c r="C572" t="s">
        <v>27</v>
      </c>
      <c r="D572" t="s">
        <v>24</v>
      </c>
      <c r="E572">
        <v>92780</v>
      </c>
      <c r="F572">
        <v>3513</v>
      </c>
      <c r="G572">
        <v>669.89</v>
      </c>
      <c r="H572">
        <v>77401</v>
      </c>
      <c r="I572">
        <v>151</v>
      </c>
      <c r="J572" t="s">
        <v>25</v>
      </c>
    </row>
    <row r="573" spans="1:10" x14ac:dyDescent="0.2">
      <c r="A573" s="1">
        <v>46027</v>
      </c>
      <c r="B573" t="s">
        <v>15</v>
      </c>
      <c r="C573" t="s">
        <v>28</v>
      </c>
      <c r="D573" t="s">
        <v>29</v>
      </c>
      <c r="E573">
        <v>101314</v>
      </c>
      <c r="F573">
        <v>3971</v>
      </c>
      <c r="G573">
        <v>764.99</v>
      </c>
      <c r="H573">
        <v>84997</v>
      </c>
      <c r="I573">
        <v>132</v>
      </c>
      <c r="J573" t="s">
        <v>25</v>
      </c>
    </row>
    <row r="574" spans="1:10" x14ac:dyDescent="0.2">
      <c r="A574" s="1">
        <v>46027</v>
      </c>
      <c r="B574" t="s">
        <v>18</v>
      </c>
      <c r="C574" t="s">
        <v>23</v>
      </c>
      <c r="D574" t="s">
        <v>24</v>
      </c>
      <c r="E574">
        <v>132129</v>
      </c>
      <c r="F574">
        <v>5899</v>
      </c>
      <c r="G574">
        <v>1073.53</v>
      </c>
      <c r="H574">
        <v>104024</v>
      </c>
      <c r="I574">
        <v>216</v>
      </c>
      <c r="J574" t="s">
        <v>25</v>
      </c>
    </row>
    <row r="575" spans="1:10" x14ac:dyDescent="0.2">
      <c r="A575" s="1">
        <v>46027</v>
      </c>
      <c r="B575" t="s">
        <v>18</v>
      </c>
      <c r="C575" t="s">
        <v>26</v>
      </c>
      <c r="D575" t="s">
        <v>29</v>
      </c>
      <c r="E575">
        <v>73097</v>
      </c>
      <c r="F575">
        <v>2778</v>
      </c>
      <c r="G575">
        <v>483.95</v>
      </c>
      <c r="H575">
        <v>60119</v>
      </c>
      <c r="I575">
        <v>107</v>
      </c>
      <c r="J575" t="s">
        <v>25</v>
      </c>
    </row>
    <row r="576" spans="1:10" x14ac:dyDescent="0.2">
      <c r="A576" s="1">
        <v>46028</v>
      </c>
      <c r="B576" t="s">
        <v>10</v>
      </c>
      <c r="C576" t="s">
        <v>23</v>
      </c>
      <c r="D576" t="s">
        <v>29</v>
      </c>
      <c r="E576">
        <v>122706</v>
      </c>
      <c r="F576">
        <v>4110</v>
      </c>
      <c r="G576">
        <v>690.29</v>
      </c>
      <c r="H576">
        <v>97808</v>
      </c>
      <c r="I576">
        <v>242</v>
      </c>
      <c r="J576" t="s">
        <v>25</v>
      </c>
    </row>
    <row r="577" spans="1:10" x14ac:dyDescent="0.2">
      <c r="A577" s="1">
        <v>46028</v>
      </c>
      <c r="B577" t="s">
        <v>10</v>
      </c>
      <c r="C577" t="s">
        <v>26</v>
      </c>
      <c r="D577" t="s">
        <v>30</v>
      </c>
      <c r="E577">
        <v>49302</v>
      </c>
      <c r="F577">
        <v>1645</v>
      </c>
      <c r="G577">
        <v>302.52999999999997</v>
      </c>
      <c r="H577">
        <v>40925</v>
      </c>
      <c r="I577">
        <v>98</v>
      </c>
      <c r="J577" t="s">
        <v>25</v>
      </c>
    </row>
    <row r="578" spans="1:10" x14ac:dyDescent="0.2">
      <c r="A578" s="1">
        <v>46028</v>
      </c>
      <c r="B578" t="s">
        <v>15</v>
      </c>
      <c r="C578" t="s">
        <v>27</v>
      </c>
      <c r="D578" t="s">
        <v>29</v>
      </c>
      <c r="E578">
        <v>61145</v>
      </c>
      <c r="F578">
        <v>2349</v>
      </c>
      <c r="G578">
        <v>337.95</v>
      </c>
      <c r="H578">
        <v>46536</v>
      </c>
      <c r="I578">
        <v>117</v>
      </c>
      <c r="J578" t="s">
        <v>25</v>
      </c>
    </row>
    <row r="579" spans="1:10" x14ac:dyDescent="0.2">
      <c r="A579" s="1">
        <v>46028</v>
      </c>
      <c r="B579" t="s">
        <v>15</v>
      </c>
      <c r="C579" t="s">
        <v>28</v>
      </c>
      <c r="D579" t="s">
        <v>30</v>
      </c>
      <c r="E579">
        <v>127050</v>
      </c>
      <c r="F579">
        <v>5572</v>
      </c>
      <c r="G579">
        <v>818.3</v>
      </c>
      <c r="H579">
        <v>98406</v>
      </c>
      <c r="I579">
        <v>269</v>
      </c>
      <c r="J579" t="s">
        <v>25</v>
      </c>
    </row>
    <row r="580" spans="1:10" x14ac:dyDescent="0.2">
      <c r="A580" s="1">
        <v>46028</v>
      </c>
      <c r="B580" t="s">
        <v>18</v>
      </c>
      <c r="C580" t="s">
        <v>23</v>
      </c>
      <c r="D580" t="s">
        <v>24</v>
      </c>
      <c r="E580">
        <v>54072</v>
      </c>
      <c r="F580">
        <v>2284</v>
      </c>
      <c r="G580">
        <v>363.64</v>
      </c>
      <c r="H580">
        <v>39135</v>
      </c>
      <c r="I580">
        <v>114</v>
      </c>
      <c r="J580" t="s">
        <v>25</v>
      </c>
    </row>
    <row r="581" spans="1:10" x14ac:dyDescent="0.2">
      <c r="A581" s="1">
        <v>46028</v>
      </c>
      <c r="B581" t="s">
        <v>18</v>
      </c>
      <c r="C581" t="s">
        <v>26</v>
      </c>
      <c r="D581" t="s">
        <v>29</v>
      </c>
      <c r="E581">
        <v>43178</v>
      </c>
      <c r="F581">
        <v>2028</v>
      </c>
      <c r="G581">
        <v>327.91</v>
      </c>
      <c r="H581">
        <v>33316</v>
      </c>
      <c r="I581">
        <v>93</v>
      </c>
      <c r="J581" t="s">
        <v>25</v>
      </c>
    </row>
    <row r="582" spans="1:10" x14ac:dyDescent="0.2">
      <c r="A582" s="1">
        <v>46029</v>
      </c>
      <c r="B582" t="s">
        <v>10</v>
      </c>
      <c r="C582" t="s">
        <v>23</v>
      </c>
      <c r="D582" t="s">
        <v>24</v>
      </c>
      <c r="E582">
        <v>62720</v>
      </c>
      <c r="F582">
        <v>2878</v>
      </c>
      <c r="G582">
        <v>567.41999999999996</v>
      </c>
      <c r="H582">
        <v>50303</v>
      </c>
      <c r="I582">
        <v>115</v>
      </c>
      <c r="J582" t="s">
        <v>25</v>
      </c>
    </row>
    <row r="583" spans="1:10" x14ac:dyDescent="0.2">
      <c r="A583" s="1">
        <v>46029</v>
      </c>
      <c r="B583" t="s">
        <v>10</v>
      </c>
      <c r="C583" t="s">
        <v>26</v>
      </c>
      <c r="D583" t="s">
        <v>24</v>
      </c>
      <c r="E583">
        <v>45956</v>
      </c>
      <c r="F583">
        <v>1574</v>
      </c>
      <c r="G583">
        <v>246.23</v>
      </c>
      <c r="H583">
        <v>33538</v>
      </c>
      <c r="I583">
        <v>91</v>
      </c>
      <c r="J583" t="s">
        <v>25</v>
      </c>
    </row>
    <row r="584" spans="1:10" x14ac:dyDescent="0.2">
      <c r="A584" s="1">
        <v>46029</v>
      </c>
      <c r="B584" t="s">
        <v>15</v>
      </c>
      <c r="C584" t="s">
        <v>27</v>
      </c>
      <c r="D584" t="s">
        <v>29</v>
      </c>
      <c r="E584">
        <v>90013</v>
      </c>
      <c r="F584">
        <v>3636</v>
      </c>
      <c r="G584">
        <v>655.13</v>
      </c>
      <c r="H584">
        <v>67611</v>
      </c>
      <c r="I584">
        <v>206</v>
      </c>
      <c r="J584" t="s">
        <v>25</v>
      </c>
    </row>
    <row r="585" spans="1:10" x14ac:dyDescent="0.2">
      <c r="A585" s="1">
        <v>46029</v>
      </c>
      <c r="B585" t="s">
        <v>15</v>
      </c>
      <c r="C585" t="s">
        <v>28</v>
      </c>
      <c r="D585" t="s">
        <v>30</v>
      </c>
      <c r="E585">
        <v>91168</v>
      </c>
      <c r="F585">
        <v>3416</v>
      </c>
      <c r="G585">
        <v>632.61</v>
      </c>
      <c r="H585">
        <v>67440</v>
      </c>
      <c r="I585">
        <v>145</v>
      </c>
      <c r="J585" t="s">
        <v>25</v>
      </c>
    </row>
    <row r="586" spans="1:10" x14ac:dyDescent="0.2">
      <c r="A586" s="1">
        <v>46029</v>
      </c>
      <c r="B586" t="s">
        <v>18</v>
      </c>
      <c r="C586" t="s">
        <v>23</v>
      </c>
      <c r="D586" t="s">
        <v>24</v>
      </c>
      <c r="E586">
        <v>98127</v>
      </c>
      <c r="F586">
        <v>3886</v>
      </c>
      <c r="G586">
        <v>704.65</v>
      </c>
      <c r="H586">
        <v>72543</v>
      </c>
      <c r="I586">
        <v>205</v>
      </c>
      <c r="J586" t="s">
        <v>25</v>
      </c>
    </row>
    <row r="587" spans="1:10" x14ac:dyDescent="0.2">
      <c r="A587" s="1">
        <v>46029</v>
      </c>
      <c r="B587" t="s">
        <v>18</v>
      </c>
      <c r="C587" t="s">
        <v>26</v>
      </c>
      <c r="D587" t="s">
        <v>29</v>
      </c>
      <c r="E587">
        <v>125819</v>
      </c>
      <c r="F587">
        <v>5174</v>
      </c>
      <c r="G587">
        <v>979.86</v>
      </c>
      <c r="H587">
        <v>99058</v>
      </c>
      <c r="I587">
        <v>304</v>
      </c>
      <c r="J587" t="s">
        <v>25</v>
      </c>
    </row>
    <row r="588" spans="1:10" x14ac:dyDescent="0.2">
      <c r="A588" s="1">
        <v>46030</v>
      </c>
      <c r="B588" t="s">
        <v>10</v>
      </c>
      <c r="C588" t="s">
        <v>23</v>
      </c>
      <c r="D588" t="s">
        <v>24</v>
      </c>
      <c r="E588">
        <v>45198</v>
      </c>
      <c r="F588">
        <v>1968</v>
      </c>
      <c r="G588">
        <v>343.83</v>
      </c>
      <c r="H588">
        <v>33326</v>
      </c>
      <c r="I588">
        <v>102</v>
      </c>
      <c r="J588" t="s">
        <v>25</v>
      </c>
    </row>
    <row r="589" spans="1:10" x14ac:dyDescent="0.2">
      <c r="A589" s="1">
        <v>46030</v>
      </c>
      <c r="B589" t="s">
        <v>10</v>
      </c>
      <c r="C589" t="s">
        <v>26</v>
      </c>
      <c r="D589" t="s">
        <v>30</v>
      </c>
      <c r="E589">
        <v>36859</v>
      </c>
      <c r="F589">
        <v>1268</v>
      </c>
      <c r="G589">
        <v>212.41</v>
      </c>
      <c r="H589">
        <v>27190</v>
      </c>
      <c r="I589">
        <v>73</v>
      </c>
      <c r="J589" t="s">
        <v>25</v>
      </c>
    </row>
    <row r="590" spans="1:10" x14ac:dyDescent="0.2">
      <c r="A590" s="1">
        <v>46030</v>
      </c>
      <c r="B590" t="s">
        <v>15</v>
      </c>
      <c r="C590" t="s">
        <v>27</v>
      </c>
      <c r="D590" t="s">
        <v>24</v>
      </c>
      <c r="E590">
        <v>123335</v>
      </c>
      <c r="F590">
        <v>4748</v>
      </c>
      <c r="G590">
        <v>813.05</v>
      </c>
      <c r="H590">
        <v>88855</v>
      </c>
      <c r="I590">
        <v>216</v>
      </c>
      <c r="J590" t="s">
        <v>25</v>
      </c>
    </row>
    <row r="591" spans="1:10" x14ac:dyDescent="0.2">
      <c r="A591" s="1">
        <v>46030</v>
      </c>
      <c r="B591" t="s">
        <v>15</v>
      </c>
      <c r="C591" t="s">
        <v>28</v>
      </c>
      <c r="D591" t="s">
        <v>30</v>
      </c>
      <c r="E591">
        <v>118138</v>
      </c>
      <c r="F591">
        <v>4629</v>
      </c>
      <c r="G591">
        <v>917.32</v>
      </c>
      <c r="H591">
        <v>86440</v>
      </c>
      <c r="I591">
        <v>178</v>
      </c>
      <c r="J591" t="s">
        <v>25</v>
      </c>
    </row>
    <row r="592" spans="1:10" x14ac:dyDescent="0.2">
      <c r="A592" s="1">
        <v>46030</v>
      </c>
      <c r="B592" t="s">
        <v>18</v>
      </c>
      <c r="C592" t="s">
        <v>23</v>
      </c>
      <c r="D592" t="s">
        <v>24</v>
      </c>
      <c r="E592">
        <v>90073</v>
      </c>
      <c r="F592">
        <v>3886</v>
      </c>
      <c r="G592">
        <v>724.6</v>
      </c>
      <c r="H592">
        <v>71348</v>
      </c>
      <c r="I592">
        <v>149</v>
      </c>
      <c r="J592" t="s">
        <v>25</v>
      </c>
    </row>
    <row r="593" spans="1:10" x14ac:dyDescent="0.2">
      <c r="A593" s="1">
        <v>46030</v>
      </c>
      <c r="B593" t="s">
        <v>18</v>
      </c>
      <c r="C593" t="s">
        <v>26</v>
      </c>
      <c r="D593" t="s">
        <v>29</v>
      </c>
      <c r="E593">
        <v>60055</v>
      </c>
      <c r="F593">
        <v>2855</v>
      </c>
      <c r="G593">
        <v>498.51</v>
      </c>
      <c r="H593">
        <v>43343</v>
      </c>
      <c r="I593">
        <v>161</v>
      </c>
      <c r="J593" t="s">
        <v>25</v>
      </c>
    </row>
    <row r="594" spans="1:10" x14ac:dyDescent="0.2">
      <c r="A594" s="1">
        <v>46031</v>
      </c>
      <c r="B594" t="s">
        <v>10</v>
      </c>
      <c r="C594" t="s">
        <v>23</v>
      </c>
      <c r="D594" t="s">
        <v>24</v>
      </c>
      <c r="E594">
        <v>74576</v>
      </c>
      <c r="F594">
        <v>3456</v>
      </c>
      <c r="G594">
        <v>587.95000000000005</v>
      </c>
      <c r="H594">
        <v>61460</v>
      </c>
      <c r="I594">
        <v>183</v>
      </c>
      <c r="J594" t="s">
        <v>25</v>
      </c>
    </row>
    <row r="595" spans="1:10" x14ac:dyDescent="0.2">
      <c r="A595" s="1">
        <v>46031</v>
      </c>
      <c r="B595" t="s">
        <v>10</v>
      </c>
      <c r="C595" t="s">
        <v>26</v>
      </c>
      <c r="D595" t="s">
        <v>30</v>
      </c>
      <c r="E595">
        <v>89270</v>
      </c>
      <c r="F595">
        <v>3442</v>
      </c>
      <c r="G595">
        <v>554.62</v>
      </c>
      <c r="H595">
        <v>70085</v>
      </c>
      <c r="I595">
        <v>164</v>
      </c>
      <c r="J595" t="s">
        <v>25</v>
      </c>
    </row>
    <row r="596" spans="1:10" x14ac:dyDescent="0.2">
      <c r="A596" s="1">
        <v>46031</v>
      </c>
      <c r="B596" t="s">
        <v>15</v>
      </c>
      <c r="C596" t="s">
        <v>27</v>
      </c>
      <c r="D596" t="s">
        <v>29</v>
      </c>
      <c r="E596">
        <v>49860</v>
      </c>
      <c r="F596">
        <v>2334</v>
      </c>
      <c r="G596">
        <v>391.01</v>
      </c>
      <c r="H596">
        <v>38131</v>
      </c>
      <c r="I596">
        <v>113</v>
      </c>
      <c r="J596" t="s">
        <v>25</v>
      </c>
    </row>
    <row r="597" spans="1:10" x14ac:dyDescent="0.2">
      <c r="A597" s="1">
        <v>46031</v>
      </c>
      <c r="B597" t="s">
        <v>15</v>
      </c>
      <c r="C597" t="s">
        <v>28</v>
      </c>
      <c r="D597" t="s">
        <v>30</v>
      </c>
      <c r="E597">
        <v>106141</v>
      </c>
      <c r="F597">
        <v>4136</v>
      </c>
      <c r="G597">
        <v>649.77</v>
      </c>
      <c r="H597">
        <v>84822</v>
      </c>
      <c r="I597">
        <v>216</v>
      </c>
      <c r="J597" t="s">
        <v>25</v>
      </c>
    </row>
    <row r="598" spans="1:10" x14ac:dyDescent="0.2">
      <c r="A598" s="1">
        <v>46031</v>
      </c>
      <c r="B598" t="s">
        <v>18</v>
      </c>
      <c r="C598" t="s">
        <v>23</v>
      </c>
      <c r="D598" t="s">
        <v>24</v>
      </c>
      <c r="E598">
        <v>127024</v>
      </c>
      <c r="F598">
        <v>5325</v>
      </c>
      <c r="G598">
        <v>1041.08</v>
      </c>
      <c r="H598">
        <v>104520</v>
      </c>
      <c r="I598">
        <v>329</v>
      </c>
      <c r="J598" t="s">
        <v>25</v>
      </c>
    </row>
    <row r="599" spans="1:10" x14ac:dyDescent="0.2">
      <c r="A599" s="1">
        <v>46031</v>
      </c>
      <c r="B599" t="s">
        <v>18</v>
      </c>
      <c r="C599" t="s">
        <v>26</v>
      </c>
      <c r="D599" t="s">
        <v>29</v>
      </c>
      <c r="E599">
        <v>46749</v>
      </c>
      <c r="F599">
        <v>1981</v>
      </c>
      <c r="G599">
        <v>350.59</v>
      </c>
      <c r="H599">
        <v>35966</v>
      </c>
      <c r="I599">
        <v>92</v>
      </c>
      <c r="J599" t="s">
        <v>25</v>
      </c>
    </row>
    <row r="600" spans="1:10" x14ac:dyDescent="0.2">
      <c r="A600" s="1">
        <v>46032</v>
      </c>
      <c r="B600" t="s">
        <v>10</v>
      </c>
      <c r="C600" t="s">
        <v>23</v>
      </c>
      <c r="D600" t="s">
        <v>24</v>
      </c>
      <c r="E600">
        <v>165251</v>
      </c>
      <c r="F600">
        <v>6462</v>
      </c>
      <c r="G600">
        <v>1130.04</v>
      </c>
      <c r="H600">
        <v>119627</v>
      </c>
      <c r="I600">
        <v>262</v>
      </c>
      <c r="J600" t="s">
        <v>25</v>
      </c>
    </row>
    <row r="601" spans="1:10" x14ac:dyDescent="0.2">
      <c r="A601" s="1">
        <v>46032</v>
      </c>
      <c r="B601" t="s">
        <v>10</v>
      </c>
      <c r="C601" t="s">
        <v>26</v>
      </c>
      <c r="D601" t="s">
        <v>30</v>
      </c>
      <c r="E601">
        <v>87878</v>
      </c>
      <c r="F601">
        <v>3125</v>
      </c>
      <c r="G601">
        <v>522.74</v>
      </c>
      <c r="H601">
        <v>67290</v>
      </c>
      <c r="I601">
        <v>118</v>
      </c>
      <c r="J601" t="s">
        <v>25</v>
      </c>
    </row>
    <row r="602" spans="1:10" x14ac:dyDescent="0.2">
      <c r="A602" s="1">
        <v>46032</v>
      </c>
      <c r="B602" t="s">
        <v>15</v>
      </c>
      <c r="C602" t="s">
        <v>27</v>
      </c>
      <c r="D602" t="s">
        <v>29</v>
      </c>
      <c r="E602">
        <v>71834</v>
      </c>
      <c r="F602">
        <v>2701</v>
      </c>
      <c r="G602">
        <v>506.78</v>
      </c>
      <c r="H602">
        <v>55719</v>
      </c>
      <c r="I602">
        <v>160</v>
      </c>
      <c r="J602" t="s">
        <v>25</v>
      </c>
    </row>
    <row r="603" spans="1:10" x14ac:dyDescent="0.2">
      <c r="A603" s="1">
        <v>46032</v>
      </c>
      <c r="B603" t="s">
        <v>15</v>
      </c>
      <c r="C603" t="s">
        <v>28</v>
      </c>
      <c r="D603" t="s">
        <v>29</v>
      </c>
      <c r="E603">
        <v>50394</v>
      </c>
      <c r="F603">
        <v>2370</v>
      </c>
      <c r="G603">
        <v>443.03</v>
      </c>
      <c r="H603">
        <v>39353</v>
      </c>
      <c r="I603">
        <v>94</v>
      </c>
      <c r="J603" t="s">
        <v>25</v>
      </c>
    </row>
    <row r="604" spans="1:10" x14ac:dyDescent="0.2">
      <c r="A604" s="1">
        <v>46032</v>
      </c>
      <c r="B604" t="s">
        <v>19</v>
      </c>
      <c r="C604" t="s">
        <v>23</v>
      </c>
      <c r="D604" t="s">
        <v>24</v>
      </c>
      <c r="E604">
        <v>105407</v>
      </c>
      <c r="F604">
        <v>4787</v>
      </c>
      <c r="G604">
        <v>898.56</v>
      </c>
      <c r="H604">
        <v>81138</v>
      </c>
      <c r="I604">
        <v>187</v>
      </c>
      <c r="J604" t="s">
        <v>25</v>
      </c>
    </row>
    <row r="605" spans="1:10" x14ac:dyDescent="0.2">
      <c r="A605" s="1">
        <v>46032</v>
      </c>
      <c r="B605" t="s">
        <v>19</v>
      </c>
      <c r="C605" t="s">
        <v>26</v>
      </c>
      <c r="D605" t="s">
        <v>24</v>
      </c>
      <c r="E605">
        <v>54994</v>
      </c>
      <c r="F605">
        <v>1773</v>
      </c>
      <c r="G605">
        <v>264.54000000000002</v>
      </c>
      <c r="H605">
        <v>42066</v>
      </c>
      <c r="I605">
        <v>100</v>
      </c>
      <c r="J605" t="s">
        <v>25</v>
      </c>
    </row>
    <row r="606" spans="1:10" x14ac:dyDescent="0.2">
      <c r="A606" s="1">
        <v>46032</v>
      </c>
      <c r="B606" t="s">
        <v>18</v>
      </c>
      <c r="C606" t="s">
        <v>23</v>
      </c>
      <c r="D606" t="s">
        <v>24</v>
      </c>
      <c r="E606">
        <v>110488</v>
      </c>
      <c r="F606">
        <v>3836</v>
      </c>
      <c r="G606">
        <v>668.73</v>
      </c>
      <c r="H606">
        <v>85252</v>
      </c>
      <c r="I606">
        <v>186</v>
      </c>
      <c r="J606" t="s">
        <v>25</v>
      </c>
    </row>
    <row r="607" spans="1:10" x14ac:dyDescent="0.2">
      <c r="A607" s="1">
        <v>46032</v>
      </c>
      <c r="B607" t="s">
        <v>18</v>
      </c>
      <c r="C607" t="s">
        <v>26</v>
      </c>
      <c r="D607" t="s">
        <v>29</v>
      </c>
      <c r="E607">
        <v>84352</v>
      </c>
      <c r="F607">
        <v>3530</v>
      </c>
      <c r="G607">
        <v>577.5</v>
      </c>
      <c r="H607">
        <v>61255</v>
      </c>
      <c r="I607">
        <v>211</v>
      </c>
      <c r="J607" t="s">
        <v>25</v>
      </c>
    </row>
    <row r="608" spans="1:10" x14ac:dyDescent="0.2">
      <c r="A608" s="1">
        <v>46033</v>
      </c>
      <c r="B608" t="s">
        <v>10</v>
      </c>
      <c r="C608" t="s">
        <v>23</v>
      </c>
      <c r="D608" t="s">
        <v>29</v>
      </c>
      <c r="E608">
        <v>72647</v>
      </c>
      <c r="F608">
        <v>3416</v>
      </c>
      <c r="G608">
        <v>558.26</v>
      </c>
      <c r="H608">
        <v>58653</v>
      </c>
      <c r="I608">
        <v>150</v>
      </c>
      <c r="J608" t="s">
        <v>25</v>
      </c>
    </row>
    <row r="609" spans="1:10" x14ac:dyDescent="0.2">
      <c r="A609" s="1">
        <v>46033</v>
      </c>
      <c r="B609" t="s">
        <v>10</v>
      </c>
      <c r="C609" t="s">
        <v>26</v>
      </c>
      <c r="D609" t="s">
        <v>30</v>
      </c>
      <c r="E609">
        <v>143920</v>
      </c>
      <c r="F609">
        <v>4970</v>
      </c>
      <c r="G609">
        <v>764.68</v>
      </c>
      <c r="H609">
        <v>115884</v>
      </c>
      <c r="I609">
        <v>177</v>
      </c>
      <c r="J609" t="s">
        <v>25</v>
      </c>
    </row>
    <row r="610" spans="1:10" x14ac:dyDescent="0.2">
      <c r="A610" s="1">
        <v>46033</v>
      </c>
      <c r="B610" t="s">
        <v>15</v>
      </c>
      <c r="C610" t="s">
        <v>27</v>
      </c>
      <c r="D610" t="s">
        <v>24</v>
      </c>
      <c r="E610">
        <v>164869</v>
      </c>
      <c r="F610">
        <v>6797</v>
      </c>
      <c r="G610">
        <v>1111.45</v>
      </c>
      <c r="H610">
        <v>133784</v>
      </c>
      <c r="I610">
        <v>404</v>
      </c>
      <c r="J610" t="s">
        <v>25</v>
      </c>
    </row>
    <row r="611" spans="1:10" x14ac:dyDescent="0.2">
      <c r="A611" s="1">
        <v>46033</v>
      </c>
      <c r="B611" t="s">
        <v>15</v>
      </c>
      <c r="C611" t="s">
        <v>28</v>
      </c>
      <c r="D611" t="s">
        <v>30</v>
      </c>
      <c r="E611">
        <v>108161</v>
      </c>
      <c r="F611">
        <v>3813</v>
      </c>
      <c r="G611">
        <v>555.16</v>
      </c>
      <c r="H611">
        <v>83553</v>
      </c>
      <c r="I611">
        <v>193</v>
      </c>
      <c r="J611" t="s">
        <v>25</v>
      </c>
    </row>
    <row r="612" spans="1:10" x14ac:dyDescent="0.2">
      <c r="A612" s="1">
        <v>46033</v>
      </c>
      <c r="B612" t="s">
        <v>19</v>
      </c>
      <c r="C612" t="s">
        <v>23</v>
      </c>
      <c r="D612" t="s">
        <v>24</v>
      </c>
      <c r="E612">
        <v>54104</v>
      </c>
      <c r="F612">
        <v>2266</v>
      </c>
      <c r="G612">
        <v>391.16</v>
      </c>
      <c r="H612">
        <v>45268</v>
      </c>
      <c r="I612">
        <v>111</v>
      </c>
      <c r="J612" t="s">
        <v>25</v>
      </c>
    </row>
    <row r="613" spans="1:10" x14ac:dyDescent="0.2">
      <c r="A613" s="1">
        <v>46033</v>
      </c>
      <c r="B613" t="s">
        <v>19</v>
      </c>
      <c r="C613" t="s">
        <v>26</v>
      </c>
      <c r="D613" t="s">
        <v>29</v>
      </c>
      <c r="E613">
        <v>185218</v>
      </c>
      <c r="F613">
        <v>8102</v>
      </c>
      <c r="G613">
        <v>1612.34</v>
      </c>
      <c r="H613">
        <v>147458</v>
      </c>
      <c r="I613">
        <v>448</v>
      </c>
      <c r="J613" t="s">
        <v>25</v>
      </c>
    </row>
    <row r="614" spans="1:10" x14ac:dyDescent="0.2">
      <c r="A614" s="1">
        <v>46033</v>
      </c>
      <c r="B614" t="s">
        <v>18</v>
      </c>
      <c r="C614" t="s">
        <v>23</v>
      </c>
      <c r="D614" t="s">
        <v>24</v>
      </c>
      <c r="E614">
        <v>92988</v>
      </c>
      <c r="F614">
        <v>3946</v>
      </c>
      <c r="G614">
        <v>604.94000000000005</v>
      </c>
      <c r="H614">
        <v>69114</v>
      </c>
      <c r="I614">
        <v>225</v>
      </c>
      <c r="J614" t="s">
        <v>25</v>
      </c>
    </row>
    <row r="615" spans="1:10" x14ac:dyDescent="0.2">
      <c r="A615" s="1">
        <v>46033</v>
      </c>
      <c r="B615" t="s">
        <v>18</v>
      </c>
      <c r="C615" t="s">
        <v>26</v>
      </c>
      <c r="D615" t="s">
        <v>29</v>
      </c>
      <c r="E615">
        <v>96797</v>
      </c>
      <c r="F615">
        <v>4118</v>
      </c>
      <c r="G615">
        <v>644.46</v>
      </c>
      <c r="H615">
        <v>80554</v>
      </c>
      <c r="I615">
        <v>209</v>
      </c>
      <c r="J615" t="s">
        <v>25</v>
      </c>
    </row>
    <row r="616" spans="1:10" x14ac:dyDescent="0.2">
      <c r="A616" s="1">
        <v>46034</v>
      </c>
      <c r="B616" t="s">
        <v>10</v>
      </c>
      <c r="C616" t="s">
        <v>23</v>
      </c>
      <c r="D616" t="s">
        <v>24</v>
      </c>
      <c r="E616">
        <v>49540</v>
      </c>
      <c r="F616">
        <v>1949</v>
      </c>
      <c r="G616">
        <v>342.54</v>
      </c>
      <c r="H616">
        <v>36305</v>
      </c>
      <c r="I616">
        <v>78</v>
      </c>
      <c r="J616" t="s">
        <v>25</v>
      </c>
    </row>
    <row r="617" spans="1:10" x14ac:dyDescent="0.2">
      <c r="A617" s="1">
        <v>46034</v>
      </c>
      <c r="B617" t="s">
        <v>10</v>
      </c>
      <c r="C617" t="s">
        <v>26</v>
      </c>
      <c r="D617" t="s">
        <v>24</v>
      </c>
      <c r="E617">
        <v>47160</v>
      </c>
      <c r="F617">
        <v>1567</v>
      </c>
      <c r="G617">
        <v>298.79000000000002</v>
      </c>
      <c r="H617">
        <v>39120</v>
      </c>
      <c r="I617">
        <v>59</v>
      </c>
      <c r="J617" t="s">
        <v>25</v>
      </c>
    </row>
    <row r="618" spans="1:10" x14ac:dyDescent="0.2">
      <c r="A618" s="1">
        <v>46034</v>
      </c>
      <c r="B618" t="s">
        <v>15</v>
      </c>
      <c r="C618" t="s">
        <v>27</v>
      </c>
      <c r="D618" t="s">
        <v>24</v>
      </c>
      <c r="E618">
        <v>99361</v>
      </c>
      <c r="F618">
        <v>4444</v>
      </c>
      <c r="G618">
        <v>732.48</v>
      </c>
      <c r="H618">
        <v>77340</v>
      </c>
      <c r="I618">
        <v>225</v>
      </c>
      <c r="J618" t="s">
        <v>25</v>
      </c>
    </row>
    <row r="619" spans="1:10" x14ac:dyDescent="0.2">
      <c r="A619" s="1">
        <v>46034</v>
      </c>
      <c r="B619" t="s">
        <v>15</v>
      </c>
      <c r="C619" t="s">
        <v>28</v>
      </c>
      <c r="D619" t="s">
        <v>30</v>
      </c>
      <c r="E619">
        <v>125090</v>
      </c>
      <c r="F619">
        <v>4843</v>
      </c>
      <c r="G619">
        <v>936.55</v>
      </c>
      <c r="H619">
        <v>99574</v>
      </c>
      <c r="I619">
        <v>220</v>
      </c>
      <c r="J619" t="s">
        <v>25</v>
      </c>
    </row>
    <row r="620" spans="1:10" x14ac:dyDescent="0.2">
      <c r="A620" s="1">
        <v>46034</v>
      </c>
      <c r="B620" t="s">
        <v>18</v>
      </c>
      <c r="C620" t="s">
        <v>23</v>
      </c>
      <c r="D620" t="s">
        <v>24</v>
      </c>
      <c r="E620">
        <v>58567</v>
      </c>
      <c r="F620">
        <v>2154</v>
      </c>
      <c r="G620">
        <v>418.35</v>
      </c>
      <c r="H620">
        <v>46804</v>
      </c>
      <c r="I620">
        <v>109</v>
      </c>
      <c r="J620" t="s">
        <v>25</v>
      </c>
    </row>
    <row r="621" spans="1:10" x14ac:dyDescent="0.2">
      <c r="A621" s="1">
        <v>46034</v>
      </c>
      <c r="B621" t="s">
        <v>18</v>
      </c>
      <c r="C621" t="s">
        <v>26</v>
      </c>
      <c r="D621" t="s">
        <v>29</v>
      </c>
      <c r="E621">
        <v>50362</v>
      </c>
      <c r="F621">
        <v>2397</v>
      </c>
      <c r="G621">
        <v>478.5</v>
      </c>
      <c r="H621">
        <v>39185</v>
      </c>
      <c r="I621">
        <v>120</v>
      </c>
      <c r="J621" t="s">
        <v>25</v>
      </c>
    </row>
    <row r="622" spans="1:10" x14ac:dyDescent="0.2">
      <c r="A622" s="1">
        <v>46035</v>
      </c>
      <c r="B622" t="s">
        <v>10</v>
      </c>
      <c r="C622" t="s">
        <v>23</v>
      </c>
      <c r="D622" t="s">
        <v>24</v>
      </c>
      <c r="E622">
        <v>55760</v>
      </c>
      <c r="F622">
        <v>2249</v>
      </c>
      <c r="G622">
        <v>349.2</v>
      </c>
      <c r="H622">
        <v>40960</v>
      </c>
      <c r="I622">
        <v>112</v>
      </c>
      <c r="J622" t="s">
        <v>25</v>
      </c>
    </row>
    <row r="623" spans="1:10" x14ac:dyDescent="0.2">
      <c r="A623" s="1">
        <v>46035</v>
      </c>
      <c r="B623" t="s">
        <v>10</v>
      </c>
      <c r="C623" t="s">
        <v>26</v>
      </c>
      <c r="D623" t="s">
        <v>24</v>
      </c>
      <c r="E623">
        <v>102894</v>
      </c>
      <c r="F623">
        <v>4135</v>
      </c>
      <c r="G623">
        <v>616.70000000000005</v>
      </c>
      <c r="H623">
        <v>84787</v>
      </c>
      <c r="I623">
        <v>146</v>
      </c>
      <c r="J623" t="s">
        <v>25</v>
      </c>
    </row>
    <row r="624" spans="1:10" x14ac:dyDescent="0.2">
      <c r="A624" s="1">
        <v>46035</v>
      </c>
      <c r="B624" t="s">
        <v>15</v>
      </c>
      <c r="C624" t="s">
        <v>27</v>
      </c>
      <c r="D624" t="s">
        <v>24</v>
      </c>
      <c r="E624">
        <v>38866</v>
      </c>
      <c r="F624">
        <v>1447</v>
      </c>
      <c r="G624">
        <v>221.66</v>
      </c>
      <c r="H624">
        <v>31377</v>
      </c>
      <c r="I624">
        <v>87</v>
      </c>
      <c r="J624" t="s">
        <v>25</v>
      </c>
    </row>
    <row r="625" spans="1:10" x14ac:dyDescent="0.2">
      <c r="A625" s="1">
        <v>46035</v>
      </c>
      <c r="B625" t="s">
        <v>15</v>
      </c>
      <c r="C625" t="s">
        <v>28</v>
      </c>
      <c r="D625" t="s">
        <v>29</v>
      </c>
      <c r="E625">
        <v>70870</v>
      </c>
      <c r="F625">
        <v>2813</v>
      </c>
      <c r="G625">
        <v>554.71</v>
      </c>
      <c r="H625">
        <v>53990</v>
      </c>
      <c r="I625">
        <v>136</v>
      </c>
      <c r="J625" t="s">
        <v>25</v>
      </c>
    </row>
    <row r="626" spans="1:10" x14ac:dyDescent="0.2">
      <c r="A626" s="1">
        <v>46035</v>
      </c>
      <c r="B626" t="s">
        <v>18</v>
      </c>
      <c r="C626" t="s">
        <v>23</v>
      </c>
      <c r="D626" t="s">
        <v>24</v>
      </c>
      <c r="E626">
        <v>96216</v>
      </c>
      <c r="F626">
        <v>4226</v>
      </c>
      <c r="G626">
        <v>717.36</v>
      </c>
      <c r="H626">
        <v>75194</v>
      </c>
      <c r="I626">
        <v>185</v>
      </c>
      <c r="J626" t="s">
        <v>25</v>
      </c>
    </row>
    <row r="627" spans="1:10" x14ac:dyDescent="0.2">
      <c r="A627" s="1">
        <v>46035</v>
      </c>
      <c r="B627" t="s">
        <v>18</v>
      </c>
      <c r="C627" t="s">
        <v>26</v>
      </c>
      <c r="D627" t="s">
        <v>29</v>
      </c>
      <c r="E627">
        <v>67780</v>
      </c>
      <c r="F627">
        <v>2356</v>
      </c>
      <c r="G627">
        <v>426.96</v>
      </c>
      <c r="H627">
        <v>56018</v>
      </c>
      <c r="I627">
        <v>95</v>
      </c>
      <c r="J627" t="s">
        <v>25</v>
      </c>
    </row>
    <row r="628" spans="1:10" x14ac:dyDescent="0.2">
      <c r="A628" s="1">
        <v>46036</v>
      </c>
      <c r="B628" t="s">
        <v>10</v>
      </c>
      <c r="C628" t="s">
        <v>23</v>
      </c>
      <c r="D628" t="s">
        <v>29</v>
      </c>
      <c r="E628">
        <v>48486</v>
      </c>
      <c r="F628">
        <v>2004</v>
      </c>
      <c r="G628">
        <v>372.72</v>
      </c>
      <c r="H628">
        <v>36722</v>
      </c>
      <c r="I628">
        <v>111</v>
      </c>
      <c r="J628" t="s">
        <v>25</v>
      </c>
    </row>
    <row r="629" spans="1:10" x14ac:dyDescent="0.2">
      <c r="A629" s="1">
        <v>46036</v>
      </c>
      <c r="B629" t="s">
        <v>10</v>
      </c>
      <c r="C629" t="s">
        <v>26</v>
      </c>
      <c r="D629" t="s">
        <v>30</v>
      </c>
      <c r="E629">
        <v>91815</v>
      </c>
      <c r="F629">
        <v>4235</v>
      </c>
      <c r="G629">
        <v>700.57</v>
      </c>
      <c r="H629">
        <v>74337</v>
      </c>
      <c r="I629">
        <v>239</v>
      </c>
      <c r="J629" t="s">
        <v>25</v>
      </c>
    </row>
    <row r="630" spans="1:10" x14ac:dyDescent="0.2">
      <c r="A630" s="1">
        <v>46036</v>
      </c>
      <c r="B630" t="s">
        <v>15</v>
      </c>
      <c r="C630" t="s">
        <v>27</v>
      </c>
      <c r="D630" t="s">
        <v>24</v>
      </c>
      <c r="E630">
        <v>114599</v>
      </c>
      <c r="F630">
        <v>4369</v>
      </c>
      <c r="G630">
        <v>664.01</v>
      </c>
      <c r="H630">
        <v>87364</v>
      </c>
      <c r="I630">
        <v>257</v>
      </c>
      <c r="J630" t="s">
        <v>25</v>
      </c>
    </row>
    <row r="631" spans="1:10" x14ac:dyDescent="0.2">
      <c r="A631" s="1">
        <v>46036</v>
      </c>
      <c r="B631" t="s">
        <v>15</v>
      </c>
      <c r="C631" t="s">
        <v>28</v>
      </c>
      <c r="D631" t="s">
        <v>30</v>
      </c>
      <c r="E631">
        <v>93904</v>
      </c>
      <c r="F631">
        <v>3256</v>
      </c>
      <c r="G631">
        <v>462.44</v>
      </c>
      <c r="H631">
        <v>73373</v>
      </c>
      <c r="I631">
        <v>161</v>
      </c>
      <c r="J631" t="s">
        <v>25</v>
      </c>
    </row>
    <row r="632" spans="1:10" x14ac:dyDescent="0.2">
      <c r="A632" s="1">
        <v>46036</v>
      </c>
      <c r="B632" t="s">
        <v>18</v>
      </c>
      <c r="C632" t="s">
        <v>23</v>
      </c>
      <c r="D632" t="s">
        <v>24</v>
      </c>
      <c r="E632">
        <v>114152</v>
      </c>
      <c r="F632">
        <v>5162</v>
      </c>
      <c r="G632">
        <v>922.48</v>
      </c>
      <c r="H632">
        <v>95410</v>
      </c>
      <c r="I632">
        <v>219</v>
      </c>
      <c r="J632" t="s">
        <v>25</v>
      </c>
    </row>
    <row r="633" spans="1:10" x14ac:dyDescent="0.2">
      <c r="A633" s="1">
        <v>46036</v>
      </c>
      <c r="B633" t="s">
        <v>18</v>
      </c>
      <c r="C633" t="s">
        <v>26</v>
      </c>
      <c r="D633" t="s">
        <v>29</v>
      </c>
      <c r="E633">
        <v>50027</v>
      </c>
      <c r="F633">
        <v>1744</v>
      </c>
      <c r="G633">
        <v>277.93</v>
      </c>
      <c r="H633">
        <v>40767</v>
      </c>
      <c r="I633">
        <v>74</v>
      </c>
      <c r="J633" t="s">
        <v>25</v>
      </c>
    </row>
    <row r="634" spans="1:10" x14ac:dyDescent="0.2">
      <c r="A634" s="1">
        <v>46037</v>
      </c>
      <c r="B634" t="s">
        <v>10</v>
      </c>
      <c r="C634" t="s">
        <v>23</v>
      </c>
      <c r="D634" t="s">
        <v>24</v>
      </c>
      <c r="E634">
        <v>63204</v>
      </c>
      <c r="F634">
        <v>2686</v>
      </c>
      <c r="G634">
        <v>435.99</v>
      </c>
      <c r="H634">
        <v>51419</v>
      </c>
      <c r="I634">
        <v>95</v>
      </c>
      <c r="J634" t="s">
        <v>25</v>
      </c>
    </row>
    <row r="635" spans="1:10" x14ac:dyDescent="0.2">
      <c r="A635" s="1">
        <v>46037</v>
      </c>
      <c r="B635" t="s">
        <v>10</v>
      </c>
      <c r="C635" t="s">
        <v>26</v>
      </c>
      <c r="D635" t="s">
        <v>30</v>
      </c>
      <c r="E635">
        <v>125215</v>
      </c>
      <c r="F635">
        <v>4028</v>
      </c>
      <c r="G635">
        <v>643.4</v>
      </c>
      <c r="H635">
        <v>97147</v>
      </c>
      <c r="I635">
        <v>224</v>
      </c>
      <c r="J635" t="s">
        <v>25</v>
      </c>
    </row>
    <row r="636" spans="1:10" x14ac:dyDescent="0.2">
      <c r="A636" s="1">
        <v>46037</v>
      </c>
      <c r="B636" t="s">
        <v>15</v>
      </c>
      <c r="C636" t="s">
        <v>27</v>
      </c>
      <c r="D636" t="s">
        <v>24</v>
      </c>
      <c r="E636">
        <v>108615</v>
      </c>
      <c r="F636">
        <v>3590</v>
      </c>
      <c r="G636">
        <v>563.69000000000005</v>
      </c>
      <c r="H636">
        <v>80968</v>
      </c>
      <c r="I636">
        <v>138</v>
      </c>
      <c r="J636" t="s">
        <v>25</v>
      </c>
    </row>
    <row r="637" spans="1:10" x14ac:dyDescent="0.2">
      <c r="A637" s="1">
        <v>46037</v>
      </c>
      <c r="B637" t="s">
        <v>15</v>
      </c>
      <c r="C637" t="s">
        <v>28</v>
      </c>
      <c r="D637" t="s">
        <v>29</v>
      </c>
      <c r="E637">
        <v>128882</v>
      </c>
      <c r="F637">
        <v>5377</v>
      </c>
      <c r="G637">
        <v>1037.77</v>
      </c>
      <c r="H637">
        <v>106094</v>
      </c>
      <c r="I637">
        <v>184</v>
      </c>
      <c r="J637" t="s">
        <v>25</v>
      </c>
    </row>
    <row r="638" spans="1:10" x14ac:dyDescent="0.2">
      <c r="A638" s="1">
        <v>46037</v>
      </c>
      <c r="B638" t="s">
        <v>18</v>
      </c>
      <c r="C638" t="s">
        <v>23</v>
      </c>
      <c r="D638" t="s">
        <v>24</v>
      </c>
      <c r="E638">
        <v>124408</v>
      </c>
      <c r="F638">
        <v>5486</v>
      </c>
      <c r="G638">
        <v>872.64</v>
      </c>
      <c r="H638">
        <v>94352</v>
      </c>
      <c r="I638">
        <v>207</v>
      </c>
      <c r="J638" t="s">
        <v>25</v>
      </c>
    </row>
    <row r="639" spans="1:10" x14ac:dyDescent="0.2">
      <c r="A639" s="1">
        <v>46037</v>
      </c>
      <c r="B639" t="s">
        <v>18</v>
      </c>
      <c r="C639" t="s">
        <v>26</v>
      </c>
      <c r="D639" t="s">
        <v>29</v>
      </c>
      <c r="E639">
        <v>100359</v>
      </c>
      <c r="F639">
        <v>3286</v>
      </c>
      <c r="G639">
        <v>514.14</v>
      </c>
      <c r="H639">
        <v>73694</v>
      </c>
      <c r="I639">
        <v>149</v>
      </c>
      <c r="J639" t="s">
        <v>25</v>
      </c>
    </row>
    <row r="640" spans="1:10" x14ac:dyDescent="0.2">
      <c r="A640" s="1">
        <v>46038</v>
      </c>
      <c r="B640" t="s">
        <v>10</v>
      </c>
      <c r="C640" t="s">
        <v>23</v>
      </c>
      <c r="D640" t="s">
        <v>29</v>
      </c>
      <c r="E640">
        <v>112485</v>
      </c>
      <c r="F640">
        <v>4288</v>
      </c>
      <c r="G640">
        <v>748.62</v>
      </c>
      <c r="H640">
        <v>84836</v>
      </c>
      <c r="I640">
        <v>220</v>
      </c>
      <c r="J640" t="s">
        <v>25</v>
      </c>
    </row>
    <row r="641" spans="1:10" x14ac:dyDescent="0.2">
      <c r="A641" s="1">
        <v>46038</v>
      </c>
      <c r="B641" t="s">
        <v>10</v>
      </c>
      <c r="C641" t="s">
        <v>26</v>
      </c>
      <c r="D641" t="s">
        <v>24</v>
      </c>
      <c r="E641">
        <v>95525</v>
      </c>
      <c r="F641">
        <v>3491</v>
      </c>
      <c r="G641">
        <v>665.03</v>
      </c>
      <c r="H641">
        <v>73395</v>
      </c>
      <c r="I641">
        <v>205</v>
      </c>
      <c r="J641" t="s">
        <v>25</v>
      </c>
    </row>
    <row r="642" spans="1:10" x14ac:dyDescent="0.2">
      <c r="A642" s="1">
        <v>46038</v>
      </c>
      <c r="B642" t="s">
        <v>15</v>
      </c>
      <c r="C642" t="s">
        <v>27</v>
      </c>
      <c r="D642" t="s">
        <v>24</v>
      </c>
      <c r="E642">
        <v>79222</v>
      </c>
      <c r="F642">
        <v>3352</v>
      </c>
      <c r="G642">
        <v>483.25</v>
      </c>
      <c r="H642">
        <v>57944</v>
      </c>
      <c r="I642">
        <v>187</v>
      </c>
      <c r="J642" t="s">
        <v>25</v>
      </c>
    </row>
    <row r="643" spans="1:10" x14ac:dyDescent="0.2">
      <c r="A643" s="1">
        <v>46038</v>
      </c>
      <c r="B643" t="s">
        <v>15</v>
      </c>
      <c r="C643" t="s">
        <v>28</v>
      </c>
      <c r="D643" t="s">
        <v>29</v>
      </c>
      <c r="E643">
        <v>71002</v>
      </c>
      <c r="F643">
        <v>2632</v>
      </c>
      <c r="G643">
        <v>423.09</v>
      </c>
      <c r="H643">
        <v>51801</v>
      </c>
      <c r="I643">
        <v>145</v>
      </c>
      <c r="J643" t="s">
        <v>25</v>
      </c>
    </row>
    <row r="644" spans="1:10" x14ac:dyDescent="0.2">
      <c r="A644" s="1">
        <v>46038</v>
      </c>
      <c r="B644" t="s">
        <v>18</v>
      </c>
      <c r="C644" t="s">
        <v>23</v>
      </c>
      <c r="D644" t="s">
        <v>24</v>
      </c>
      <c r="E644">
        <v>115258</v>
      </c>
      <c r="F644">
        <v>3775</v>
      </c>
      <c r="G644">
        <v>596.1</v>
      </c>
      <c r="H644">
        <v>96594</v>
      </c>
      <c r="I644">
        <v>176</v>
      </c>
      <c r="J644" t="s">
        <v>25</v>
      </c>
    </row>
    <row r="645" spans="1:10" x14ac:dyDescent="0.2">
      <c r="A645" s="1">
        <v>46038</v>
      </c>
      <c r="B645" t="s">
        <v>18</v>
      </c>
      <c r="C645" t="s">
        <v>26</v>
      </c>
      <c r="D645" t="s">
        <v>29</v>
      </c>
      <c r="E645">
        <v>84008</v>
      </c>
      <c r="F645">
        <v>3948</v>
      </c>
      <c r="G645">
        <v>577.05999999999995</v>
      </c>
      <c r="H645">
        <v>62744</v>
      </c>
      <c r="I645">
        <v>224</v>
      </c>
      <c r="J645" t="s">
        <v>25</v>
      </c>
    </row>
    <row r="646" spans="1:10" x14ac:dyDescent="0.2">
      <c r="A646" s="1">
        <v>46039</v>
      </c>
      <c r="B646" t="s">
        <v>10</v>
      </c>
      <c r="C646" t="s">
        <v>23</v>
      </c>
      <c r="D646" t="s">
        <v>24</v>
      </c>
      <c r="E646">
        <v>68292</v>
      </c>
      <c r="F646">
        <v>3270</v>
      </c>
      <c r="G646">
        <v>626.79999999999995</v>
      </c>
      <c r="H646">
        <v>55105</v>
      </c>
      <c r="I646">
        <v>126</v>
      </c>
      <c r="J646" t="s">
        <v>25</v>
      </c>
    </row>
    <row r="647" spans="1:10" x14ac:dyDescent="0.2">
      <c r="A647" s="1">
        <v>46039</v>
      </c>
      <c r="B647" t="s">
        <v>10</v>
      </c>
      <c r="C647" t="s">
        <v>26</v>
      </c>
      <c r="D647" t="s">
        <v>24</v>
      </c>
      <c r="E647">
        <v>84077</v>
      </c>
      <c r="F647">
        <v>3664</v>
      </c>
      <c r="G647">
        <v>691.53</v>
      </c>
      <c r="H647">
        <v>68769</v>
      </c>
      <c r="I647">
        <v>176</v>
      </c>
      <c r="J647" t="s">
        <v>25</v>
      </c>
    </row>
    <row r="648" spans="1:10" x14ac:dyDescent="0.2">
      <c r="A648" s="1">
        <v>46039</v>
      </c>
      <c r="B648" t="s">
        <v>15</v>
      </c>
      <c r="C648" t="s">
        <v>27</v>
      </c>
      <c r="D648" t="s">
        <v>24</v>
      </c>
      <c r="E648">
        <v>175292</v>
      </c>
      <c r="F648">
        <v>8043</v>
      </c>
      <c r="G648">
        <v>1251.3399999999999</v>
      </c>
      <c r="H648">
        <v>142721</v>
      </c>
      <c r="I648">
        <v>284</v>
      </c>
      <c r="J648" t="s">
        <v>25</v>
      </c>
    </row>
    <row r="649" spans="1:10" x14ac:dyDescent="0.2">
      <c r="A649" s="1">
        <v>46039</v>
      </c>
      <c r="B649" t="s">
        <v>15</v>
      </c>
      <c r="C649" t="s">
        <v>28</v>
      </c>
      <c r="D649" t="s">
        <v>29</v>
      </c>
      <c r="E649">
        <v>62768</v>
      </c>
      <c r="F649">
        <v>2273</v>
      </c>
      <c r="G649">
        <v>412.04</v>
      </c>
      <c r="H649">
        <v>51155</v>
      </c>
      <c r="I649">
        <v>98</v>
      </c>
      <c r="J649" t="s">
        <v>25</v>
      </c>
    </row>
    <row r="650" spans="1:10" x14ac:dyDescent="0.2">
      <c r="A650" s="1">
        <v>46039</v>
      </c>
      <c r="B650" t="s">
        <v>19</v>
      </c>
      <c r="C650" t="s">
        <v>23</v>
      </c>
      <c r="D650" t="s">
        <v>24</v>
      </c>
      <c r="E650">
        <v>74278</v>
      </c>
      <c r="F650">
        <v>3070</v>
      </c>
      <c r="G650">
        <v>451.89</v>
      </c>
      <c r="H650">
        <v>56326</v>
      </c>
      <c r="I650">
        <v>111</v>
      </c>
      <c r="J650" t="s">
        <v>25</v>
      </c>
    </row>
    <row r="651" spans="1:10" x14ac:dyDescent="0.2">
      <c r="A651" s="1">
        <v>46039</v>
      </c>
      <c r="B651" t="s">
        <v>19</v>
      </c>
      <c r="C651" t="s">
        <v>26</v>
      </c>
      <c r="D651" t="s">
        <v>24</v>
      </c>
      <c r="E651">
        <v>165872</v>
      </c>
      <c r="F651">
        <v>6493</v>
      </c>
      <c r="G651">
        <v>956.69</v>
      </c>
      <c r="H651">
        <v>129929</v>
      </c>
      <c r="I651">
        <v>320</v>
      </c>
      <c r="J651" t="s">
        <v>25</v>
      </c>
    </row>
    <row r="652" spans="1:10" x14ac:dyDescent="0.2">
      <c r="A652" s="1">
        <v>46039</v>
      </c>
      <c r="B652" t="s">
        <v>18</v>
      </c>
      <c r="C652" t="s">
        <v>23</v>
      </c>
      <c r="D652" t="s">
        <v>24</v>
      </c>
      <c r="E652">
        <v>100479</v>
      </c>
      <c r="F652">
        <v>3732</v>
      </c>
      <c r="G652">
        <v>686.14</v>
      </c>
      <c r="H652">
        <v>75067</v>
      </c>
      <c r="I652">
        <v>148</v>
      </c>
      <c r="J652" t="s">
        <v>25</v>
      </c>
    </row>
    <row r="653" spans="1:10" x14ac:dyDescent="0.2">
      <c r="A653" s="1">
        <v>46039</v>
      </c>
      <c r="B653" t="s">
        <v>18</v>
      </c>
      <c r="C653" t="s">
        <v>26</v>
      </c>
      <c r="D653" t="s">
        <v>29</v>
      </c>
      <c r="E653">
        <v>179538</v>
      </c>
      <c r="F653">
        <v>5983</v>
      </c>
      <c r="G653">
        <v>1038.1199999999999</v>
      </c>
      <c r="H653">
        <v>148073</v>
      </c>
      <c r="I653">
        <v>309</v>
      </c>
      <c r="J653" t="s">
        <v>25</v>
      </c>
    </row>
    <row r="654" spans="1:10" x14ac:dyDescent="0.2">
      <c r="A654" s="1">
        <v>46040</v>
      </c>
      <c r="B654" t="s">
        <v>10</v>
      </c>
      <c r="C654" t="s">
        <v>23</v>
      </c>
      <c r="D654" t="s">
        <v>24</v>
      </c>
      <c r="E654">
        <v>176526</v>
      </c>
      <c r="F654">
        <v>5869</v>
      </c>
      <c r="G654">
        <v>1163.8599999999999</v>
      </c>
      <c r="H654">
        <v>128375</v>
      </c>
      <c r="I654">
        <v>190</v>
      </c>
      <c r="J654" t="s">
        <v>25</v>
      </c>
    </row>
    <row r="655" spans="1:10" x14ac:dyDescent="0.2">
      <c r="A655" s="1">
        <v>46040</v>
      </c>
      <c r="B655" t="s">
        <v>10</v>
      </c>
      <c r="C655" t="s">
        <v>26</v>
      </c>
      <c r="D655" t="s">
        <v>24</v>
      </c>
      <c r="E655">
        <v>134905</v>
      </c>
      <c r="F655">
        <v>6083</v>
      </c>
      <c r="G655">
        <v>920.21</v>
      </c>
      <c r="H655">
        <v>98823</v>
      </c>
      <c r="I655">
        <v>232</v>
      </c>
      <c r="J655" t="s">
        <v>25</v>
      </c>
    </row>
    <row r="656" spans="1:10" x14ac:dyDescent="0.2">
      <c r="A656" s="1">
        <v>46040</v>
      </c>
      <c r="B656" t="s">
        <v>15</v>
      </c>
      <c r="C656" t="s">
        <v>27</v>
      </c>
      <c r="D656" t="s">
        <v>29</v>
      </c>
      <c r="E656">
        <v>188549</v>
      </c>
      <c r="F656">
        <v>8882</v>
      </c>
      <c r="G656">
        <v>1621.06</v>
      </c>
      <c r="H656">
        <v>150581</v>
      </c>
      <c r="I656">
        <v>510</v>
      </c>
      <c r="J656" t="s">
        <v>25</v>
      </c>
    </row>
    <row r="657" spans="1:10" x14ac:dyDescent="0.2">
      <c r="A657" s="1">
        <v>46040</v>
      </c>
      <c r="B657" t="s">
        <v>15</v>
      </c>
      <c r="C657" t="s">
        <v>28</v>
      </c>
      <c r="D657" t="s">
        <v>30</v>
      </c>
      <c r="E657">
        <v>72865</v>
      </c>
      <c r="F657">
        <v>2586</v>
      </c>
      <c r="G657">
        <v>418.46</v>
      </c>
      <c r="H657">
        <v>60988</v>
      </c>
      <c r="I657">
        <v>150</v>
      </c>
      <c r="J657" t="s">
        <v>25</v>
      </c>
    </row>
    <row r="658" spans="1:10" x14ac:dyDescent="0.2">
      <c r="A658" s="1">
        <v>46040</v>
      </c>
      <c r="B658" t="s">
        <v>19</v>
      </c>
      <c r="C658" t="s">
        <v>23</v>
      </c>
      <c r="D658" t="s">
        <v>24</v>
      </c>
      <c r="E658">
        <v>122436</v>
      </c>
      <c r="F658">
        <v>4286</v>
      </c>
      <c r="G658">
        <v>671.49</v>
      </c>
      <c r="H658">
        <v>90566</v>
      </c>
      <c r="I658">
        <v>176</v>
      </c>
      <c r="J658" t="s">
        <v>25</v>
      </c>
    </row>
    <row r="659" spans="1:10" x14ac:dyDescent="0.2">
      <c r="A659" s="1">
        <v>46040</v>
      </c>
      <c r="B659" t="s">
        <v>19</v>
      </c>
      <c r="C659" t="s">
        <v>26</v>
      </c>
      <c r="D659" t="s">
        <v>29</v>
      </c>
      <c r="E659">
        <v>76027</v>
      </c>
      <c r="F659">
        <v>2993</v>
      </c>
      <c r="G659">
        <v>438.27</v>
      </c>
      <c r="H659">
        <v>55744</v>
      </c>
      <c r="I659">
        <v>97</v>
      </c>
      <c r="J659" t="s">
        <v>25</v>
      </c>
    </row>
    <row r="660" spans="1:10" x14ac:dyDescent="0.2">
      <c r="A660" s="1">
        <v>46040</v>
      </c>
      <c r="B660" t="s">
        <v>18</v>
      </c>
      <c r="C660" t="s">
        <v>23</v>
      </c>
      <c r="D660" t="s">
        <v>24</v>
      </c>
      <c r="E660">
        <v>83319</v>
      </c>
      <c r="F660">
        <v>3021</v>
      </c>
      <c r="G660">
        <v>509.26</v>
      </c>
      <c r="H660">
        <v>65297</v>
      </c>
      <c r="I660">
        <v>128</v>
      </c>
      <c r="J660" t="s">
        <v>25</v>
      </c>
    </row>
    <row r="661" spans="1:10" x14ac:dyDescent="0.2">
      <c r="A661" s="1">
        <v>46040</v>
      </c>
      <c r="B661" t="s">
        <v>18</v>
      </c>
      <c r="C661" t="s">
        <v>26</v>
      </c>
      <c r="D661" t="s">
        <v>29</v>
      </c>
      <c r="E661">
        <v>149980</v>
      </c>
      <c r="F661">
        <v>5001</v>
      </c>
      <c r="G661">
        <v>829.61</v>
      </c>
      <c r="H661">
        <v>110696</v>
      </c>
      <c r="I661">
        <v>235</v>
      </c>
      <c r="J661" t="s">
        <v>25</v>
      </c>
    </row>
    <row r="662" spans="1:10" x14ac:dyDescent="0.2">
      <c r="A662" s="1">
        <v>46041</v>
      </c>
      <c r="B662" t="s">
        <v>10</v>
      </c>
      <c r="C662" t="s">
        <v>23</v>
      </c>
      <c r="D662" t="s">
        <v>29</v>
      </c>
      <c r="E662">
        <v>41967</v>
      </c>
      <c r="F662">
        <v>1639</v>
      </c>
      <c r="G662">
        <v>265.82</v>
      </c>
      <c r="H662">
        <v>30463</v>
      </c>
      <c r="I662">
        <v>71</v>
      </c>
      <c r="J662" t="s">
        <v>25</v>
      </c>
    </row>
    <row r="663" spans="1:10" x14ac:dyDescent="0.2">
      <c r="A663" s="1">
        <v>46041</v>
      </c>
      <c r="B663" t="s">
        <v>10</v>
      </c>
      <c r="C663" t="s">
        <v>26</v>
      </c>
      <c r="D663" t="s">
        <v>30</v>
      </c>
      <c r="E663">
        <v>60419</v>
      </c>
      <c r="F663">
        <v>2217</v>
      </c>
      <c r="G663">
        <v>363.95</v>
      </c>
      <c r="H663">
        <v>47808</v>
      </c>
      <c r="I663">
        <v>106</v>
      </c>
      <c r="J663" t="s">
        <v>25</v>
      </c>
    </row>
    <row r="664" spans="1:10" x14ac:dyDescent="0.2">
      <c r="A664" s="1">
        <v>46041</v>
      </c>
      <c r="B664" t="s">
        <v>15</v>
      </c>
      <c r="C664" t="s">
        <v>27</v>
      </c>
      <c r="D664" t="s">
        <v>29</v>
      </c>
      <c r="E664">
        <v>102976</v>
      </c>
      <c r="F664">
        <v>4009</v>
      </c>
      <c r="G664">
        <v>725.11</v>
      </c>
      <c r="H664">
        <v>82129</v>
      </c>
      <c r="I664">
        <v>243</v>
      </c>
      <c r="J664" t="s">
        <v>25</v>
      </c>
    </row>
    <row r="665" spans="1:10" x14ac:dyDescent="0.2">
      <c r="A665" s="1">
        <v>46041</v>
      </c>
      <c r="B665" t="s">
        <v>15</v>
      </c>
      <c r="C665" t="s">
        <v>28</v>
      </c>
      <c r="D665" t="s">
        <v>30</v>
      </c>
      <c r="E665">
        <v>50097</v>
      </c>
      <c r="F665">
        <v>1645</v>
      </c>
      <c r="G665">
        <v>233.82</v>
      </c>
      <c r="H665">
        <v>37670</v>
      </c>
      <c r="I665">
        <v>55</v>
      </c>
      <c r="J665" t="s">
        <v>25</v>
      </c>
    </row>
    <row r="666" spans="1:10" x14ac:dyDescent="0.2">
      <c r="A666" s="1">
        <v>46041</v>
      </c>
      <c r="B666" t="s">
        <v>18</v>
      </c>
      <c r="C666" t="s">
        <v>23</v>
      </c>
      <c r="D666" t="s">
        <v>24</v>
      </c>
      <c r="E666">
        <v>71105</v>
      </c>
      <c r="F666">
        <v>2533</v>
      </c>
      <c r="G666">
        <v>448.88</v>
      </c>
      <c r="H666">
        <v>57303</v>
      </c>
      <c r="I666">
        <v>110</v>
      </c>
      <c r="J666" t="s">
        <v>25</v>
      </c>
    </row>
    <row r="667" spans="1:10" x14ac:dyDescent="0.2">
      <c r="A667" s="1">
        <v>46041</v>
      </c>
      <c r="B667" t="s">
        <v>18</v>
      </c>
      <c r="C667" t="s">
        <v>26</v>
      </c>
      <c r="D667" t="s">
        <v>29</v>
      </c>
      <c r="E667">
        <v>63821</v>
      </c>
      <c r="F667">
        <v>2791</v>
      </c>
      <c r="G667">
        <v>538.03</v>
      </c>
      <c r="H667">
        <v>48005</v>
      </c>
      <c r="I667">
        <v>106</v>
      </c>
      <c r="J667" t="s">
        <v>25</v>
      </c>
    </row>
    <row r="668" spans="1:10" x14ac:dyDescent="0.2">
      <c r="A668" s="1">
        <v>46042</v>
      </c>
      <c r="B668" t="s">
        <v>10</v>
      </c>
      <c r="C668" t="s">
        <v>23</v>
      </c>
      <c r="D668" t="s">
        <v>24</v>
      </c>
      <c r="E668">
        <v>80564</v>
      </c>
      <c r="F668">
        <v>3399</v>
      </c>
      <c r="G668">
        <v>619.80999999999995</v>
      </c>
      <c r="H668">
        <v>60790</v>
      </c>
      <c r="I668">
        <v>109</v>
      </c>
      <c r="J668" t="s">
        <v>25</v>
      </c>
    </row>
    <row r="669" spans="1:10" x14ac:dyDescent="0.2">
      <c r="A669" s="1">
        <v>46042</v>
      </c>
      <c r="B669" t="s">
        <v>10</v>
      </c>
      <c r="C669" t="s">
        <v>26</v>
      </c>
      <c r="D669" t="s">
        <v>24</v>
      </c>
      <c r="E669">
        <v>100960</v>
      </c>
      <c r="F669">
        <v>4697</v>
      </c>
      <c r="G669">
        <v>832.91</v>
      </c>
      <c r="H669">
        <v>81645</v>
      </c>
      <c r="I669">
        <v>270</v>
      </c>
      <c r="J669" t="s">
        <v>25</v>
      </c>
    </row>
    <row r="670" spans="1:10" x14ac:dyDescent="0.2">
      <c r="A670" s="1">
        <v>46042</v>
      </c>
      <c r="B670" t="s">
        <v>15</v>
      </c>
      <c r="C670" t="s">
        <v>27</v>
      </c>
      <c r="D670" t="s">
        <v>24</v>
      </c>
      <c r="E670">
        <v>57312</v>
      </c>
      <c r="F670">
        <v>2122</v>
      </c>
      <c r="G670">
        <v>305.92</v>
      </c>
      <c r="H670">
        <v>42553</v>
      </c>
      <c r="I670">
        <v>125</v>
      </c>
      <c r="J670" t="s">
        <v>25</v>
      </c>
    </row>
    <row r="671" spans="1:10" x14ac:dyDescent="0.2">
      <c r="A671" s="1">
        <v>46042</v>
      </c>
      <c r="B671" t="s">
        <v>15</v>
      </c>
      <c r="C671" t="s">
        <v>28</v>
      </c>
      <c r="D671" t="s">
        <v>30</v>
      </c>
      <c r="E671">
        <v>36669</v>
      </c>
      <c r="F671">
        <v>1564</v>
      </c>
      <c r="G671">
        <v>259.12</v>
      </c>
      <c r="H671">
        <v>26493</v>
      </c>
      <c r="I671">
        <v>95</v>
      </c>
      <c r="J671" t="s">
        <v>25</v>
      </c>
    </row>
    <row r="672" spans="1:10" x14ac:dyDescent="0.2">
      <c r="A672" s="1">
        <v>46042</v>
      </c>
      <c r="B672" t="s">
        <v>18</v>
      </c>
      <c r="C672" t="s">
        <v>23</v>
      </c>
      <c r="D672" t="s">
        <v>24</v>
      </c>
      <c r="E672">
        <v>57377</v>
      </c>
      <c r="F672">
        <v>2459</v>
      </c>
      <c r="G672">
        <v>470.12</v>
      </c>
      <c r="H672">
        <v>45401</v>
      </c>
      <c r="I672">
        <v>150</v>
      </c>
      <c r="J672" t="s">
        <v>25</v>
      </c>
    </row>
    <row r="673" spans="1:10" x14ac:dyDescent="0.2">
      <c r="A673" s="1">
        <v>46042</v>
      </c>
      <c r="B673" t="s">
        <v>18</v>
      </c>
      <c r="C673" t="s">
        <v>26</v>
      </c>
      <c r="D673" t="s">
        <v>29</v>
      </c>
      <c r="E673">
        <v>99003</v>
      </c>
      <c r="F673">
        <v>4551</v>
      </c>
      <c r="G673">
        <v>766.18</v>
      </c>
      <c r="H673">
        <v>71818</v>
      </c>
      <c r="I673">
        <v>148</v>
      </c>
      <c r="J673" t="s">
        <v>25</v>
      </c>
    </row>
    <row r="674" spans="1:10" x14ac:dyDescent="0.2">
      <c r="A674" s="1">
        <v>46043</v>
      </c>
      <c r="B674" t="s">
        <v>10</v>
      </c>
      <c r="C674" t="s">
        <v>23</v>
      </c>
      <c r="D674" t="s">
        <v>29</v>
      </c>
      <c r="E674">
        <v>64922</v>
      </c>
      <c r="F674">
        <v>2623</v>
      </c>
      <c r="G674">
        <v>393.55</v>
      </c>
      <c r="H674">
        <v>47885</v>
      </c>
      <c r="I674">
        <v>91</v>
      </c>
      <c r="J674" t="s">
        <v>25</v>
      </c>
    </row>
    <row r="675" spans="1:10" x14ac:dyDescent="0.2">
      <c r="A675" s="1">
        <v>46043</v>
      </c>
      <c r="B675" t="s">
        <v>10</v>
      </c>
      <c r="C675" t="s">
        <v>26</v>
      </c>
      <c r="D675" t="s">
        <v>30</v>
      </c>
      <c r="E675">
        <v>131493</v>
      </c>
      <c r="F675">
        <v>4914</v>
      </c>
      <c r="G675">
        <v>832.63</v>
      </c>
      <c r="H675">
        <v>100209</v>
      </c>
      <c r="I675">
        <v>237</v>
      </c>
      <c r="J675" t="s">
        <v>25</v>
      </c>
    </row>
    <row r="676" spans="1:10" x14ac:dyDescent="0.2">
      <c r="A676" s="1">
        <v>46043</v>
      </c>
      <c r="B676" t="s">
        <v>15</v>
      </c>
      <c r="C676" t="s">
        <v>27</v>
      </c>
      <c r="D676" t="s">
        <v>29</v>
      </c>
      <c r="E676">
        <v>68231</v>
      </c>
      <c r="F676">
        <v>2581</v>
      </c>
      <c r="G676">
        <v>363.44</v>
      </c>
      <c r="H676">
        <v>52013</v>
      </c>
      <c r="I676">
        <v>137</v>
      </c>
      <c r="J676" t="s">
        <v>25</v>
      </c>
    </row>
    <row r="677" spans="1:10" x14ac:dyDescent="0.2">
      <c r="A677" s="1">
        <v>46043</v>
      </c>
      <c r="B677" t="s">
        <v>15</v>
      </c>
      <c r="C677" t="s">
        <v>28</v>
      </c>
      <c r="D677" t="s">
        <v>29</v>
      </c>
      <c r="E677">
        <v>49779</v>
      </c>
      <c r="F677">
        <v>1807</v>
      </c>
      <c r="G677">
        <v>309.27999999999997</v>
      </c>
      <c r="H677">
        <v>39662</v>
      </c>
      <c r="I677">
        <v>65</v>
      </c>
      <c r="J677" t="s">
        <v>25</v>
      </c>
    </row>
    <row r="678" spans="1:10" x14ac:dyDescent="0.2">
      <c r="A678" s="1">
        <v>46043</v>
      </c>
      <c r="B678" t="s">
        <v>18</v>
      </c>
      <c r="C678" t="s">
        <v>23</v>
      </c>
      <c r="D678" t="s">
        <v>24</v>
      </c>
      <c r="E678">
        <v>63869</v>
      </c>
      <c r="F678">
        <v>2717</v>
      </c>
      <c r="G678">
        <v>403.47</v>
      </c>
      <c r="H678">
        <v>49801</v>
      </c>
      <c r="I678">
        <v>106</v>
      </c>
      <c r="J678" t="s">
        <v>25</v>
      </c>
    </row>
    <row r="679" spans="1:10" x14ac:dyDescent="0.2">
      <c r="A679" s="1">
        <v>46043</v>
      </c>
      <c r="B679" t="s">
        <v>18</v>
      </c>
      <c r="C679" t="s">
        <v>26</v>
      </c>
      <c r="D679" t="s">
        <v>29</v>
      </c>
      <c r="E679">
        <v>82109</v>
      </c>
      <c r="F679">
        <v>2898</v>
      </c>
      <c r="G679">
        <v>421.24</v>
      </c>
      <c r="H679">
        <v>68189</v>
      </c>
      <c r="I679">
        <v>125</v>
      </c>
      <c r="J679" t="s">
        <v>25</v>
      </c>
    </row>
    <row r="680" spans="1:10" x14ac:dyDescent="0.2">
      <c r="A680" s="1">
        <v>46044</v>
      </c>
      <c r="B680" t="s">
        <v>10</v>
      </c>
      <c r="C680" t="s">
        <v>23</v>
      </c>
      <c r="D680" t="s">
        <v>24</v>
      </c>
      <c r="E680">
        <v>70903</v>
      </c>
      <c r="F680">
        <v>3263</v>
      </c>
      <c r="G680">
        <v>589.72</v>
      </c>
      <c r="H680">
        <v>58701</v>
      </c>
      <c r="I680">
        <v>148</v>
      </c>
      <c r="J680" t="s">
        <v>25</v>
      </c>
    </row>
    <row r="681" spans="1:10" x14ac:dyDescent="0.2">
      <c r="A681" s="1">
        <v>46044</v>
      </c>
      <c r="B681" t="s">
        <v>10</v>
      </c>
      <c r="C681" t="s">
        <v>26</v>
      </c>
      <c r="D681" t="s">
        <v>24</v>
      </c>
      <c r="E681">
        <v>69774</v>
      </c>
      <c r="F681">
        <v>3249</v>
      </c>
      <c r="G681">
        <v>522.86</v>
      </c>
      <c r="H681">
        <v>53010</v>
      </c>
      <c r="I681">
        <v>161</v>
      </c>
      <c r="J681" t="s">
        <v>25</v>
      </c>
    </row>
    <row r="682" spans="1:10" x14ac:dyDescent="0.2">
      <c r="A682" s="1">
        <v>46044</v>
      </c>
      <c r="B682" t="s">
        <v>15</v>
      </c>
      <c r="C682" t="s">
        <v>27</v>
      </c>
      <c r="D682" t="s">
        <v>29</v>
      </c>
      <c r="E682">
        <v>75543</v>
      </c>
      <c r="F682">
        <v>2647</v>
      </c>
      <c r="G682">
        <v>462.62</v>
      </c>
      <c r="H682">
        <v>60753</v>
      </c>
      <c r="I682">
        <v>150</v>
      </c>
      <c r="J682" t="s">
        <v>25</v>
      </c>
    </row>
    <row r="683" spans="1:10" x14ac:dyDescent="0.2">
      <c r="A683" s="1">
        <v>46044</v>
      </c>
      <c r="B683" t="s">
        <v>15</v>
      </c>
      <c r="C683" t="s">
        <v>28</v>
      </c>
      <c r="D683" t="s">
        <v>30</v>
      </c>
      <c r="E683">
        <v>91814</v>
      </c>
      <c r="F683">
        <v>4106</v>
      </c>
      <c r="G683">
        <v>714.44</v>
      </c>
      <c r="H683">
        <v>74837</v>
      </c>
      <c r="I683">
        <v>174</v>
      </c>
      <c r="J683" t="s">
        <v>25</v>
      </c>
    </row>
    <row r="684" spans="1:10" x14ac:dyDescent="0.2">
      <c r="A684" s="1">
        <v>46044</v>
      </c>
      <c r="B684" t="s">
        <v>18</v>
      </c>
      <c r="C684" t="s">
        <v>23</v>
      </c>
      <c r="D684" t="s">
        <v>24</v>
      </c>
      <c r="E684">
        <v>36092</v>
      </c>
      <c r="F684">
        <v>1443</v>
      </c>
      <c r="G684">
        <v>261.37</v>
      </c>
      <c r="H684">
        <v>28005</v>
      </c>
      <c r="I684">
        <v>52</v>
      </c>
      <c r="J684" t="s">
        <v>25</v>
      </c>
    </row>
    <row r="685" spans="1:10" x14ac:dyDescent="0.2">
      <c r="A685" s="1">
        <v>46044</v>
      </c>
      <c r="B685" t="s">
        <v>18</v>
      </c>
      <c r="C685" t="s">
        <v>26</v>
      </c>
      <c r="D685" t="s">
        <v>29</v>
      </c>
      <c r="E685">
        <v>116762</v>
      </c>
      <c r="F685">
        <v>4779</v>
      </c>
      <c r="G685">
        <v>715.69</v>
      </c>
      <c r="H685">
        <v>90889</v>
      </c>
      <c r="I685">
        <v>162</v>
      </c>
      <c r="J685" t="s">
        <v>25</v>
      </c>
    </row>
    <row r="686" spans="1:10" x14ac:dyDescent="0.2">
      <c r="A686" s="1">
        <v>46045</v>
      </c>
      <c r="B686" t="s">
        <v>10</v>
      </c>
      <c r="C686" t="s">
        <v>23</v>
      </c>
      <c r="D686" t="s">
        <v>29</v>
      </c>
      <c r="E686">
        <v>37043</v>
      </c>
      <c r="F686">
        <v>1454</v>
      </c>
      <c r="G686">
        <v>222.52</v>
      </c>
      <c r="H686">
        <v>30340</v>
      </c>
      <c r="I686">
        <v>51</v>
      </c>
      <c r="J686" t="s">
        <v>25</v>
      </c>
    </row>
    <row r="687" spans="1:10" x14ac:dyDescent="0.2">
      <c r="A687" s="1">
        <v>46045</v>
      </c>
      <c r="B687" t="s">
        <v>10</v>
      </c>
      <c r="C687" t="s">
        <v>26</v>
      </c>
      <c r="D687" t="s">
        <v>30</v>
      </c>
      <c r="E687">
        <v>75084</v>
      </c>
      <c r="F687">
        <v>2408</v>
      </c>
      <c r="G687">
        <v>388.01</v>
      </c>
      <c r="H687">
        <v>61575</v>
      </c>
      <c r="I687">
        <v>80</v>
      </c>
      <c r="J687" t="s">
        <v>25</v>
      </c>
    </row>
    <row r="688" spans="1:10" x14ac:dyDescent="0.2">
      <c r="A688" s="1">
        <v>46045</v>
      </c>
      <c r="B688" t="s">
        <v>15</v>
      </c>
      <c r="C688" t="s">
        <v>27</v>
      </c>
      <c r="D688" t="s">
        <v>24</v>
      </c>
      <c r="E688">
        <v>80903</v>
      </c>
      <c r="F688">
        <v>3726</v>
      </c>
      <c r="G688">
        <v>697.19</v>
      </c>
      <c r="H688">
        <v>63123</v>
      </c>
      <c r="I688">
        <v>226</v>
      </c>
      <c r="J688" t="s">
        <v>25</v>
      </c>
    </row>
    <row r="689" spans="1:10" x14ac:dyDescent="0.2">
      <c r="A689" s="1">
        <v>46045</v>
      </c>
      <c r="B689" t="s">
        <v>15</v>
      </c>
      <c r="C689" t="s">
        <v>28</v>
      </c>
      <c r="D689" t="s">
        <v>30</v>
      </c>
      <c r="E689">
        <v>46272</v>
      </c>
      <c r="F689">
        <v>2008</v>
      </c>
      <c r="G689">
        <v>298.31</v>
      </c>
      <c r="H689">
        <v>37386</v>
      </c>
      <c r="I689">
        <v>90</v>
      </c>
      <c r="J689" t="s">
        <v>25</v>
      </c>
    </row>
    <row r="690" spans="1:10" x14ac:dyDescent="0.2">
      <c r="A690" s="1">
        <v>46045</v>
      </c>
      <c r="B690" t="s">
        <v>18</v>
      </c>
      <c r="C690" t="s">
        <v>23</v>
      </c>
      <c r="D690" t="s">
        <v>24</v>
      </c>
      <c r="E690">
        <v>73116</v>
      </c>
      <c r="F690">
        <v>2595</v>
      </c>
      <c r="G690">
        <v>436.97</v>
      </c>
      <c r="H690">
        <v>55755</v>
      </c>
      <c r="I690">
        <v>146</v>
      </c>
      <c r="J690" t="s">
        <v>25</v>
      </c>
    </row>
    <row r="691" spans="1:10" x14ac:dyDescent="0.2">
      <c r="A691" s="1">
        <v>46045</v>
      </c>
      <c r="B691" t="s">
        <v>18</v>
      </c>
      <c r="C691" t="s">
        <v>26</v>
      </c>
      <c r="D691" t="s">
        <v>29</v>
      </c>
      <c r="E691">
        <v>90386</v>
      </c>
      <c r="F691">
        <v>3469</v>
      </c>
      <c r="G691">
        <v>673.85</v>
      </c>
      <c r="H691">
        <v>74764</v>
      </c>
      <c r="I691">
        <v>206</v>
      </c>
      <c r="J691" t="s">
        <v>25</v>
      </c>
    </row>
    <row r="692" spans="1:10" x14ac:dyDescent="0.2">
      <c r="A692" s="1">
        <v>46046</v>
      </c>
      <c r="B692" t="s">
        <v>10</v>
      </c>
      <c r="C692" t="s">
        <v>23</v>
      </c>
      <c r="D692" t="s">
        <v>29</v>
      </c>
      <c r="E692">
        <v>80801</v>
      </c>
      <c r="F692">
        <v>3314</v>
      </c>
      <c r="G692">
        <v>598.96</v>
      </c>
      <c r="H692">
        <v>61303</v>
      </c>
      <c r="I692">
        <v>163</v>
      </c>
      <c r="J692" t="s">
        <v>25</v>
      </c>
    </row>
    <row r="693" spans="1:10" x14ac:dyDescent="0.2">
      <c r="A693" s="1">
        <v>46046</v>
      </c>
      <c r="B693" t="s">
        <v>10</v>
      </c>
      <c r="C693" t="s">
        <v>26</v>
      </c>
      <c r="D693" t="s">
        <v>24</v>
      </c>
      <c r="E693">
        <v>94878</v>
      </c>
      <c r="F693">
        <v>3242</v>
      </c>
      <c r="G693">
        <v>561.70000000000005</v>
      </c>
      <c r="H693">
        <v>71739</v>
      </c>
      <c r="I693">
        <v>112</v>
      </c>
      <c r="J693" t="s">
        <v>25</v>
      </c>
    </row>
    <row r="694" spans="1:10" x14ac:dyDescent="0.2">
      <c r="A694" s="1">
        <v>46046</v>
      </c>
      <c r="B694" t="s">
        <v>15</v>
      </c>
      <c r="C694" t="s">
        <v>27</v>
      </c>
      <c r="D694" t="s">
        <v>29</v>
      </c>
      <c r="E694">
        <v>149160</v>
      </c>
      <c r="F694">
        <v>5210</v>
      </c>
      <c r="G694">
        <v>973.98</v>
      </c>
      <c r="H694">
        <v>122320</v>
      </c>
      <c r="I694">
        <v>181</v>
      </c>
      <c r="J694" t="s">
        <v>25</v>
      </c>
    </row>
    <row r="695" spans="1:10" x14ac:dyDescent="0.2">
      <c r="A695" s="1">
        <v>46046</v>
      </c>
      <c r="B695" t="s">
        <v>15</v>
      </c>
      <c r="C695" t="s">
        <v>28</v>
      </c>
      <c r="D695" t="s">
        <v>29</v>
      </c>
      <c r="E695">
        <v>176373</v>
      </c>
      <c r="F695">
        <v>6527</v>
      </c>
      <c r="G695">
        <v>1279.9000000000001</v>
      </c>
      <c r="H695">
        <v>142070</v>
      </c>
      <c r="I695">
        <v>300</v>
      </c>
      <c r="J695" t="s">
        <v>25</v>
      </c>
    </row>
    <row r="696" spans="1:10" x14ac:dyDescent="0.2">
      <c r="A696" s="1">
        <v>46046</v>
      </c>
      <c r="B696" t="s">
        <v>19</v>
      </c>
      <c r="C696" t="s">
        <v>23</v>
      </c>
      <c r="D696" t="s">
        <v>24</v>
      </c>
      <c r="E696">
        <v>134611</v>
      </c>
      <c r="F696">
        <v>5213</v>
      </c>
      <c r="G696">
        <v>858.14</v>
      </c>
      <c r="H696">
        <v>97366</v>
      </c>
      <c r="I696">
        <v>254</v>
      </c>
      <c r="J696" t="s">
        <v>25</v>
      </c>
    </row>
    <row r="697" spans="1:10" x14ac:dyDescent="0.2">
      <c r="A697" s="1">
        <v>46046</v>
      </c>
      <c r="B697" t="s">
        <v>19</v>
      </c>
      <c r="C697" t="s">
        <v>26</v>
      </c>
      <c r="D697" t="s">
        <v>24</v>
      </c>
      <c r="E697">
        <v>65225</v>
      </c>
      <c r="F697">
        <v>2876</v>
      </c>
      <c r="G697">
        <v>508.8</v>
      </c>
      <c r="H697">
        <v>49328</v>
      </c>
      <c r="I697">
        <v>112</v>
      </c>
      <c r="J697" t="s">
        <v>25</v>
      </c>
    </row>
    <row r="698" spans="1:10" x14ac:dyDescent="0.2">
      <c r="A698" s="1">
        <v>46046</v>
      </c>
      <c r="B698" t="s">
        <v>18</v>
      </c>
      <c r="C698" t="s">
        <v>23</v>
      </c>
      <c r="D698" t="s">
        <v>24</v>
      </c>
      <c r="E698">
        <v>72354</v>
      </c>
      <c r="F698">
        <v>3034</v>
      </c>
      <c r="G698">
        <v>588.58000000000004</v>
      </c>
      <c r="H698">
        <v>59716</v>
      </c>
      <c r="I698">
        <v>101</v>
      </c>
      <c r="J698" t="s">
        <v>25</v>
      </c>
    </row>
    <row r="699" spans="1:10" x14ac:dyDescent="0.2">
      <c r="A699" s="1">
        <v>46046</v>
      </c>
      <c r="B699" t="s">
        <v>18</v>
      </c>
      <c r="C699" t="s">
        <v>26</v>
      </c>
      <c r="D699" t="s">
        <v>29</v>
      </c>
      <c r="E699">
        <v>72108</v>
      </c>
      <c r="F699">
        <v>2772</v>
      </c>
      <c r="G699">
        <v>389.07</v>
      </c>
      <c r="H699">
        <v>58904</v>
      </c>
      <c r="I699">
        <v>161</v>
      </c>
      <c r="J699" t="s">
        <v>25</v>
      </c>
    </row>
    <row r="700" spans="1:10" x14ac:dyDescent="0.2">
      <c r="A700" s="1">
        <v>46047</v>
      </c>
      <c r="B700" t="s">
        <v>10</v>
      </c>
      <c r="C700" t="s">
        <v>23</v>
      </c>
      <c r="D700" t="s">
        <v>29</v>
      </c>
      <c r="E700">
        <v>58972</v>
      </c>
      <c r="F700">
        <v>1966</v>
      </c>
      <c r="G700">
        <v>307.11</v>
      </c>
      <c r="H700">
        <v>49438</v>
      </c>
      <c r="I700">
        <v>69</v>
      </c>
      <c r="J700" t="s">
        <v>25</v>
      </c>
    </row>
    <row r="701" spans="1:10" x14ac:dyDescent="0.2">
      <c r="A701" s="1">
        <v>46047</v>
      </c>
      <c r="B701" t="s">
        <v>10</v>
      </c>
      <c r="C701" t="s">
        <v>26</v>
      </c>
      <c r="D701" t="s">
        <v>24</v>
      </c>
      <c r="E701">
        <v>102320</v>
      </c>
      <c r="F701">
        <v>4199</v>
      </c>
      <c r="G701">
        <v>761.85</v>
      </c>
      <c r="H701">
        <v>84282</v>
      </c>
      <c r="I701">
        <v>149</v>
      </c>
      <c r="J701" t="s">
        <v>25</v>
      </c>
    </row>
    <row r="702" spans="1:10" x14ac:dyDescent="0.2">
      <c r="A702" s="1">
        <v>46047</v>
      </c>
      <c r="B702" t="s">
        <v>15</v>
      </c>
      <c r="C702" t="s">
        <v>27</v>
      </c>
      <c r="D702" t="s">
        <v>24</v>
      </c>
      <c r="E702">
        <v>177738</v>
      </c>
      <c r="F702">
        <v>6270</v>
      </c>
      <c r="G702">
        <v>932.03</v>
      </c>
      <c r="H702">
        <v>143763</v>
      </c>
      <c r="I702">
        <v>293</v>
      </c>
      <c r="J702" t="s">
        <v>25</v>
      </c>
    </row>
    <row r="703" spans="1:10" x14ac:dyDescent="0.2">
      <c r="A703" s="1">
        <v>46047</v>
      </c>
      <c r="B703" t="s">
        <v>15</v>
      </c>
      <c r="C703" t="s">
        <v>28</v>
      </c>
      <c r="D703" t="s">
        <v>30</v>
      </c>
      <c r="E703">
        <v>172986</v>
      </c>
      <c r="F703">
        <v>7306</v>
      </c>
      <c r="G703">
        <v>1090.69</v>
      </c>
      <c r="H703">
        <v>137591</v>
      </c>
      <c r="I703">
        <v>391</v>
      </c>
      <c r="J703" t="s">
        <v>25</v>
      </c>
    </row>
    <row r="704" spans="1:10" x14ac:dyDescent="0.2">
      <c r="A704" s="1">
        <v>46047</v>
      </c>
      <c r="B704" t="s">
        <v>19</v>
      </c>
      <c r="C704" t="s">
        <v>23</v>
      </c>
      <c r="D704" t="s">
        <v>24</v>
      </c>
      <c r="E704">
        <v>137989</v>
      </c>
      <c r="F704">
        <v>5792</v>
      </c>
      <c r="G704">
        <v>880.63</v>
      </c>
      <c r="H704">
        <v>100463</v>
      </c>
      <c r="I704">
        <v>211</v>
      </c>
      <c r="J704" t="s">
        <v>25</v>
      </c>
    </row>
    <row r="705" spans="1:10" x14ac:dyDescent="0.2">
      <c r="A705" s="1">
        <v>46047</v>
      </c>
      <c r="B705" t="s">
        <v>19</v>
      </c>
      <c r="C705" t="s">
        <v>26</v>
      </c>
      <c r="D705" t="s">
        <v>29</v>
      </c>
      <c r="E705">
        <v>144387</v>
      </c>
      <c r="F705">
        <v>4844</v>
      </c>
      <c r="G705">
        <v>737.54</v>
      </c>
      <c r="H705">
        <v>112166</v>
      </c>
      <c r="I705">
        <v>276</v>
      </c>
      <c r="J705" t="s">
        <v>25</v>
      </c>
    </row>
    <row r="706" spans="1:10" x14ac:dyDescent="0.2">
      <c r="A706" s="1">
        <v>46047</v>
      </c>
      <c r="B706" t="s">
        <v>18</v>
      </c>
      <c r="C706" t="s">
        <v>23</v>
      </c>
      <c r="D706" t="s">
        <v>24</v>
      </c>
      <c r="E706">
        <v>120695</v>
      </c>
      <c r="F706">
        <v>3969</v>
      </c>
      <c r="G706">
        <v>584.66999999999996</v>
      </c>
      <c r="H706">
        <v>92759</v>
      </c>
      <c r="I706">
        <v>244</v>
      </c>
      <c r="J706" t="s">
        <v>25</v>
      </c>
    </row>
    <row r="707" spans="1:10" x14ac:dyDescent="0.2">
      <c r="A707" s="1">
        <v>46047</v>
      </c>
      <c r="B707" t="s">
        <v>18</v>
      </c>
      <c r="C707" t="s">
        <v>26</v>
      </c>
      <c r="D707" t="s">
        <v>29</v>
      </c>
      <c r="E707">
        <v>149322</v>
      </c>
      <c r="F707">
        <v>5400</v>
      </c>
      <c r="G707">
        <v>954.53</v>
      </c>
      <c r="H707">
        <v>115380</v>
      </c>
      <c r="I707">
        <v>279</v>
      </c>
      <c r="J707" t="s">
        <v>25</v>
      </c>
    </row>
    <row r="708" spans="1:10" x14ac:dyDescent="0.2">
      <c r="A708" s="1">
        <v>46048</v>
      </c>
      <c r="B708" t="s">
        <v>10</v>
      </c>
      <c r="C708" t="s">
        <v>23</v>
      </c>
      <c r="D708" t="s">
        <v>24</v>
      </c>
      <c r="E708">
        <v>91669</v>
      </c>
      <c r="F708">
        <v>3147</v>
      </c>
      <c r="G708">
        <v>444.67</v>
      </c>
      <c r="H708">
        <v>67560</v>
      </c>
      <c r="I708">
        <v>171</v>
      </c>
      <c r="J708" t="s">
        <v>25</v>
      </c>
    </row>
    <row r="709" spans="1:10" x14ac:dyDescent="0.2">
      <c r="A709" s="1">
        <v>46048</v>
      </c>
      <c r="B709" t="s">
        <v>10</v>
      </c>
      <c r="C709" t="s">
        <v>26</v>
      </c>
      <c r="D709" t="s">
        <v>24</v>
      </c>
      <c r="E709">
        <v>57383</v>
      </c>
      <c r="F709">
        <v>2305</v>
      </c>
      <c r="G709">
        <v>419.46</v>
      </c>
      <c r="H709">
        <v>42695</v>
      </c>
      <c r="I709">
        <v>106</v>
      </c>
      <c r="J709" t="s">
        <v>25</v>
      </c>
    </row>
    <row r="710" spans="1:10" x14ac:dyDescent="0.2">
      <c r="A710" s="1">
        <v>46048</v>
      </c>
      <c r="B710" t="s">
        <v>15</v>
      </c>
      <c r="C710" t="s">
        <v>27</v>
      </c>
      <c r="D710" t="s">
        <v>29</v>
      </c>
      <c r="E710">
        <v>122495</v>
      </c>
      <c r="F710">
        <v>4115</v>
      </c>
      <c r="G710">
        <v>721.47</v>
      </c>
      <c r="H710">
        <v>93596</v>
      </c>
      <c r="I710">
        <v>165</v>
      </c>
      <c r="J710" t="s">
        <v>25</v>
      </c>
    </row>
    <row r="711" spans="1:10" x14ac:dyDescent="0.2">
      <c r="A711" s="1">
        <v>46048</v>
      </c>
      <c r="B711" t="s">
        <v>15</v>
      </c>
      <c r="C711" t="s">
        <v>28</v>
      </c>
      <c r="D711" t="s">
        <v>29</v>
      </c>
      <c r="E711">
        <v>126442</v>
      </c>
      <c r="F711">
        <v>5664</v>
      </c>
      <c r="G711">
        <v>950.63</v>
      </c>
      <c r="H711">
        <v>103381</v>
      </c>
      <c r="I711">
        <v>206</v>
      </c>
      <c r="J711" t="s">
        <v>25</v>
      </c>
    </row>
    <row r="712" spans="1:10" x14ac:dyDescent="0.2">
      <c r="A712" s="1">
        <v>46048</v>
      </c>
      <c r="B712" t="s">
        <v>18</v>
      </c>
      <c r="C712" t="s">
        <v>23</v>
      </c>
      <c r="D712" t="s">
        <v>24</v>
      </c>
      <c r="E712">
        <v>94910</v>
      </c>
      <c r="F712">
        <v>3219</v>
      </c>
      <c r="G712">
        <v>525.87</v>
      </c>
      <c r="H712">
        <v>74947</v>
      </c>
      <c r="I712">
        <v>106</v>
      </c>
      <c r="J712" t="s">
        <v>25</v>
      </c>
    </row>
    <row r="713" spans="1:10" x14ac:dyDescent="0.2">
      <c r="A713" s="1">
        <v>46048</v>
      </c>
      <c r="B713" t="s">
        <v>18</v>
      </c>
      <c r="C713" t="s">
        <v>26</v>
      </c>
      <c r="D713" t="s">
        <v>29</v>
      </c>
      <c r="E713">
        <v>40587</v>
      </c>
      <c r="F713">
        <v>1888</v>
      </c>
      <c r="G713">
        <v>304.5</v>
      </c>
      <c r="H713">
        <v>29901</v>
      </c>
      <c r="I713">
        <v>110</v>
      </c>
      <c r="J713" t="s">
        <v>25</v>
      </c>
    </row>
    <row r="714" spans="1:10" x14ac:dyDescent="0.2">
      <c r="A714" s="1">
        <v>46049</v>
      </c>
      <c r="B714" t="s">
        <v>10</v>
      </c>
      <c r="C714" t="s">
        <v>23</v>
      </c>
      <c r="D714" t="s">
        <v>29</v>
      </c>
      <c r="E714">
        <v>71294</v>
      </c>
      <c r="F714">
        <v>2291</v>
      </c>
      <c r="G714">
        <v>342.5</v>
      </c>
      <c r="H714">
        <v>55614</v>
      </c>
      <c r="I714">
        <v>132</v>
      </c>
      <c r="J714" t="s">
        <v>25</v>
      </c>
    </row>
    <row r="715" spans="1:10" x14ac:dyDescent="0.2">
      <c r="A715" s="1">
        <v>46049</v>
      </c>
      <c r="B715" t="s">
        <v>10</v>
      </c>
      <c r="C715" t="s">
        <v>26</v>
      </c>
      <c r="D715" t="s">
        <v>24</v>
      </c>
      <c r="E715">
        <v>80722</v>
      </c>
      <c r="F715">
        <v>3748</v>
      </c>
      <c r="G715">
        <v>642.79</v>
      </c>
      <c r="H715">
        <v>63089</v>
      </c>
      <c r="I715">
        <v>139</v>
      </c>
      <c r="J715" t="s">
        <v>25</v>
      </c>
    </row>
    <row r="716" spans="1:10" x14ac:dyDescent="0.2">
      <c r="A716" s="1">
        <v>46049</v>
      </c>
      <c r="B716" t="s">
        <v>15</v>
      </c>
      <c r="C716" t="s">
        <v>27</v>
      </c>
      <c r="D716" t="s">
        <v>24</v>
      </c>
      <c r="E716">
        <v>81119</v>
      </c>
      <c r="F716">
        <v>3447</v>
      </c>
      <c r="G716">
        <v>599.04999999999995</v>
      </c>
      <c r="H716">
        <v>62878</v>
      </c>
      <c r="I716">
        <v>199</v>
      </c>
      <c r="J716" t="s">
        <v>25</v>
      </c>
    </row>
    <row r="717" spans="1:10" x14ac:dyDescent="0.2">
      <c r="A717" s="1">
        <v>46049</v>
      </c>
      <c r="B717" t="s">
        <v>15</v>
      </c>
      <c r="C717" t="s">
        <v>28</v>
      </c>
      <c r="D717" t="s">
        <v>30</v>
      </c>
      <c r="E717">
        <v>71482</v>
      </c>
      <c r="F717">
        <v>3185</v>
      </c>
      <c r="G717">
        <v>571.73</v>
      </c>
      <c r="H717">
        <v>59388</v>
      </c>
      <c r="I717">
        <v>108</v>
      </c>
      <c r="J717" t="s">
        <v>25</v>
      </c>
    </row>
    <row r="718" spans="1:10" x14ac:dyDescent="0.2">
      <c r="A718" s="1">
        <v>46049</v>
      </c>
      <c r="B718" t="s">
        <v>18</v>
      </c>
      <c r="C718" t="s">
        <v>23</v>
      </c>
      <c r="D718" t="s">
        <v>24</v>
      </c>
      <c r="E718">
        <v>84351</v>
      </c>
      <c r="F718">
        <v>3998</v>
      </c>
      <c r="G718">
        <v>705.05</v>
      </c>
      <c r="H718">
        <v>62558</v>
      </c>
      <c r="I718">
        <v>212</v>
      </c>
      <c r="J718" t="s">
        <v>25</v>
      </c>
    </row>
    <row r="719" spans="1:10" x14ac:dyDescent="0.2">
      <c r="A719" s="1">
        <v>46049</v>
      </c>
      <c r="B719" t="s">
        <v>18</v>
      </c>
      <c r="C719" t="s">
        <v>26</v>
      </c>
      <c r="D719" t="s">
        <v>29</v>
      </c>
      <c r="E719">
        <v>51963</v>
      </c>
      <c r="F719">
        <v>2242</v>
      </c>
      <c r="G719">
        <v>393.09</v>
      </c>
      <c r="H719">
        <v>41034</v>
      </c>
      <c r="I719">
        <v>111</v>
      </c>
      <c r="J719" t="s">
        <v>25</v>
      </c>
    </row>
    <row r="720" spans="1:10" x14ac:dyDescent="0.2">
      <c r="A720" s="1">
        <v>46050</v>
      </c>
      <c r="B720" t="s">
        <v>10</v>
      </c>
      <c r="C720" t="s">
        <v>23</v>
      </c>
      <c r="D720" t="s">
        <v>29</v>
      </c>
      <c r="E720">
        <v>43856</v>
      </c>
      <c r="F720">
        <v>1434</v>
      </c>
      <c r="G720">
        <v>274.07</v>
      </c>
      <c r="H720">
        <v>32414</v>
      </c>
      <c r="I720">
        <v>50</v>
      </c>
      <c r="J720" t="s">
        <v>25</v>
      </c>
    </row>
    <row r="721" spans="1:10" x14ac:dyDescent="0.2">
      <c r="A721" s="1">
        <v>46050</v>
      </c>
      <c r="B721" t="s">
        <v>10</v>
      </c>
      <c r="C721" t="s">
        <v>26</v>
      </c>
      <c r="D721" t="s">
        <v>24</v>
      </c>
      <c r="E721">
        <v>100461</v>
      </c>
      <c r="F721">
        <v>4716</v>
      </c>
      <c r="G721">
        <v>795.05</v>
      </c>
      <c r="H721">
        <v>81492</v>
      </c>
      <c r="I721">
        <v>289</v>
      </c>
      <c r="J721" t="s">
        <v>25</v>
      </c>
    </row>
    <row r="722" spans="1:10" x14ac:dyDescent="0.2">
      <c r="A722" s="1">
        <v>46050</v>
      </c>
      <c r="B722" t="s">
        <v>15</v>
      </c>
      <c r="C722" t="s">
        <v>27</v>
      </c>
      <c r="D722" t="s">
        <v>24</v>
      </c>
      <c r="E722">
        <v>48819</v>
      </c>
      <c r="F722">
        <v>2265</v>
      </c>
      <c r="G722">
        <v>340.75</v>
      </c>
      <c r="H722">
        <v>40378</v>
      </c>
      <c r="I722">
        <v>123</v>
      </c>
      <c r="J722" t="s">
        <v>25</v>
      </c>
    </row>
    <row r="723" spans="1:10" x14ac:dyDescent="0.2">
      <c r="A723" s="1">
        <v>46050</v>
      </c>
      <c r="B723" t="s">
        <v>15</v>
      </c>
      <c r="C723" t="s">
        <v>28</v>
      </c>
      <c r="D723" t="s">
        <v>29</v>
      </c>
      <c r="E723">
        <v>43437</v>
      </c>
      <c r="F723">
        <v>1433</v>
      </c>
      <c r="G723">
        <v>222.16</v>
      </c>
      <c r="H723">
        <v>31469</v>
      </c>
      <c r="I723">
        <v>78</v>
      </c>
      <c r="J723" t="s">
        <v>25</v>
      </c>
    </row>
    <row r="724" spans="1:10" x14ac:dyDescent="0.2">
      <c r="A724" s="1">
        <v>46050</v>
      </c>
      <c r="B724" t="s">
        <v>18</v>
      </c>
      <c r="C724" t="s">
        <v>23</v>
      </c>
      <c r="D724" t="s">
        <v>24</v>
      </c>
      <c r="E724">
        <v>84063</v>
      </c>
      <c r="F724">
        <v>3505</v>
      </c>
      <c r="G724">
        <v>667.49</v>
      </c>
      <c r="H724">
        <v>69841</v>
      </c>
      <c r="I724">
        <v>145</v>
      </c>
      <c r="J724" t="s">
        <v>25</v>
      </c>
    </row>
    <row r="725" spans="1:10" x14ac:dyDescent="0.2">
      <c r="A725" s="1">
        <v>46050</v>
      </c>
      <c r="B725" t="s">
        <v>18</v>
      </c>
      <c r="C725" t="s">
        <v>26</v>
      </c>
      <c r="D725" t="s">
        <v>29</v>
      </c>
      <c r="E725">
        <v>84496</v>
      </c>
      <c r="F725">
        <v>2883</v>
      </c>
      <c r="G725">
        <v>513.88</v>
      </c>
      <c r="H725">
        <v>66479</v>
      </c>
      <c r="I725">
        <v>109</v>
      </c>
      <c r="J725" t="s">
        <v>25</v>
      </c>
    </row>
    <row r="726" spans="1:10" x14ac:dyDescent="0.2">
      <c r="A726" s="1">
        <v>46051</v>
      </c>
      <c r="B726" t="s">
        <v>10</v>
      </c>
      <c r="C726" t="s">
        <v>23</v>
      </c>
      <c r="D726" t="s">
        <v>29</v>
      </c>
      <c r="E726">
        <v>92345</v>
      </c>
      <c r="F726">
        <v>3958</v>
      </c>
      <c r="G726">
        <v>607.66999999999996</v>
      </c>
      <c r="H726">
        <v>74712</v>
      </c>
      <c r="I726">
        <v>178</v>
      </c>
      <c r="J726" t="s">
        <v>25</v>
      </c>
    </row>
    <row r="727" spans="1:10" x14ac:dyDescent="0.2">
      <c r="A727" s="1">
        <v>46051</v>
      </c>
      <c r="B727" t="s">
        <v>10</v>
      </c>
      <c r="C727" t="s">
        <v>26</v>
      </c>
      <c r="D727" t="s">
        <v>24</v>
      </c>
      <c r="E727">
        <v>46274</v>
      </c>
      <c r="F727">
        <v>1911</v>
      </c>
      <c r="G727">
        <v>339.67</v>
      </c>
      <c r="H727">
        <v>37030</v>
      </c>
      <c r="I727">
        <v>72</v>
      </c>
      <c r="J727" t="s">
        <v>25</v>
      </c>
    </row>
    <row r="728" spans="1:10" x14ac:dyDescent="0.2">
      <c r="A728" s="1">
        <v>46051</v>
      </c>
      <c r="B728" t="s">
        <v>15</v>
      </c>
      <c r="C728" t="s">
        <v>27</v>
      </c>
      <c r="D728" t="s">
        <v>24</v>
      </c>
      <c r="E728">
        <v>35686</v>
      </c>
      <c r="F728">
        <v>1347</v>
      </c>
      <c r="G728">
        <v>221.56</v>
      </c>
      <c r="H728">
        <v>28034</v>
      </c>
      <c r="I728">
        <v>46</v>
      </c>
      <c r="J728" t="s">
        <v>25</v>
      </c>
    </row>
    <row r="729" spans="1:10" x14ac:dyDescent="0.2">
      <c r="A729" s="1">
        <v>46051</v>
      </c>
      <c r="B729" t="s">
        <v>15</v>
      </c>
      <c r="C729" t="s">
        <v>28</v>
      </c>
      <c r="D729" t="s">
        <v>30</v>
      </c>
      <c r="E729">
        <v>124438</v>
      </c>
      <c r="F729">
        <v>5435</v>
      </c>
      <c r="G729">
        <v>1057.97</v>
      </c>
      <c r="H729">
        <v>99185</v>
      </c>
      <c r="I729">
        <v>254</v>
      </c>
      <c r="J729" t="s">
        <v>25</v>
      </c>
    </row>
    <row r="730" spans="1:10" x14ac:dyDescent="0.2">
      <c r="A730" s="1">
        <v>46051</v>
      </c>
      <c r="B730" t="s">
        <v>18</v>
      </c>
      <c r="C730" t="s">
        <v>23</v>
      </c>
      <c r="D730" t="s">
        <v>24</v>
      </c>
      <c r="E730">
        <v>109759</v>
      </c>
      <c r="F730">
        <v>4965</v>
      </c>
      <c r="G730">
        <v>844.3</v>
      </c>
      <c r="H730">
        <v>83721</v>
      </c>
      <c r="I730">
        <v>292</v>
      </c>
      <c r="J730" t="s">
        <v>25</v>
      </c>
    </row>
    <row r="731" spans="1:10" x14ac:dyDescent="0.2">
      <c r="A731" s="1">
        <v>46051</v>
      </c>
      <c r="B731" t="s">
        <v>18</v>
      </c>
      <c r="C731" t="s">
        <v>26</v>
      </c>
      <c r="D731" t="s">
        <v>29</v>
      </c>
      <c r="E731">
        <v>43802</v>
      </c>
      <c r="F731">
        <v>1709</v>
      </c>
      <c r="G731">
        <v>303.39999999999998</v>
      </c>
      <c r="H731">
        <v>36131</v>
      </c>
      <c r="I731">
        <v>83</v>
      </c>
      <c r="J731" t="s">
        <v>25</v>
      </c>
    </row>
    <row r="732" spans="1:10" x14ac:dyDescent="0.2">
      <c r="A732" s="1">
        <v>46052</v>
      </c>
      <c r="B732" t="s">
        <v>10</v>
      </c>
      <c r="C732" t="s">
        <v>23</v>
      </c>
      <c r="D732" t="s">
        <v>24</v>
      </c>
      <c r="E732">
        <v>102796</v>
      </c>
      <c r="F732">
        <v>3779</v>
      </c>
      <c r="G732">
        <v>555.79999999999995</v>
      </c>
      <c r="H732">
        <v>76857</v>
      </c>
      <c r="I732">
        <v>189</v>
      </c>
      <c r="J732" t="s">
        <v>25</v>
      </c>
    </row>
    <row r="733" spans="1:10" x14ac:dyDescent="0.2">
      <c r="A733" s="1">
        <v>46052</v>
      </c>
      <c r="B733" t="s">
        <v>10</v>
      </c>
      <c r="C733" t="s">
        <v>26</v>
      </c>
      <c r="D733" t="s">
        <v>30</v>
      </c>
      <c r="E733">
        <v>37954</v>
      </c>
      <c r="F733">
        <v>1350</v>
      </c>
      <c r="G733">
        <v>265.19</v>
      </c>
      <c r="H733">
        <v>31527</v>
      </c>
      <c r="I733">
        <v>53</v>
      </c>
      <c r="J733" t="s">
        <v>25</v>
      </c>
    </row>
    <row r="734" spans="1:10" x14ac:dyDescent="0.2">
      <c r="A734" s="1">
        <v>46052</v>
      </c>
      <c r="B734" t="s">
        <v>15</v>
      </c>
      <c r="C734" t="s">
        <v>27</v>
      </c>
      <c r="D734" t="s">
        <v>29</v>
      </c>
      <c r="E734">
        <v>43906</v>
      </c>
      <c r="F734">
        <v>2017</v>
      </c>
      <c r="G734">
        <v>301.48</v>
      </c>
      <c r="H734">
        <v>33130</v>
      </c>
      <c r="I734">
        <v>96</v>
      </c>
      <c r="J734" t="s">
        <v>25</v>
      </c>
    </row>
    <row r="735" spans="1:10" x14ac:dyDescent="0.2">
      <c r="A735" s="1">
        <v>46052</v>
      </c>
      <c r="B735" t="s">
        <v>15</v>
      </c>
      <c r="C735" t="s">
        <v>28</v>
      </c>
      <c r="D735" t="s">
        <v>30</v>
      </c>
      <c r="E735">
        <v>102863</v>
      </c>
      <c r="F735">
        <v>4825</v>
      </c>
      <c r="G735">
        <v>820.26</v>
      </c>
      <c r="H735">
        <v>78989</v>
      </c>
      <c r="I735">
        <v>162</v>
      </c>
      <c r="J735" t="s">
        <v>25</v>
      </c>
    </row>
    <row r="736" spans="1:10" x14ac:dyDescent="0.2">
      <c r="A736" s="1">
        <v>46052</v>
      </c>
      <c r="B736" t="s">
        <v>18</v>
      </c>
      <c r="C736" t="s">
        <v>23</v>
      </c>
      <c r="D736" t="s">
        <v>24</v>
      </c>
      <c r="E736">
        <v>111385</v>
      </c>
      <c r="F736">
        <v>4403</v>
      </c>
      <c r="G736">
        <v>858.78</v>
      </c>
      <c r="H736">
        <v>83713</v>
      </c>
      <c r="I736">
        <v>144</v>
      </c>
      <c r="J736" t="s">
        <v>25</v>
      </c>
    </row>
    <row r="737" spans="1:10" x14ac:dyDescent="0.2">
      <c r="A737" s="1">
        <v>46052</v>
      </c>
      <c r="B737" t="s">
        <v>18</v>
      </c>
      <c r="C737" t="s">
        <v>26</v>
      </c>
      <c r="D737" t="s">
        <v>29</v>
      </c>
      <c r="E737">
        <v>90234</v>
      </c>
      <c r="F737">
        <v>3264</v>
      </c>
      <c r="G737">
        <v>522.48</v>
      </c>
      <c r="H737">
        <v>73249</v>
      </c>
      <c r="I737">
        <v>118</v>
      </c>
      <c r="J737" t="s">
        <v>25</v>
      </c>
    </row>
    <row r="738" spans="1:10" x14ac:dyDescent="0.2">
      <c r="A738" s="1">
        <v>46053</v>
      </c>
      <c r="B738" t="s">
        <v>10</v>
      </c>
      <c r="C738" t="s">
        <v>23</v>
      </c>
      <c r="D738" t="s">
        <v>29</v>
      </c>
      <c r="E738">
        <v>187972</v>
      </c>
      <c r="F738">
        <v>8010</v>
      </c>
      <c r="G738">
        <v>1543.5</v>
      </c>
      <c r="H738">
        <v>140654</v>
      </c>
      <c r="I738">
        <v>273</v>
      </c>
      <c r="J738" t="s">
        <v>25</v>
      </c>
    </row>
    <row r="739" spans="1:10" x14ac:dyDescent="0.2">
      <c r="A739" s="1">
        <v>46053</v>
      </c>
      <c r="B739" t="s">
        <v>10</v>
      </c>
      <c r="C739" t="s">
        <v>26</v>
      </c>
      <c r="D739" t="s">
        <v>24</v>
      </c>
      <c r="E739">
        <v>112462</v>
      </c>
      <c r="F739">
        <v>5364</v>
      </c>
      <c r="G739">
        <v>1056.68</v>
      </c>
      <c r="H739">
        <v>89044</v>
      </c>
      <c r="I739">
        <v>270</v>
      </c>
      <c r="J739" t="s">
        <v>25</v>
      </c>
    </row>
    <row r="740" spans="1:10" x14ac:dyDescent="0.2">
      <c r="A740" s="1">
        <v>46053</v>
      </c>
      <c r="B740" t="s">
        <v>15</v>
      </c>
      <c r="C740" t="s">
        <v>27</v>
      </c>
      <c r="D740" t="s">
        <v>24</v>
      </c>
      <c r="E740">
        <v>150186</v>
      </c>
      <c r="F740">
        <v>5956</v>
      </c>
      <c r="G740">
        <v>880.11</v>
      </c>
      <c r="H740">
        <v>121170</v>
      </c>
      <c r="I740">
        <v>209</v>
      </c>
      <c r="J740" t="s">
        <v>25</v>
      </c>
    </row>
    <row r="741" spans="1:10" x14ac:dyDescent="0.2">
      <c r="A741" s="1">
        <v>46053</v>
      </c>
      <c r="B741" t="s">
        <v>15</v>
      </c>
      <c r="C741" t="s">
        <v>28</v>
      </c>
      <c r="D741" t="s">
        <v>29</v>
      </c>
      <c r="E741">
        <v>142144</v>
      </c>
      <c r="F741">
        <v>5060</v>
      </c>
      <c r="G741">
        <v>814.74</v>
      </c>
      <c r="H741">
        <v>110490</v>
      </c>
      <c r="I741">
        <v>280</v>
      </c>
      <c r="J741" t="s">
        <v>25</v>
      </c>
    </row>
    <row r="742" spans="1:10" x14ac:dyDescent="0.2">
      <c r="A742" s="1">
        <v>46053</v>
      </c>
      <c r="B742" t="s">
        <v>19</v>
      </c>
      <c r="C742" t="s">
        <v>23</v>
      </c>
      <c r="D742" t="s">
        <v>24</v>
      </c>
      <c r="E742">
        <v>52934</v>
      </c>
      <c r="F742">
        <v>2482</v>
      </c>
      <c r="G742">
        <v>351.4</v>
      </c>
      <c r="H742">
        <v>43078</v>
      </c>
      <c r="I742">
        <v>94</v>
      </c>
      <c r="J742" t="s">
        <v>25</v>
      </c>
    </row>
    <row r="743" spans="1:10" x14ac:dyDescent="0.2">
      <c r="A743" s="1">
        <v>46053</v>
      </c>
      <c r="B743" t="s">
        <v>19</v>
      </c>
      <c r="C743" t="s">
        <v>26</v>
      </c>
      <c r="D743" t="s">
        <v>24</v>
      </c>
      <c r="E743">
        <v>174136</v>
      </c>
      <c r="F743">
        <v>7476</v>
      </c>
      <c r="G743">
        <v>1054.76</v>
      </c>
      <c r="H743">
        <v>135453</v>
      </c>
      <c r="I743">
        <v>326</v>
      </c>
      <c r="J743" t="s">
        <v>25</v>
      </c>
    </row>
    <row r="744" spans="1:10" x14ac:dyDescent="0.2">
      <c r="A744" s="1">
        <v>46053</v>
      </c>
      <c r="B744" t="s">
        <v>18</v>
      </c>
      <c r="C744" t="s">
        <v>23</v>
      </c>
      <c r="D744" t="s">
        <v>24</v>
      </c>
      <c r="E744">
        <v>176612</v>
      </c>
      <c r="F744">
        <v>6005</v>
      </c>
      <c r="G744">
        <v>1093.3900000000001</v>
      </c>
      <c r="H744">
        <v>138807</v>
      </c>
      <c r="I744">
        <v>212</v>
      </c>
      <c r="J744" t="s">
        <v>25</v>
      </c>
    </row>
    <row r="745" spans="1:10" x14ac:dyDescent="0.2">
      <c r="A745" s="1">
        <v>46053</v>
      </c>
      <c r="B745" t="s">
        <v>18</v>
      </c>
      <c r="C745" t="s">
        <v>26</v>
      </c>
      <c r="D745" t="s">
        <v>29</v>
      </c>
      <c r="E745">
        <v>161971</v>
      </c>
      <c r="F745">
        <v>7729</v>
      </c>
      <c r="G745">
        <v>1252.58</v>
      </c>
      <c r="H745">
        <v>120382</v>
      </c>
      <c r="I745">
        <v>348</v>
      </c>
      <c r="J745" t="s">
        <v>25</v>
      </c>
    </row>
    <row r="746" spans="1:10" x14ac:dyDescent="0.2">
      <c r="A746" s="1">
        <v>46054</v>
      </c>
      <c r="B746" t="s">
        <v>10</v>
      </c>
      <c r="C746" t="s">
        <v>23</v>
      </c>
      <c r="D746" t="s">
        <v>24</v>
      </c>
      <c r="E746">
        <v>92703</v>
      </c>
      <c r="F746">
        <v>3310</v>
      </c>
      <c r="G746">
        <v>580.29999999999995</v>
      </c>
      <c r="H746">
        <v>69272</v>
      </c>
      <c r="I746">
        <v>180</v>
      </c>
      <c r="J746" t="s">
        <v>25</v>
      </c>
    </row>
    <row r="747" spans="1:10" x14ac:dyDescent="0.2">
      <c r="A747" s="1">
        <v>46054</v>
      </c>
      <c r="B747" t="s">
        <v>10</v>
      </c>
      <c r="C747" t="s">
        <v>26</v>
      </c>
      <c r="D747" t="s">
        <v>24</v>
      </c>
      <c r="E747">
        <v>51732</v>
      </c>
      <c r="F747">
        <v>2378</v>
      </c>
      <c r="G747">
        <v>368.58</v>
      </c>
      <c r="H747">
        <v>37600</v>
      </c>
      <c r="I747">
        <v>80</v>
      </c>
      <c r="J747" t="s">
        <v>25</v>
      </c>
    </row>
    <row r="748" spans="1:10" x14ac:dyDescent="0.2">
      <c r="A748" s="1">
        <v>46054</v>
      </c>
      <c r="B748" t="s">
        <v>15</v>
      </c>
      <c r="C748" t="s">
        <v>27</v>
      </c>
      <c r="D748" t="s">
        <v>29</v>
      </c>
      <c r="E748">
        <v>82138</v>
      </c>
      <c r="F748">
        <v>2999</v>
      </c>
      <c r="G748">
        <v>476.38</v>
      </c>
      <c r="H748">
        <v>65077</v>
      </c>
      <c r="I748">
        <v>176</v>
      </c>
      <c r="J748" t="s">
        <v>25</v>
      </c>
    </row>
    <row r="749" spans="1:10" x14ac:dyDescent="0.2">
      <c r="A749" s="1">
        <v>46054</v>
      </c>
      <c r="B749" t="s">
        <v>15</v>
      </c>
      <c r="C749" t="s">
        <v>28</v>
      </c>
      <c r="D749" t="s">
        <v>29</v>
      </c>
      <c r="E749">
        <v>72802</v>
      </c>
      <c r="F749">
        <v>3035</v>
      </c>
      <c r="G749">
        <v>512.07000000000005</v>
      </c>
      <c r="H749">
        <v>53486</v>
      </c>
      <c r="I749">
        <v>104</v>
      </c>
      <c r="J749" t="s">
        <v>25</v>
      </c>
    </row>
    <row r="750" spans="1:10" x14ac:dyDescent="0.2">
      <c r="A750" s="1">
        <v>46054</v>
      </c>
      <c r="B750" t="s">
        <v>19</v>
      </c>
      <c r="C750" t="s">
        <v>23</v>
      </c>
      <c r="D750" t="s">
        <v>24</v>
      </c>
      <c r="E750">
        <v>148758</v>
      </c>
      <c r="F750">
        <v>5250</v>
      </c>
      <c r="G750">
        <v>957.16</v>
      </c>
      <c r="H750">
        <v>121626</v>
      </c>
      <c r="I750">
        <v>309</v>
      </c>
      <c r="J750" t="s">
        <v>25</v>
      </c>
    </row>
    <row r="751" spans="1:10" x14ac:dyDescent="0.2">
      <c r="A751" s="1">
        <v>46054</v>
      </c>
      <c r="B751" t="s">
        <v>19</v>
      </c>
      <c r="C751" t="s">
        <v>26</v>
      </c>
      <c r="D751" t="s">
        <v>29</v>
      </c>
      <c r="E751">
        <v>130388</v>
      </c>
      <c r="F751">
        <v>5660</v>
      </c>
      <c r="G751">
        <v>1112.1099999999999</v>
      </c>
      <c r="H751">
        <v>106086</v>
      </c>
      <c r="I751">
        <v>230</v>
      </c>
      <c r="J751" t="s">
        <v>25</v>
      </c>
    </row>
    <row r="752" spans="1:10" x14ac:dyDescent="0.2">
      <c r="A752" s="1">
        <v>46054</v>
      </c>
      <c r="B752" t="s">
        <v>20</v>
      </c>
      <c r="C752" t="s">
        <v>31</v>
      </c>
      <c r="D752" t="s">
        <v>24</v>
      </c>
      <c r="E752">
        <v>145675</v>
      </c>
      <c r="F752">
        <v>6742</v>
      </c>
      <c r="G752">
        <v>1072.8599999999999</v>
      </c>
      <c r="H752">
        <v>114350</v>
      </c>
      <c r="I752">
        <v>236</v>
      </c>
      <c r="J752" t="s">
        <v>25</v>
      </c>
    </row>
    <row r="753" spans="1:10" x14ac:dyDescent="0.2">
      <c r="A753" s="1">
        <v>46054</v>
      </c>
      <c r="B753" t="s">
        <v>20</v>
      </c>
      <c r="C753" t="s">
        <v>23</v>
      </c>
      <c r="D753" t="s">
        <v>24</v>
      </c>
      <c r="E753">
        <v>124387</v>
      </c>
      <c r="F753">
        <v>5384</v>
      </c>
      <c r="G753">
        <v>954.65</v>
      </c>
      <c r="H753">
        <v>93734</v>
      </c>
      <c r="I753">
        <v>205</v>
      </c>
      <c r="J753" t="s">
        <v>25</v>
      </c>
    </row>
    <row r="754" spans="1:10" x14ac:dyDescent="0.2">
      <c r="A754" s="1">
        <v>46055</v>
      </c>
      <c r="B754" t="s">
        <v>10</v>
      </c>
      <c r="C754" t="s">
        <v>23</v>
      </c>
      <c r="D754" t="s">
        <v>24</v>
      </c>
      <c r="E754">
        <v>103287</v>
      </c>
      <c r="F754">
        <v>3686</v>
      </c>
      <c r="G754">
        <v>680.12</v>
      </c>
      <c r="H754">
        <v>76979</v>
      </c>
      <c r="I754">
        <v>159</v>
      </c>
      <c r="J754" t="s">
        <v>25</v>
      </c>
    </row>
    <row r="755" spans="1:10" x14ac:dyDescent="0.2">
      <c r="A755" s="1">
        <v>46055</v>
      </c>
      <c r="B755" t="s">
        <v>10</v>
      </c>
      <c r="C755" t="s">
        <v>26</v>
      </c>
      <c r="D755" t="s">
        <v>24</v>
      </c>
      <c r="E755">
        <v>39701</v>
      </c>
      <c r="F755">
        <v>1891</v>
      </c>
      <c r="G755">
        <v>343.97</v>
      </c>
      <c r="H755">
        <v>31680</v>
      </c>
      <c r="I755">
        <v>86</v>
      </c>
      <c r="J755" t="s">
        <v>25</v>
      </c>
    </row>
    <row r="756" spans="1:10" x14ac:dyDescent="0.2">
      <c r="A756" s="1">
        <v>46055</v>
      </c>
      <c r="B756" t="s">
        <v>15</v>
      </c>
      <c r="C756" t="s">
        <v>27</v>
      </c>
      <c r="D756" t="s">
        <v>24</v>
      </c>
      <c r="E756">
        <v>37790</v>
      </c>
      <c r="F756">
        <v>1510</v>
      </c>
      <c r="G756">
        <v>214.46</v>
      </c>
      <c r="H756">
        <v>28469</v>
      </c>
      <c r="I756">
        <v>65</v>
      </c>
      <c r="J756" t="s">
        <v>25</v>
      </c>
    </row>
    <row r="757" spans="1:10" x14ac:dyDescent="0.2">
      <c r="A757" s="1">
        <v>46055</v>
      </c>
      <c r="B757" t="s">
        <v>15</v>
      </c>
      <c r="C757" t="s">
        <v>28</v>
      </c>
      <c r="D757" t="s">
        <v>30</v>
      </c>
      <c r="E757">
        <v>42827</v>
      </c>
      <c r="F757">
        <v>1561</v>
      </c>
      <c r="G757">
        <v>275.64999999999998</v>
      </c>
      <c r="H757">
        <v>33381</v>
      </c>
      <c r="I757">
        <v>90</v>
      </c>
      <c r="J757" t="s">
        <v>25</v>
      </c>
    </row>
    <row r="758" spans="1:10" x14ac:dyDescent="0.2">
      <c r="A758" s="1">
        <v>46055</v>
      </c>
      <c r="B758" t="s">
        <v>20</v>
      </c>
      <c r="C758" t="s">
        <v>31</v>
      </c>
      <c r="D758" t="s">
        <v>29</v>
      </c>
      <c r="E758">
        <v>93198</v>
      </c>
      <c r="F758">
        <v>3048</v>
      </c>
      <c r="G758">
        <v>464.34</v>
      </c>
      <c r="H758">
        <v>69165</v>
      </c>
      <c r="I758">
        <v>136</v>
      </c>
      <c r="J758" t="s">
        <v>25</v>
      </c>
    </row>
    <row r="759" spans="1:10" x14ac:dyDescent="0.2">
      <c r="A759" s="1">
        <v>46055</v>
      </c>
      <c r="B759" t="s">
        <v>20</v>
      </c>
      <c r="C759" t="s">
        <v>23</v>
      </c>
      <c r="D759" t="s">
        <v>24</v>
      </c>
      <c r="E759">
        <v>121560</v>
      </c>
      <c r="F759">
        <v>4483</v>
      </c>
      <c r="G759">
        <v>773.29</v>
      </c>
      <c r="H759">
        <v>92596</v>
      </c>
      <c r="I759">
        <v>146</v>
      </c>
      <c r="J759" t="s">
        <v>25</v>
      </c>
    </row>
    <row r="760" spans="1:10" x14ac:dyDescent="0.2">
      <c r="A760" s="1">
        <v>46056</v>
      </c>
      <c r="B760" t="s">
        <v>10</v>
      </c>
      <c r="C760" t="s">
        <v>23</v>
      </c>
      <c r="D760" t="s">
        <v>29</v>
      </c>
      <c r="E760">
        <v>69410</v>
      </c>
      <c r="F760">
        <v>3120</v>
      </c>
      <c r="G760">
        <v>547.42999999999995</v>
      </c>
      <c r="H760">
        <v>56282</v>
      </c>
      <c r="I760">
        <v>131</v>
      </c>
      <c r="J760" t="s">
        <v>25</v>
      </c>
    </row>
    <row r="761" spans="1:10" x14ac:dyDescent="0.2">
      <c r="A761" s="1">
        <v>46056</v>
      </c>
      <c r="B761" t="s">
        <v>10</v>
      </c>
      <c r="C761" t="s">
        <v>26</v>
      </c>
      <c r="D761" t="s">
        <v>30</v>
      </c>
      <c r="E761">
        <v>91039</v>
      </c>
      <c r="F761">
        <v>4053</v>
      </c>
      <c r="G761">
        <v>793.23</v>
      </c>
      <c r="H761">
        <v>73767</v>
      </c>
      <c r="I761">
        <v>227</v>
      </c>
      <c r="J761" t="s">
        <v>25</v>
      </c>
    </row>
    <row r="762" spans="1:10" x14ac:dyDescent="0.2">
      <c r="A762" s="1">
        <v>46056</v>
      </c>
      <c r="B762" t="s">
        <v>15</v>
      </c>
      <c r="C762" t="s">
        <v>27</v>
      </c>
      <c r="D762" t="s">
        <v>29</v>
      </c>
      <c r="E762">
        <v>129541</v>
      </c>
      <c r="F762">
        <v>6078</v>
      </c>
      <c r="G762">
        <v>955.74</v>
      </c>
      <c r="H762">
        <v>108672</v>
      </c>
      <c r="I762">
        <v>292</v>
      </c>
      <c r="J762" t="s">
        <v>25</v>
      </c>
    </row>
    <row r="763" spans="1:10" x14ac:dyDescent="0.2">
      <c r="A763" s="1">
        <v>46056</v>
      </c>
      <c r="B763" t="s">
        <v>15</v>
      </c>
      <c r="C763" t="s">
        <v>28</v>
      </c>
      <c r="D763" t="s">
        <v>29</v>
      </c>
      <c r="E763">
        <v>110052</v>
      </c>
      <c r="F763">
        <v>4788</v>
      </c>
      <c r="G763">
        <v>891.24</v>
      </c>
      <c r="H763">
        <v>82672</v>
      </c>
      <c r="I763">
        <v>291</v>
      </c>
      <c r="J763" t="s">
        <v>25</v>
      </c>
    </row>
    <row r="764" spans="1:10" x14ac:dyDescent="0.2">
      <c r="A764" s="1">
        <v>46056</v>
      </c>
      <c r="B764" t="s">
        <v>20</v>
      </c>
      <c r="C764" t="s">
        <v>31</v>
      </c>
      <c r="D764" t="s">
        <v>29</v>
      </c>
      <c r="E764">
        <v>132731</v>
      </c>
      <c r="F764">
        <v>6355</v>
      </c>
      <c r="G764">
        <v>980.54</v>
      </c>
      <c r="H764">
        <v>110024</v>
      </c>
      <c r="I764">
        <v>256</v>
      </c>
      <c r="J764" t="s">
        <v>25</v>
      </c>
    </row>
    <row r="765" spans="1:10" x14ac:dyDescent="0.2">
      <c r="A765" s="1">
        <v>46056</v>
      </c>
      <c r="B765" t="s">
        <v>20</v>
      </c>
      <c r="C765" t="s">
        <v>23</v>
      </c>
      <c r="D765" t="s">
        <v>24</v>
      </c>
      <c r="E765">
        <v>46211</v>
      </c>
      <c r="F765">
        <v>2217</v>
      </c>
      <c r="G765">
        <v>412.98</v>
      </c>
      <c r="H765">
        <v>34912</v>
      </c>
      <c r="I765">
        <v>108</v>
      </c>
      <c r="J765" t="s">
        <v>25</v>
      </c>
    </row>
    <row r="766" spans="1:10" x14ac:dyDescent="0.2">
      <c r="A766" s="1">
        <v>46057</v>
      </c>
      <c r="B766" t="s">
        <v>10</v>
      </c>
      <c r="C766" t="s">
        <v>23</v>
      </c>
      <c r="D766" t="s">
        <v>24</v>
      </c>
      <c r="E766">
        <v>115681</v>
      </c>
      <c r="F766">
        <v>4209</v>
      </c>
      <c r="G766">
        <v>657.13</v>
      </c>
      <c r="H766">
        <v>86767</v>
      </c>
      <c r="I766">
        <v>217</v>
      </c>
      <c r="J766" t="s">
        <v>25</v>
      </c>
    </row>
    <row r="767" spans="1:10" x14ac:dyDescent="0.2">
      <c r="A767" s="1">
        <v>46057</v>
      </c>
      <c r="B767" t="s">
        <v>10</v>
      </c>
      <c r="C767" t="s">
        <v>26</v>
      </c>
      <c r="D767" t="s">
        <v>24</v>
      </c>
      <c r="E767">
        <v>51293</v>
      </c>
      <c r="F767">
        <v>1893</v>
      </c>
      <c r="G767">
        <v>340.07</v>
      </c>
      <c r="H767">
        <v>42076</v>
      </c>
      <c r="I767">
        <v>108</v>
      </c>
      <c r="J767" t="s">
        <v>25</v>
      </c>
    </row>
    <row r="768" spans="1:10" x14ac:dyDescent="0.2">
      <c r="A768" s="1">
        <v>46057</v>
      </c>
      <c r="B768" t="s">
        <v>15</v>
      </c>
      <c r="C768" t="s">
        <v>27</v>
      </c>
      <c r="D768" t="s">
        <v>29</v>
      </c>
      <c r="E768">
        <v>95650</v>
      </c>
      <c r="F768">
        <v>3087</v>
      </c>
      <c r="G768">
        <v>433.82</v>
      </c>
      <c r="H768">
        <v>69292</v>
      </c>
      <c r="I768">
        <v>132</v>
      </c>
      <c r="J768" t="s">
        <v>25</v>
      </c>
    </row>
    <row r="769" spans="1:10" x14ac:dyDescent="0.2">
      <c r="A769" s="1">
        <v>46057</v>
      </c>
      <c r="B769" t="s">
        <v>15</v>
      </c>
      <c r="C769" t="s">
        <v>28</v>
      </c>
      <c r="D769" t="s">
        <v>30</v>
      </c>
      <c r="E769">
        <v>88557</v>
      </c>
      <c r="F769">
        <v>2916</v>
      </c>
      <c r="G769">
        <v>572.5</v>
      </c>
      <c r="H769">
        <v>66698</v>
      </c>
      <c r="I769">
        <v>146</v>
      </c>
      <c r="J769" t="s">
        <v>25</v>
      </c>
    </row>
    <row r="770" spans="1:10" x14ac:dyDescent="0.2">
      <c r="A770" s="1">
        <v>46057</v>
      </c>
      <c r="B770" t="s">
        <v>20</v>
      </c>
      <c r="C770" t="s">
        <v>31</v>
      </c>
      <c r="D770" t="s">
        <v>29</v>
      </c>
      <c r="E770">
        <v>43394</v>
      </c>
      <c r="F770">
        <v>1694</v>
      </c>
      <c r="G770">
        <v>263.38</v>
      </c>
      <c r="H770">
        <v>35340</v>
      </c>
      <c r="I770">
        <v>67</v>
      </c>
      <c r="J770" t="s">
        <v>25</v>
      </c>
    </row>
    <row r="771" spans="1:10" x14ac:dyDescent="0.2">
      <c r="A771" s="1">
        <v>46057</v>
      </c>
      <c r="B771" t="s">
        <v>20</v>
      </c>
      <c r="C771" t="s">
        <v>23</v>
      </c>
      <c r="D771" t="s">
        <v>24</v>
      </c>
      <c r="E771">
        <v>51675</v>
      </c>
      <c r="F771">
        <v>1841</v>
      </c>
      <c r="G771">
        <v>277.01</v>
      </c>
      <c r="H771">
        <v>42608</v>
      </c>
      <c r="I771">
        <v>95</v>
      </c>
      <c r="J771" t="s">
        <v>25</v>
      </c>
    </row>
    <row r="772" spans="1:10" x14ac:dyDescent="0.2">
      <c r="A772" s="1">
        <v>46058</v>
      </c>
      <c r="B772" t="s">
        <v>10</v>
      </c>
      <c r="C772" t="s">
        <v>23</v>
      </c>
      <c r="D772" t="s">
        <v>24</v>
      </c>
      <c r="E772">
        <v>50000</v>
      </c>
      <c r="F772">
        <v>2123</v>
      </c>
      <c r="G772">
        <v>320.69</v>
      </c>
      <c r="H772">
        <v>39040</v>
      </c>
      <c r="I772">
        <v>95</v>
      </c>
      <c r="J772" t="s">
        <v>25</v>
      </c>
    </row>
    <row r="773" spans="1:10" x14ac:dyDescent="0.2">
      <c r="A773" s="1">
        <v>46058</v>
      </c>
      <c r="B773" t="s">
        <v>10</v>
      </c>
      <c r="C773" t="s">
        <v>26</v>
      </c>
      <c r="D773" t="s">
        <v>30</v>
      </c>
      <c r="E773">
        <v>40499</v>
      </c>
      <c r="F773">
        <v>1654</v>
      </c>
      <c r="G773">
        <v>254.18</v>
      </c>
      <c r="H773">
        <v>33784</v>
      </c>
      <c r="I773">
        <v>102</v>
      </c>
      <c r="J773" t="s">
        <v>25</v>
      </c>
    </row>
    <row r="774" spans="1:10" x14ac:dyDescent="0.2">
      <c r="A774" s="1">
        <v>46058</v>
      </c>
      <c r="B774" t="s">
        <v>15</v>
      </c>
      <c r="C774" t="s">
        <v>27</v>
      </c>
      <c r="D774" t="s">
        <v>29</v>
      </c>
      <c r="E774">
        <v>37112</v>
      </c>
      <c r="F774">
        <v>1590</v>
      </c>
      <c r="G774">
        <v>304.39999999999998</v>
      </c>
      <c r="H774">
        <v>28294</v>
      </c>
      <c r="I774">
        <v>85</v>
      </c>
      <c r="J774" t="s">
        <v>25</v>
      </c>
    </row>
    <row r="775" spans="1:10" x14ac:dyDescent="0.2">
      <c r="A775" s="1">
        <v>46058</v>
      </c>
      <c r="B775" t="s">
        <v>15</v>
      </c>
      <c r="C775" t="s">
        <v>28</v>
      </c>
      <c r="D775" t="s">
        <v>30</v>
      </c>
      <c r="E775">
        <v>80839</v>
      </c>
      <c r="F775">
        <v>2728</v>
      </c>
      <c r="G775">
        <v>464.9</v>
      </c>
      <c r="H775">
        <v>59302</v>
      </c>
      <c r="I775">
        <v>93</v>
      </c>
      <c r="J775" t="s">
        <v>25</v>
      </c>
    </row>
    <row r="776" spans="1:10" x14ac:dyDescent="0.2">
      <c r="A776" s="1">
        <v>46058</v>
      </c>
      <c r="B776" t="s">
        <v>20</v>
      </c>
      <c r="C776" t="s">
        <v>31</v>
      </c>
      <c r="D776" t="s">
        <v>24</v>
      </c>
      <c r="E776">
        <v>77701</v>
      </c>
      <c r="F776">
        <v>3195</v>
      </c>
      <c r="G776">
        <v>606.25</v>
      </c>
      <c r="H776">
        <v>62294</v>
      </c>
      <c r="I776">
        <v>109</v>
      </c>
      <c r="J776" t="s">
        <v>25</v>
      </c>
    </row>
    <row r="777" spans="1:10" x14ac:dyDescent="0.2">
      <c r="A777" s="1">
        <v>46058</v>
      </c>
      <c r="B777" t="s">
        <v>20</v>
      </c>
      <c r="C777" t="s">
        <v>23</v>
      </c>
      <c r="D777" t="s">
        <v>24</v>
      </c>
      <c r="E777">
        <v>72104</v>
      </c>
      <c r="F777">
        <v>2472</v>
      </c>
      <c r="G777">
        <v>394.51</v>
      </c>
      <c r="H777">
        <v>58734</v>
      </c>
      <c r="I777">
        <v>103</v>
      </c>
      <c r="J777" t="s">
        <v>25</v>
      </c>
    </row>
    <row r="778" spans="1:10" x14ac:dyDescent="0.2">
      <c r="A778" s="1">
        <v>46059</v>
      </c>
      <c r="B778" t="s">
        <v>10</v>
      </c>
      <c r="C778" t="s">
        <v>23</v>
      </c>
      <c r="D778" t="s">
        <v>29</v>
      </c>
      <c r="E778">
        <v>120456</v>
      </c>
      <c r="F778">
        <v>4576</v>
      </c>
      <c r="G778">
        <v>899.41</v>
      </c>
      <c r="H778">
        <v>90978</v>
      </c>
      <c r="I778">
        <v>150</v>
      </c>
      <c r="J778" t="s">
        <v>25</v>
      </c>
    </row>
    <row r="779" spans="1:10" x14ac:dyDescent="0.2">
      <c r="A779" s="1">
        <v>46059</v>
      </c>
      <c r="B779" t="s">
        <v>10</v>
      </c>
      <c r="C779" t="s">
        <v>26</v>
      </c>
      <c r="D779" t="s">
        <v>30</v>
      </c>
      <c r="E779">
        <v>40847</v>
      </c>
      <c r="F779">
        <v>1497</v>
      </c>
      <c r="G779">
        <v>223.06</v>
      </c>
      <c r="H779">
        <v>32307</v>
      </c>
      <c r="I779">
        <v>52</v>
      </c>
      <c r="J779" t="s">
        <v>25</v>
      </c>
    </row>
    <row r="780" spans="1:10" x14ac:dyDescent="0.2">
      <c r="A780" s="1">
        <v>46059</v>
      </c>
      <c r="B780" t="s">
        <v>15</v>
      </c>
      <c r="C780" t="s">
        <v>27</v>
      </c>
      <c r="D780" t="s">
        <v>24</v>
      </c>
      <c r="E780">
        <v>76039</v>
      </c>
      <c r="F780">
        <v>3054</v>
      </c>
      <c r="G780">
        <v>570.65</v>
      </c>
      <c r="H780">
        <v>59385</v>
      </c>
      <c r="I780">
        <v>151</v>
      </c>
      <c r="J780" t="s">
        <v>25</v>
      </c>
    </row>
    <row r="781" spans="1:10" x14ac:dyDescent="0.2">
      <c r="A781" s="1">
        <v>46059</v>
      </c>
      <c r="B781" t="s">
        <v>15</v>
      </c>
      <c r="C781" t="s">
        <v>28</v>
      </c>
      <c r="D781" t="s">
        <v>29</v>
      </c>
      <c r="E781">
        <v>63163</v>
      </c>
      <c r="F781">
        <v>2404</v>
      </c>
      <c r="G781">
        <v>420.61</v>
      </c>
      <c r="H781">
        <v>50457</v>
      </c>
      <c r="I781">
        <v>87</v>
      </c>
      <c r="J781" t="s">
        <v>25</v>
      </c>
    </row>
    <row r="782" spans="1:10" x14ac:dyDescent="0.2">
      <c r="A782" s="1">
        <v>46059</v>
      </c>
      <c r="B782" t="s">
        <v>20</v>
      </c>
      <c r="C782" t="s">
        <v>31</v>
      </c>
      <c r="D782" t="s">
        <v>24</v>
      </c>
      <c r="E782">
        <v>45133</v>
      </c>
      <c r="F782">
        <v>2136</v>
      </c>
      <c r="G782">
        <v>426.22</v>
      </c>
      <c r="H782">
        <v>35557</v>
      </c>
      <c r="I782">
        <v>132</v>
      </c>
      <c r="J782" t="s">
        <v>25</v>
      </c>
    </row>
    <row r="783" spans="1:10" x14ac:dyDescent="0.2">
      <c r="A783" s="1">
        <v>46059</v>
      </c>
      <c r="B783" t="s">
        <v>20</v>
      </c>
      <c r="C783" t="s">
        <v>23</v>
      </c>
      <c r="D783" t="s">
        <v>24</v>
      </c>
      <c r="E783">
        <v>105643</v>
      </c>
      <c r="F783">
        <v>4619</v>
      </c>
      <c r="G783">
        <v>881.56</v>
      </c>
      <c r="H783">
        <v>82753</v>
      </c>
      <c r="I783">
        <v>154</v>
      </c>
      <c r="J783" t="s">
        <v>25</v>
      </c>
    </row>
    <row r="784" spans="1:10" x14ac:dyDescent="0.2">
      <c r="A784" s="1">
        <v>46060</v>
      </c>
      <c r="B784" t="s">
        <v>10</v>
      </c>
      <c r="C784" t="s">
        <v>23</v>
      </c>
      <c r="D784" t="s">
        <v>29</v>
      </c>
      <c r="E784">
        <v>169962</v>
      </c>
      <c r="F784">
        <v>6864</v>
      </c>
      <c r="G784">
        <v>1142.5899999999999</v>
      </c>
      <c r="H784">
        <v>127862</v>
      </c>
      <c r="I784">
        <v>391</v>
      </c>
      <c r="J784" t="s">
        <v>25</v>
      </c>
    </row>
    <row r="785" spans="1:10" x14ac:dyDescent="0.2">
      <c r="A785" s="1">
        <v>46060</v>
      </c>
      <c r="B785" t="s">
        <v>10</v>
      </c>
      <c r="C785" t="s">
        <v>26</v>
      </c>
      <c r="D785" t="s">
        <v>30</v>
      </c>
      <c r="E785">
        <v>93779</v>
      </c>
      <c r="F785">
        <v>3494</v>
      </c>
      <c r="G785">
        <v>656.66</v>
      </c>
      <c r="H785">
        <v>78520</v>
      </c>
      <c r="I785">
        <v>136</v>
      </c>
      <c r="J785" t="s">
        <v>25</v>
      </c>
    </row>
    <row r="786" spans="1:10" x14ac:dyDescent="0.2">
      <c r="A786" s="1">
        <v>46060</v>
      </c>
      <c r="B786" t="s">
        <v>15</v>
      </c>
      <c r="C786" t="s">
        <v>27</v>
      </c>
      <c r="D786" t="s">
        <v>29</v>
      </c>
      <c r="E786">
        <v>186292</v>
      </c>
      <c r="F786">
        <v>8859</v>
      </c>
      <c r="G786">
        <v>1608.66</v>
      </c>
      <c r="H786">
        <v>144078</v>
      </c>
      <c r="I786">
        <v>537</v>
      </c>
      <c r="J786" t="s">
        <v>25</v>
      </c>
    </row>
    <row r="787" spans="1:10" x14ac:dyDescent="0.2">
      <c r="A787" s="1">
        <v>46060</v>
      </c>
      <c r="B787" t="s">
        <v>15</v>
      </c>
      <c r="C787" t="s">
        <v>28</v>
      </c>
      <c r="D787" t="s">
        <v>29</v>
      </c>
      <c r="E787">
        <v>115404</v>
      </c>
      <c r="F787">
        <v>3840</v>
      </c>
      <c r="G787">
        <v>666.73</v>
      </c>
      <c r="H787">
        <v>84149</v>
      </c>
      <c r="I787">
        <v>164</v>
      </c>
      <c r="J787" t="s">
        <v>25</v>
      </c>
    </row>
    <row r="788" spans="1:10" x14ac:dyDescent="0.2">
      <c r="A788" s="1">
        <v>46060</v>
      </c>
      <c r="B788" t="s">
        <v>19</v>
      </c>
      <c r="C788" t="s">
        <v>23</v>
      </c>
      <c r="D788" t="s">
        <v>24</v>
      </c>
      <c r="E788">
        <v>160057</v>
      </c>
      <c r="F788">
        <v>5711</v>
      </c>
      <c r="G788">
        <v>1068.97</v>
      </c>
      <c r="H788">
        <v>119654</v>
      </c>
      <c r="I788">
        <v>324</v>
      </c>
      <c r="J788" t="s">
        <v>25</v>
      </c>
    </row>
    <row r="789" spans="1:10" x14ac:dyDescent="0.2">
      <c r="A789" s="1">
        <v>46060</v>
      </c>
      <c r="B789" t="s">
        <v>19</v>
      </c>
      <c r="C789" t="s">
        <v>26</v>
      </c>
      <c r="D789" t="s">
        <v>29</v>
      </c>
      <c r="E789">
        <v>147652</v>
      </c>
      <c r="F789">
        <v>5303</v>
      </c>
      <c r="G789">
        <v>1031.73</v>
      </c>
      <c r="H789">
        <v>118253</v>
      </c>
      <c r="I789">
        <v>275</v>
      </c>
      <c r="J789" t="s">
        <v>25</v>
      </c>
    </row>
    <row r="790" spans="1:10" x14ac:dyDescent="0.2">
      <c r="A790" s="1">
        <v>46060</v>
      </c>
      <c r="B790" t="s">
        <v>20</v>
      </c>
      <c r="C790" t="s">
        <v>31</v>
      </c>
      <c r="D790" t="s">
        <v>29</v>
      </c>
      <c r="E790">
        <v>101642</v>
      </c>
      <c r="F790">
        <v>3808</v>
      </c>
      <c r="G790">
        <v>560.07000000000005</v>
      </c>
      <c r="H790">
        <v>78164</v>
      </c>
      <c r="I790">
        <v>179</v>
      </c>
      <c r="J790" t="s">
        <v>25</v>
      </c>
    </row>
    <row r="791" spans="1:10" x14ac:dyDescent="0.2">
      <c r="A791" s="1">
        <v>46060</v>
      </c>
      <c r="B791" t="s">
        <v>20</v>
      </c>
      <c r="C791" t="s">
        <v>23</v>
      </c>
      <c r="D791" t="s">
        <v>24</v>
      </c>
      <c r="E791">
        <v>154698</v>
      </c>
      <c r="F791">
        <v>6173</v>
      </c>
      <c r="G791">
        <v>1190.69</v>
      </c>
      <c r="H791">
        <v>115060</v>
      </c>
      <c r="I791">
        <v>230</v>
      </c>
      <c r="J791" t="s">
        <v>25</v>
      </c>
    </row>
    <row r="792" spans="1:10" x14ac:dyDescent="0.2">
      <c r="A792" s="1">
        <v>46061</v>
      </c>
      <c r="B792" t="s">
        <v>10</v>
      </c>
      <c r="C792" t="s">
        <v>23</v>
      </c>
      <c r="D792" t="s">
        <v>29</v>
      </c>
      <c r="E792">
        <v>51846</v>
      </c>
      <c r="F792">
        <v>1797</v>
      </c>
      <c r="G792">
        <v>296.72000000000003</v>
      </c>
      <c r="H792">
        <v>42091</v>
      </c>
      <c r="I792">
        <v>95</v>
      </c>
      <c r="J792" t="s">
        <v>25</v>
      </c>
    </row>
    <row r="793" spans="1:10" x14ac:dyDescent="0.2">
      <c r="A793" s="1">
        <v>46061</v>
      </c>
      <c r="B793" t="s">
        <v>10</v>
      </c>
      <c r="C793" t="s">
        <v>26</v>
      </c>
      <c r="D793" t="s">
        <v>30</v>
      </c>
      <c r="E793">
        <v>185313</v>
      </c>
      <c r="F793">
        <v>6229</v>
      </c>
      <c r="G793">
        <v>1197.01</v>
      </c>
      <c r="H793">
        <v>151968</v>
      </c>
      <c r="I793">
        <v>203</v>
      </c>
      <c r="J793" t="s">
        <v>25</v>
      </c>
    </row>
    <row r="794" spans="1:10" x14ac:dyDescent="0.2">
      <c r="A794" s="1">
        <v>46061</v>
      </c>
      <c r="B794" t="s">
        <v>15</v>
      </c>
      <c r="C794" t="s">
        <v>27</v>
      </c>
      <c r="D794" t="s">
        <v>24</v>
      </c>
      <c r="E794">
        <v>62397</v>
      </c>
      <c r="F794">
        <v>2128</v>
      </c>
      <c r="G794">
        <v>408.6</v>
      </c>
      <c r="H794">
        <v>51804</v>
      </c>
      <c r="I794">
        <v>125</v>
      </c>
      <c r="J794" t="s">
        <v>25</v>
      </c>
    </row>
    <row r="795" spans="1:10" x14ac:dyDescent="0.2">
      <c r="A795" s="1">
        <v>46061</v>
      </c>
      <c r="B795" t="s">
        <v>15</v>
      </c>
      <c r="C795" t="s">
        <v>28</v>
      </c>
      <c r="D795" t="s">
        <v>29</v>
      </c>
      <c r="E795">
        <v>72387</v>
      </c>
      <c r="F795">
        <v>2782</v>
      </c>
      <c r="G795">
        <v>482.44</v>
      </c>
      <c r="H795">
        <v>58303</v>
      </c>
      <c r="I795">
        <v>98</v>
      </c>
      <c r="J795" t="s">
        <v>25</v>
      </c>
    </row>
    <row r="796" spans="1:10" x14ac:dyDescent="0.2">
      <c r="A796" s="1">
        <v>46061</v>
      </c>
      <c r="B796" t="s">
        <v>19</v>
      </c>
      <c r="C796" t="s">
        <v>23</v>
      </c>
      <c r="D796" t="s">
        <v>24</v>
      </c>
      <c r="E796">
        <v>157536</v>
      </c>
      <c r="F796">
        <v>6575</v>
      </c>
      <c r="G796">
        <v>963.02</v>
      </c>
      <c r="H796">
        <v>127078</v>
      </c>
      <c r="I796">
        <v>224</v>
      </c>
      <c r="J796" t="s">
        <v>25</v>
      </c>
    </row>
    <row r="797" spans="1:10" x14ac:dyDescent="0.2">
      <c r="A797" s="1">
        <v>46061</v>
      </c>
      <c r="B797" t="s">
        <v>19</v>
      </c>
      <c r="C797" t="s">
        <v>26</v>
      </c>
      <c r="D797" t="s">
        <v>24</v>
      </c>
      <c r="E797">
        <v>131371</v>
      </c>
      <c r="F797">
        <v>6118</v>
      </c>
      <c r="G797">
        <v>1088.0899999999999</v>
      </c>
      <c r="H797">
        <v>106263</v>
      </c>
      <c r="I797">
        <v>275</v>
      </c>
      <c r="J797" t="s">
        <v>25</v>
      </c>
    </row>
    <row r="798" spans="1:10" x14ac:dyDescent="0.2">
      <c r="A798" s="1">
        <v>46061</v>
      </c>
      <c r="B798" t="s">
        <v>20</v>
      </c>
      <c r="C798" t="s">
        <v>31</v>
      </c>
      <c r="D798" t="s">
        <v>29</v>
      </c>
      <c r="E798">
        <v>177471</v>
      </c>
      <c r="F798">
        <v>6061</v>
      </c>
      <c r="G798">
        <v>915.25</v>
      </c>
      <c r="H798">
        <v>144091</v>
      </c>
      <c r="I798">
        <v>360</v>
      </c>
      <c r="J798" t="s">
        <v>25</v>
      </c>
    </row>
    <row r="799" spans="1:10" x14ac:dyDescent="0.2">
      <c r="A799" s="1">
        <v>46061</v>
      </c>
      <c r="B799" t="s">
        <v>20</v>
      </c>
      <c r="C799" t="s">
        <v>23</v>
      </c>
      <c r="D799" t="s">
        <v>24</v>
      </c>
      <c r="E799">
        <v>76938</v>
      </c>
      <c r="F799">
        <v>3564</v>
      </c>
      <c r="G799">
        <v>625.89</v>
      </c>
      <c r="H799">
        <v>58810</v>
      </c>
      <c r="I799">
        <v>183</v>
      </c>
      <c r="J799" t="s">
        <v>25</v>
      </c>
    </row>
    <row r="800" spans="1:10" x14ac:dyDescent="0.2">
      <c r="A800" s="1">
        <v>46062</v>
      </c>
      <c r="B800" t="s">
        <v>10</v>
      </c>
      <c r="C800" t="s">
        <v>23</v>
      </c>
      <c r="D800" t="s">
        <v>29</v>
      </c>
      <c r="E800">
        <v>123200</v>
      </c>
      <c r="F800">
        <v>4806</v>
      </c>
      <c r="G800">
        <v>819.52</v>
      </c>
      <c r="H800">
        <v>97398</v>
      </c>
      <c r="I800">
        <v>290</v>
      </c>
      <c r="J800" t="s">
        <v>25</v>
      </c>
    </row>
    <row r="801" spans="1:10" x14ac:dyDescent="0.2">
      <c r="A801" s="1">
        <v>46062</v>
      </c>
      <c r="B801" t="s">
        <v>10</v>
      </c>
      <c r="C801" t="s">
        <v>26</v>
      </c>
      <c r="D801" t="s">
        <v>24</v>
      </c>
      <c r="E801">
        <v>104708</v>
      </c>
      <c r="F801">
        <v>3848</v>
      </c>
      <c r="G801">
        <v>617.48</v>
      </c>
      <c r="H801">
        <v>82478</v>
      </c>
      <c r="I801">
        <v>226</v>
      </c>
      <c r="J801" t="s">
        <v>25</v>
      </c>
    </row>
    <row r="802" spans="1:10" x14ac:dyDescent="0.2">
      <c r="A802" s="1">
        <v>46062</v>
      </c>
      <c r="B802" t="s">
        <v>15</v>
      </c>
      <c r="C802" t="s">
        <v>27</v>
      </c>
      <c r="D802" t="s">
        <v>29</v>
      </c>
      <c r="E802">
        <v>115822</v>
      </c>
      <c r="F802">
        <v>4304</v>
      </c>
      <c r="G802">
        <v>684.83</v>
      </c>
      <c r="H802">
        <v>85871</v>
      </c>
      <c r="I802">
        <v>156</v>
      </c>
      <c r="J802" t="s">
        <v>25</v>
      </c>
    </row>
    <row r="803" spans="1:10" x14ac:dyDescent="0.2">
      <c r="A803" s="1">
        <v>46062</v>
      </c>
      <c r="B803" t="s">
        <v>15</v>
      </c>
      <c r="C803" t="s">
        <v>28</v>
      </c>
      <c r="D803" t="s">
        <v>30</v>
      </c>
      <c r="E803">
        <v>146289</v>
      </c>
      <c r="F803">
        <v>5896</v>
      </c>
      <c r="G803">
        <v>1028.9000000000001</v>
      </c>
      <c r="H803">
        <v>116132</v>
      </c>
      <c r="I803">
        <v>206</v>
      </c>
      <c r="J803" t="s">
        <v>25</v>
      </c>
    </row>
    <row r="804" spans="1:10" x14ac:dyDescent="0.2">
      <c r="A804" s="1">
        <v>46062</v>
      </c>
      <c r="B804" t="s">
        <v>20</v>
      </c>
      <c r="C804" t="s">
        <v>31</v>
      </c>
      <c r="D804" t="s">
        <v>29</v>
      </c>
      <c r="E804">
        <v>90726</v>
      </c>
      <c r="F804">
        <v>3075</v>
      </c>
      <c r="G804">
        <v>481.03</v>
      </c>
      <c r="H804">
        <v>70101</v>
      </c>
      <c r="I804">
        <v>180</v>
      </c>
      <c r="J804" t="s">
        <v>25</v>
      </c>
    </row>
    <row r="805" spans="1:10" x14ac:dyDescent="0.2">
      <c r="A805" s="1">
        <v>46062</v>
      </c>
      <c r="B805" t="s">
        <v>20</v>
      </c>
      <c r="C805" t="s">
        <v>23</v>
      </c>
      <c r="D805" t="s">
        <v>24</v>
      </c>
      <c r="E805">
        <v>110404</v>
      </c>
      <c r="F805">
        <v>5279</v>
      </c>
      <c r="G805">
        <v>977.71</v>
      </c>
      <c r="H805">
        <v>91739</v>
      </c>
      <c r="I805">
        <v>274</v>
      </c>
      <c r="J805" t="s">
        <v>25</v>
      </c>
    </row>
    <row r="806" spans="1:10" x14ac:dyDescent="0.2">
      <c r="A806" s="1">
        <v>46063</v>
      </c>
      <c r="B806" t="s">
        <v>10</v>
      </c>
      <c r="C806" t="s">
        <v>23</v>
      </c>
      <c r="D806" t="s">
        <v>24</v>
      </c>
      <c r="E806">
        <v>76126</v>
      </c>
      <c r="F806">
        <v>2687</v>
      </c>
      <c r="G806">
        <v>511.41</v>
      </c>
      <c r="H806">
        <v>61706</v>
      </c>
      <c r="I806">
        <v>88</v>
      </c>
      <c r="J806" t="s">
        <v>25</v>
      </c>
    </row>
    <row r="807" spans="1:10" x14ac:dyDescent="0.2">
      <c r="A807" s="1">
        <v>46063</v>
      </c>
      <c r="B807" t="s">
        <v>10</v>
      </c>
      <c r="C807" t="s">
        <v>26</v>
      </c>
      <c r="D807" t="s">
        <v>24</v>
      </c>
      <c r="E807">
        <v>169209</v>
      </c>
      <c r="F807">
        <v>6871</v>
      </c>
      <c r="G807">
        <v>1042.3900000000001</v>
      </c>
      <c r="H807">
        <v>131746</v>
      </c>
      <c r="I807">
        <v>389</v>
      </c>
      <c r="J807" t="s">
        <v>25</v>
      </c>
    </row>
    <row r="808" spans="1:10" x14ac:dyDescent="0.2">
      <c r="A808" s="1">
        <v>46063</v>
      </c>
      <c r="B808" t="s">
        <v>15</v>
      </c>
      <c r="C808" t="s">
        <v>27</v>
      </c>
      <c r="D808" t="s">
        <v>29</v>
      </c>
      <c r="E808">
        <v>98601</v>
      </c>
      <c r="F808">
        <v>3599</v>
      </c>
      <c r="G808">
        <v>708.55</v>
      </c>
      <c r="H808">
        <v>76039</v>
      </c>
      <c r="I808">
        <v>163</v>
      </c>
      <c r="J808" t="s">
        <v>25</v>
      </c>
    </row>
    <row r="809" spans="1:10" x14ac:dyDescent="0.2">
      <c r="A809" s="1">
        <v>46063</v>
      </c>
      <c r="B809" t="s">
        <v>15</v>
      </c>
      <c r="C809" t="s">
        <v>28</v>
      </c>
      <c r="D809" t="s">
        <v>30</v>
      </c>
      <c r="E809">
        <v>151177</v>
      </c>
      <c r="F809">
        <v>5551</v>
      </c>
      <c r="G809">
        <v>813.65</v>
      </c>
      <c r="H809">
        <v>121661</v>
      </c>
      <c r="I809">
        <v>318</v>
      </c>
      <c r="J809" t="s">
        <v>25</v>
      </c>
    </row>
    <row r="810" spans="1:10" x14ac:dyDescent="0.2">
      <c r="A810" s="1">
        <v>46063</v>
      </c>
      <c r="B810" t="s">
        <v>20</v>
      </c>
      <c r="C810" t="s">
        <v>31</v>
      </c>
      <c r="D810" t="s">
        <v>29</v>
      </c>
      <c r="E810">
        <v>146651</v>
      </c>
      <c r="F810">
        <v>5850</v>
      </c>
      <c r="G810">
        <v>849.49</v>
      </c>
      <c r="H810">
        <v>107996</v>
      </c>
      <c r="I810">
        <v>236</v>
      </c>
      <c r="J810" t="s">
        <v>25</v>
      </c>
    </row>
    <row r="811" spans="1:10" x14ac:dyDescent="0.2">
      <c r="A811" s="1">
        <v>46063</v>
      </c>
      <c r="B811" t="s">
        <v>20</v>
      </c>
      <c r="C811" t="s">
        <v>23</v>
      </c>
      <c r="D811" t="s">
        <v>24</v>
      </c>
      <c r="E811">
        <v>130179</v>
      </c>
      <c r="F811">
        <v>5839</v>
      </c>
      <c r="G811">
        <v>1078.21</v>
      </c>
      <c r="H811">
        <v>97203</v>
      </c>
      <c r="I811">
        <v>199</v>
      </c>
      <c r="J811" t="s">
        <v>25</v>
      </c>
    </row>
    <row r="812" spans="1:10" x14ac:dyDescent="0.2">
      <c r="A812" s="1">
        <v>46064</v>
      </c>
      <c r="B812" t="s">
        <v>10</v>
      </c>
      <c r="C812" t="s">
        <v>23</v>
      </c>
      <c r="D812" t="s">
        <v>24</v>
      </c>
      <c r="E812">
        <v>162337</v>
      </c>
      <c r="F812">
        <v>6065</v>
      </c>
      <c r="G812">
        <v>1014.12</v>
      </c>
      <c r="H812">
        <v>131210</v>
      </c>
      <c r="I812">
        <v>316</v>
      </c>
      <c r="J812" t="s">
        <v>25</v>
      </c>
    </row>
    <row r="813" spans="1:10" x14ac:dyDescent="0.2">
      <c r="A813" s="1">
        <v>46064</v>
      </c>
      <c r="B813" t="s">
        <v>10</v>
      </c>
      <c r="C813" t="s">
        <v>26</v>
      </c>
      <c r="D813" t="s">
        <v>24</v>
      </c>
      <c r="E813">
        <v>204227</v>
      </c>
      <c r="F813">
        <v>8783</v>
      </c>
      <c r="G813">
        <v>1699.83</v>
      </c>
      <c r="H813">
        <v>147983</v>
      </c>
      <c r="I813">
        <v>307</v>
      </c>
      <c r="J813" t="s">
        <v>25</v>
      </c>
    </row>
    <row r="814" spans="1:10" x14ac:dyDescent="0.2">
      <c r="A814" s="1">
        <v>46064</v>
      </c>
      <c r="B814" t="s">
        <v>15</v>
      </c>
      <c r="C814" t="s">
        <v>27</v>
      </c>
      <c r="D814" t="s">
        <v>29</v>
      </c>
      <c r="E814">
        <v>95928</v>
      </c>
      <c r="F814">
        <v>4361</v>
      </c>
      <c r="G814">
        <v>783.53</v>
      </c>
      <c r="H814">
        <v>79170</v>
      </c>
      <c r="I814">
        <v>144</v>
      </c>
      <c r="J814" t="s">
        <v>25</v>
      </c>
    </row>
    <row r="815" spans="1:10" x14ac:dyDescent="0.2">
      <c r="A815" s="1">
        <v>46064</v>
      </c>
      <c r="B815" t="s">
        <v>15</v>
      </c>
      <c r="C815" t="s">
        <v>28</v>
      </c>
      <c r="D815" t="s">
        <v>30</v>
      </c>
      <c r="E815">
        <v>107571</v>
      </c>
      <c r="F815">
        <v>3677</v>
      </c>
      <c r="G815">
        <v>597.78</v>
      </c>
      <c r="H815">
        <v>89625</v>
      </c>
      <c r="I815">
        <v>191</v>
      </c>
      <c r="J815" t="s">
        <v>25</v>
      </c>
    </row>
    <row r="816" spans="1:10" x14ac:dyDescent="0.2">
      <c r="A816" s="1">
        <v>46064</v>
      </c>
      <c r="B816" t="s">
        <v>20</v>
      </c>
      <c r="C816" t="s">
        <v>31</v>
      </c>
      <c r="D816" t="s">
        <v>29</v>
      </c>
      <c r="E816">
        <v>154588</v>
      </c>
      <c r="F816">
        <v>5321</v>
      </c>
      <c r="G816">
        <v>1004.78</v>
      </c>
      <c r="H816">
        <v>124911</v>
      </c>
      <c r="I816">
        <v>215</v>
      </c>
      <c r="J816" t="s">
        <v>25</v>
      </c>
    </row>
    <row r="817" spans="1:10" x14ac:dyDescent="0.2">
      <c r="A817" s="1">
        <v>46064</v>
      </c>
      <c r="B817" t="s">
        <v>20</v>
      </c>
      <c r="C817" t="s">
        <v>23</v>
      </c>
      <c r="D817" t="s">
        <v>24</v>
      </c>
      <c r="E817">
        <v>189120</v>
      </c>
      <c r="F817">
        <v>8702</v>
      </c>
      <c r="G817">
        <v>1714.73</v>
      </c>
      <c r="H817">
        <v>155619</v>
      </c>
      <c r="I817">
        <v>474</v>
      </c>
      <c r="J817" t="s">
        <v>25</v>
      </c>
    </row>
    <row r="818" spans="1:10" x14ac:dyDescent="0.2">
      <c r="A818" s="1">
        <v>46065</v>
      </c>
      <c r="B818" t="s">
        <v>10</v>
      </c>
      <c r="C818" t="s">
        <v>23</v>
      </c>
      <c r="D818" t="s">
        <v>24</v>
      </c>
      <c r="E818">
        <v>147083</v>
      </c>
      <c r="F818">
        <v>4864</v>
      </c>
      <c r="G818">
        <v>843.73</v>
      </c>
      <c r="H818">
        <v>109580</v>
      </c>
      <c r="I818">
        <v>181</v>
      </c>
      <c r="J818" t="s">
        <v>25</v>
      </c>
    </row>
    <row r="819" spans="1:10" x14ac:dyDescent="0.2">
      <c r="A819" s="1">
        <v>46065</v>
      </c>
      <c r="B819" t="s">
        <v>10</v>
      </c>
      <c r="C819" t="s">
        <v>26</v>
      </c>
      <c r="D819" t="s">
        <v>30</v>
      </c>
      <c r="E819">
        <v>200280</v>
      </c>
      <c r="F819">
        <v>7251</v>
      </c>
      <c r="G819">
        <v>1180.5899999999999</v>
      </c>
      <c r="H819">
        <v>158234</v>
      </c>
      <c r="I819">
        <v>370</v>
      </c>
      <c r="J819" t="s">
        <v>25</v>
      </c>
    </row>
    <row r="820" spans="1:10" x14ac:dyDescent="0.2">
      <c r="A820" s="1">
        <v>46065</v>
      </c>
      <c r="B820" t="s">
        <v>15</v>
      </c>
      <c r="C820" t="s">
        <v>27</v>
      </c>
      <c r="D820" t="s">
        <v>29</v>
      </c>
      <c r="E820">
        <v>167244</v>
      </c>
      <c r="F820">
        <v>7109</v>
      </c>
      <c r="G820">
        <v>1072.06</v>
      </c>
      <c r="H820">
        <v>126438</v>
      </c>
      <c r="I820">
        <v>276</v>
      </c>
      <c r="J820" t="s">
        <v>25</v>
      </c>
    </row>
    <row r="821" spans="1:10" x14ac:dyDescent="0.2">
      <c r="A821" s="1">
        <v>46065</v>
      </c>
      <c r="B821" t="s">
        <v>15</v>
      </c>
      <c r="C821" t="s">
        <v>28</v>
      </c>
      <c r="D821" t="s">
        <v>29</v>
      </c>
      <c r="E821">
        <v>196083</v>
      </c>
      <c r="F821">
        <v>7796</v>
      </c>
      <c r="G821">
        <v>1464.13</v>
      </c>
      <c r="H821">
        <v>150408</v>
      </c>
      <c r="I821">
        <v>332</v>
      </c>
      <c r="J821" t="s">
        <v>25</v>
      </c>
    </row>
    <row r="822" spans="1:10" x14ac:dyDescent="0.2">
      <c r="A822" s="1">
        <v>46065</v>
      </c>
      <c r="B822" t="s">
        <v>20</v>
      </c>
      <c r="C822" t="s">
        <v>31</v>
      </c>
      <c r="D822" t="s">
        <v>29</v>
      </c>
      <c r="E822">
        <v>117952</v>
      </c>
      <c r="F822">
        <v>3956</v>
      </c>
      <c r="G822">
        <v>580.51</v>
      </c>
      <c r="H822">
        <v>97393</v>
      </c>
      <c r="I822">
        <v>216</v>
      </c>
      <c r="J822" t="s">
        <v>25</v>
      </c>
    </row>
    <row r="823" spans="1:10" x14ac:dyDescent="0.2">
      <c r="A823" s="1">
        <v>46065</v>
      </c>
      <c r="B823" t="s">
        <v>20</v>
      </c>
      <c r="C823" t="s">
        <v>23</v>
      </c>
      <c r="D823" t="s">
        <v>24</v>
      </c>
      <c r="E823">
        <v>143995</v>
      </c>
      <c r="F823">
        <v>6841</v>
      </c>
      <c r="G823">
        <v>1091.3</v>
      </c>
      <c r="H823">
        <v>115122</v>
      </c>
      <c r="I823">
        <v>242</v>
      </c>
      <c r="J823" t="s">
        <v>25</v>
      </c>
    </row>
    <row r="824" spans="1:10" x14ac:dyDescent="0.2">
      <c r="A824" s="1">
        <v>46066</v>
      </c>
      <c r="B824" t="s">
        <v>10</v>
      </c>
      <c r="C824" t="s">
        <v>23</v>
      </c>
      <c r="D824" t="s">
        <v>29</v>
      </c>
      <c r="E824">
        <v>122878</v>
      </c>
      <c r="F824">
        <v>5230</v>
      </c>
      <c r="G824">
        <v>841.27</v>
      </c>
      <c r="H824">
        <v>94342</v>
      </c>
      <c r="I824">
        <v>187</v>
      </c>
      <c r="J824" t="s">
        <v>25</v>
      </c>
    </row>
    <row r="825" spans="1:10" x14ac:dyDescent="0.2">
      <c r="A825" s="1">
        <v>46066</v>
      </c>
      <c r="B825" t="s">
        <v>10</v>
      </c>
      <c r="C825" t="s">
        <v>26</v>
      </c>
      <c r="D825" t="s">
        <v>30</v>
      </c>
      <c r="E825">
        <v>158587</v>
      </c>
      <c r="F825">
        <v>6599</v>
      </c>
      <c r="G825">
        <v>1195.96</v>
      </c>
      <c r="H825">
        <v>114733</v>
      </c>
      <c r="I825">
        <v>264</v>
      </c>
      <c r="J825" t="s">
        <v>25</v>
      </c>
    </row>
    <row r="826" spans="1:10" x14ac:dyDescent="0.2">
      <c r="A826" s="1">
        <v>46066</v>
      </c>
      <c r="B826" t="s">
        <v>15</v>
      </c>
      <c r="C826" t="s">
        <v>27</v>
      </c>
      <c r="D826" t="s">
        <v>24</v>
      </c>
      <c r="E826">
        <v>141774</v>
      </c>
      <c r="F826">
        <v>4674</v>
      </c>
      <c r="G826">
        <v>870.8</v>
      </c>
      <c r="H826">
        <v>106527</v>
      </c>
      <c r="I826">
        <v>194</v>
      </c>
      <c r="J826" t="s">
        <v>25</v>
      </c>
    </row>
    <row r="827" spans="1:10" x14ac:dyDescent="0.2">
      <c r="A827" s="1">
        <v>46066</v>
      </c>
      <c r="B827" t="s">
        <v>15</v>
      </c>
      <c r="C827" t="s">
        <v>28</v>
      </c>
      <c r="D827" t="s">
        <v>29</v>
      </c>
      <c r="E827">
        <v>148683</v>
      </c>
      <c r="F827">
        <v>5769</v>
      </c>
      <c r="G827">
        <v>897.9</v>
      </c>
      <c r="H827">
        <v>108026</v>
      </c>
      <c r="I827">
        <v>268</v>
      </c>
      <c r="J827" t="s">
        <v>25</v>
      </c>
    </row>
    <row r="828" spans="1:10" x14ac:dyDescent="0.2">
      <c r="A828" s="1">
        <v>46066</v>
      </c>
      <c r="B828" t="s">
        <v>20</v>
      </c>
      <c r="C828" t="s">
        <v>31</v>
      </c>
      <c r="D828" t="s">
        <v>24</v>
      </c>
      <c r="E828">
        <v>127268</v>
      </c>
      <c r="F828">
        <v>5368</v>
      </c>
      <c r="G828">
        <v>766.22</v>
      </c>
      <c r="H828">
        <v>98469</v>
      </c>
      <c r="I828">
        <v>207</v>
      </c>
      <c r="J828" t="s">
        <v>25</v>
      </c>
    </row>
    <row r="829" spans="1:10" x14ac:dyDescent="0.2">
      <c r="A829" s="1">
        <v>46066</v>
      </c>
      <c r="B829" t="s">
        <v>20</v>
      </c>
      <c r="C829" t="s">
        <v>23</v>
      </c>
      <c r="D829" t="s">
        <v>24</v>
      </c>
      <c r="E829">
        <v>168409</v>
      </c>
      <c r="F829">
        <v>5944</v>
      </c>
      <c r="G829">
        <v>1055.1600000000001</v>
      </c>
      <c r="H829">
        <v>140410</v>
      </c>
      <c r="I829">
        <v>299</v>
      </c>
      <c r="J829" t="s">
        <v>25</v>
      </c>
    </row>
    <row r="830" spans="1:10" x14ac:dyDescent="0.2">
      <c r="A830" s="1">
        <v>46067</v>
      </c>
      <c r="B830" t="s">
        <v>10</v>
      </c>
      <c r="C830" t="s">
        <v>23</v>
      </c>
      <c r="D830" t="s">
        <v>29</v>
      </c>
      <c r="E830">
        <v>83097</v>
      </c>
      <c r="F830">
        <v>3463</v>
      </c>
      <c r="G830">
        <v>488.96</v>
      </c>
      <c r="H830">
        <v>67031</v>
      </c>
      <c r="I830">
        <v>194</v>
      </c>
      <c r="J830" t="s">
        <v>25</v>
      </c>
    </row>
    <row r="831" spans="1:10" x14ac:dyDescent="0.2">
      <c r="A831" s="1">
        <v>46067</v>
      </c>
      <c r="B831" t="s">
        <v>10</v>
      </c>
      <c r="C831" t="s">
        <v>26</v>
      </c>
      <c r="D831" t="s">
        <v>24</v>
      </c>
      <c r="E831">
        <v>203792</v>
      </c>
      <c r="F831">
        <v>7608</v>
      </c>
      <c r="G831">
        <v>1226.1199999999999</v>
      </c>
      <c r="H831">
        <v>165463</v>
      </c>
      <c r="I831">
        <v>257</v>
      </c>
      <c r="J831" t="s">
        <v>25</v>
      </c>
    </row>
    <row r="832" spans="1:10" x14ac:dyDescent="0.2">
      <c r="A832" s="1">
        <v>46067</v>
      </c>
      <c r="B832" t="s">
        <v>15</v>
      </c>
      <c r="C832" t="s">
        <v>27</v>
      </c>
      <c r="D832" t="s">
        <v>24</v>
      </c>
      <c r="E832">
        <v>164768</v>
      </c>
      <c r="F832">
        <v>5827</v>
      </c>
      <c r="G832">
        <v>1002.99</v>
      </c>
      <c r="H832">
        <v>138112</v>
      </c>
      <c r="I832">
        <v>332</v>
      </c>
      <c r="J832" t="s">
        <v>25</v>
      </c>
    </row>
    <row r="833" spans="1:10" x14ac:dyDescent="0.2">
      <c r="A833" s="1">
        <v>46067</v>
      </c>
      <c r="B833" t="s">
        <v>15</v>
      </c>
      <c r="C833" t="s">
        <v>28</v>
      </c>
      <c r="D833" t="s">
        <v>29</v>
      </c>
      <c r="E833">
        <v>206537</v>
      </c>
      <c r="F833">
        <v>7367</v>
      </c>
      <c r="G833">
        <v>1385.56</v>
      </c>
      <c r="H833">
        <v>171276</v>
      </c>
      <c r="I833">
        <v>309</v>
      </c>
      <c r="J833" t="s">
        <v>25</v>
      </c>
    </row>
    <row r="834" spans="1:10" x14ac:dyDescent="0.2">
      <c r="A834" s="1">
        <v>46067</v>
      </c>
      <c r="B834" t="s">
        <v>19</v>
      </c>
      <c r="C834" t="s">
        <v>23</v>
      </c>
      <c r="D834" t="s">
        <v>24</v>
      </c>
      <c r="E834">
        <v>171961</v>
      </c>
      <c r="F834">
        <v>7520</v>
      </c>
      <c r="G834">
        <v>1476.93</v>
      </c>
      <c r="H834">
        <v>124556</v>
      </c>
      <c r="I834">
        <v>245</v>
      </c>
      <c r="J834" t="s">
        <v>25</v>
      </c>
    </row>
    <row r="835" spans="1:10" x14ac:dyDescent="0.2">
      <c r="A835" s="1">
        <v>46067</v>
      </c>
      <c r="B835" t="s">
        <v>19</v>
      </c>
      <c r="C835" t="s">
        <v>26</v>
      </c>
      <c r="D835" t="s">
        <v>29</v>
      </c>
      <c r="E835">
        <v>161171</v>
      </c>
      <c r="F835">
        <v>6183</v>
      </c>
      <c r="G835">
        <v>1045.51</v>
      </c>
      <c r="H835">
        <v>119078</v>
      </c>
      <c r="I835">
        <v>253</v>
      </c>
      <c r="J835" t="s">
        <v>25</v>
      </c>
    </row>
    <row r="836" spans="1:10" x14ac:dyDescent="0.2">
      <c r="A836" s="1">
        <v>46067</v>
      </c>
      <c r="B836" t="s">
        <v>20</v>
      </c>
      <c r="C836" t="s">
        <v>31</v>
      </c>
      <c r="D836" t="s">
        <v>24</v>
      </c>
      <c r="E836">
        <v>188446</v>
      </c>
      <c r="F836">
        <v>8359</v>
      </c>
      <c r="G836">
        <v>1294.3</v>
      </c>
      <c r="H836">
        <v>141842</v>
      </c>
      <c r="I836">
        <v>298</v>
      </c>
      <c r="J836" t="s">
        <v>25</v>
      </c>
    </row>
    <row r="837" spans="1:10" x14ac:dyDescent="0.2">
      <c r="A837" s="1">
        <v>46067</v>
      </c>
      <c r="B837" t="s">
        <v>20</v>
      </c>
      <c r="C837" t="s">
        <v>23</v>
      </c>
      <c r="D837" t="s">
        <v>24</v>
      </c>
      <c r="E837">
        <v>193420</v>
      </c>
      <c r="F837">
        <v>7429</v>
      </c>
      <c r="G837">
        <v>1404.81</v>
      </c>
      <c r="H837">
        <v>159609</v>
      </c>
      <c r="I837">
        <v>429</v>
      </c>
      <c r="J837" t="s">
        <v>25</v>
      </c>
    </row>
    <row r="838" spans="1:10" x14ac:dyDescent="0.2">
      <c r="A838" s="1">
        <v>46068</v>
      </c>
      <c r="B838" t="s">
        <v>10</v>
      </c>
      <c r="C838" t="s">
        <v>23</v>
      </c>
      <c r="D838" t="s">
        <v>24</v>
      </c>
      <c r="E838">
        <v>71494</v>
      </c>
      <c r="F838">
        <v>2864</v>
      </c>
      <c r="G838">
        <v>521.85</v>
      </c>
      <c r="H838">
        <v>57761</v>
      </c>
      <c r="I838">
        <v>93</v>
      </c>
      <c r="J838" t="s">
        <v>25</v>
      </c>
    </row>
    <row r="839" spans="1:10" x14ac:dyDescent="0.2">
      <c r="A839" s="1">
        <v>46068</v>
      </c>
      <c r="B839" t="s">
        <v>10</v>
      </c>
      <c r="C839" t="s">
        <v>26</v>
      </c>
      <c r="D839" t="s">
        <v>24</v>
      </c>
      <c r="E839">
        <v>76038</v>
      </c>
      <c r="F839">
        <v>3328</v>
      </c>
      <c r="G839">
        <v>624.19000000000005</v>
      </c>
      <c r="H839">
        <v>56520</v>
      </c>
      <c r="I839">
        <v>166</v>
      </c>
      <c r="J839" t="s">
        <v>25</v>
      </c>
    </row>
    <row r="840" spans="1:10" x14ac:dyDescent="0.2">
      <c r="A840" s="1">
        <v>46068</v>
      </c>
      <c r="B840" t="s">
        <v>15</v>
      </c>
      <c r="C840" t="s">
        <v>27</v>
      </c>
      <c r="D840" t="s">
        <v>29</v>
      </c>
      <c r="E840">
        <v>123889</v>
      </c>
      <c r="F840">
        <v>4807</v>
      </c>
      <c r="G840">
        <v>887.42</v>
      </c>
      <c r="H840">
        <v>93692</v>
      </c>
      <c r="I840">
        <v>220</v>
      </c>
      <c r="J840" t="s">
        <v>25</v>
      </c>
    </row>
    <row r="841" spans="1:10" x14ac:dyDescent="0.2">
      <c r="A841" s="1">
        <v>46068</v>
      </c>
      <c r="B841" t="s">
        <v>15</v>
      </c>
      <c r="C841" t="s">
        <v>28</v>
      </c>
      <c r="D841" t="s">
        <v>30</v>
      </c>
      <c r="E841">
        <v>111420</v>
      </c>
      <c r="F841">
        <v>5293</v>
      </c>
      <c r="G841">
        <v>924.01</v>
      </c>
      <c r="H841">
        <v>85257</v>
      </c>
      <c r="I841">
        <v>237</v>
      </c>
      <c r="J841" t="s">
        <v>25</v>
      </c>
    </row>
    <row r="842" spans="1:10" x14ac:dyDescent="0.2">
      <c r="A842" s="1">
        <v>46068</v>
      </c>
      <c r="B842" t="s">
        <v>19</v>
      </c>
      <c r="C842" t="s">
        <v>23</v>
      </c>
      <c r="D842" t="s">
        <v>24</v>
      </c>
      <c r="E842">
        <v>141212</v>
      </c>
      <c r="F842">
        <v>5786</v>
      </c>
      <c r="G842">
        <v>977.84</v>
      </c>
      <c r="H842">
        <v>117053</v>
      </c>
      <c r="I842">
        <v>277</v>
      </c>
      <c r="J842" t="s">
        <v>25</v>
      </c>
    </row>
    <row r="843" spans="1:10" x14ac:dyDescent="0.2">
      <c r="A843" s="1">
        <v>46068</v>
      </c>
      <c r="B843" t="s">
        <v>19</v>
      </c>
      <c r="C843" t="s">
        <v>26</v>
      </c>
      <c r="D843" t="s">
        <v>29</v>
      </c>
      <c r="E843">
        <v>136196</v>
      </c>
      <c r="F843">
        <v>4395</v>
      </c>
      <c r="G843">
        <v>746.37</v>
      </c>
      <c r="H843">
        <v>104494</v>
      </c>
      <c r="I843">
        <v>189</v>
      </c>
      <c r="J843" t="s">
        <v>25</v>
      </c>
    </row>
    <row r="844" spans="1:10" x14ac:dyDescent="0.2">
      <c r="A844" s="1">
        <v>46068</v>
      </c>
      <c r="B844" t="s">
        <v>20</v>
      </c>
      <c r="C844" t="s">
        <v>31</v>
      </c>
      <c r="D844" t="s">
        <v>24</v>
      </c>
      <c r="E844">
        <v>150846</v>
      </c>
      <c r="F844">
        <v>5367</v>
      </c>
      <c r="G844">
        <v>1065.4100000000001</v>
      </c>
      <c r="H844">
        <v>115801</v>
      </c>
      <c r="I844">
        <v>209</v>
      </c>
      <c r="J844" t="s">
        <v>25</v>
      </c>
    </row>
    <row r="845" spans="1:10" x14ac:dyDescent="0.2">
      <c r="A845" s="1">
        <v>46068</v>
      </c>
      <c r="B845" t="s">
        <v>20</v>
      </c>
      <c r="C845" t="s">
        <v>23</v>
      </c>
      <c r="D845" t="s">
        <v>24</v>
      </c>
      <c r="E845">
        <v>155992</v>
      </c>
      <c r="F845">
        <v>6397</v>
      </c>
      <c r="G845">
        <v>1142.31</v>
      </c>
      <c r="H845">
        <v>118537</v>
      </c>
      <c r="I845">
        <v>360</v>
      </c>
      <c r="J845" t="s">
        <v>25</v>
      </c>
    </row>
    <row r="846" spans="1:10" x14ac:dyDescent="0.2">
      <c r="A846" s="1">
        <v>46069</v>
      </c>
      <c r="B846" t="s">
        <v>10</v>
      </c>
      <c r="C846" t="s">
        <v>23</v>
      </c>
      <c r="D846" t="s">
        <v>24</v>
      </c>
      <c r="E846">
        <v>76003</v>
      </c>
      <c r="F846">
        <v>3114</v>
      </c>
      <c r="G846">
        <v>474.76</v>
      </c>
      <c r="H846">
        <v>63314</v>
      </c>
      <c r="I846">
        <v>155</v>
      </c>
      <c r="J846" t="s">
        <v>25</v>
      </c>
    </row>
    <row r="847" spans="1:10" x14ac:dyDescent="0.2">
      <c r="A847" s="1">
        <v>46069</v>
      </c>
      <c r="B847" t="s">
        <v>10</v>
      </c>
      <c r="C847" t="s">
        <v>26</v>
      </c>
      <c r="D847" t="s">
        <v>24</v>
      </c>
      <c r="E847">
        <v>85638</v>
      </c>
      <c r="F847">
        <v>3292</v>
      </c>
      <c r="G847">
        <v>626.41999999999996</v>
      </c>
      <c r="H847">
        <v>67038</v>
      </c>
      <c r="I847">
        <v>188</v>
      </c>
      <c r="J847" t="s">
        <v>25</v>
      </c>
    </row>
    <row r="848" spans="1:10" x14ac:dyDescent="0.2">
      <c r="A848" s="1">
        <v>46069</v>
      </c>
      <c r="B848" t="s">
        <v>15</v>
      </c>
      <c r="C848" t="s">
        <v>27</v>
      </c>
      <c r="D848" t="s">
        <v>24</v>
      </c>
      <c r="E848">
        <v>68358</v>
      </c>
      <c r="F848">
        <v>3026</v>
      </c>
      <c r="G848">
        <v>469.4</v>
      </c>
      <c r="H848">
        <v>51772</v>
      </c>
      <c r="I848">
        <v>127</v>
      </c>
      <c r="J848" t="s">
        <v>25</v>
      </c>
    </row>
    <row r="849" spans="1:10" x14ac:dyDescent="0.2">
      <c r="A849" s="1">
        <v>46069</v>
      </c>
      <c r="B849" t="s">
        <v>15</v>
      </c>
      <c r="C849" t="s">
        <v>28</v>
      </c>
      <c r="D849" t="s">
        <v>30</v>
      </c>
      <c r="E849">
        <v>63656</v>
      </c>
      <c r="F849">
        <v>2364</v>
      </c>
      <c r="G849">
        <v>411.14</v>
      </c>
      <c r="H849">
        <v>48937</v>
      </c>
      <c r="I849">
        <v>76</v>
      </c>
      <c r="J849" t="s">
        <v>25</v>
      </c>
    </row>
    <row r="850" spans="1:10" x14ac:dyDescent="0.2">
      <c r="A850" s="1">
        <v>46069</v>
      </c>
      <c r="B850" t="s">
        <v>20</v>
      </c>
      <c r="C850" t="s">
        <v>31</v>
      </c>
      <c r="D850" t="s">
        <v>24</v>
      </c>
      <c r="E850">
        <v>214342</v>
      </c>
      <c r="F850">
        <v>8787</v>
      </c>
      <c r="G850">
        <v>1487.85</v>
      </c>
      <c r="H850">
        <v>167182</v>
      </c>
      <c r="I850">
        <v>534</v>
      </c>
      <c r="J850" t="s">
        <v>25</v>
      </c>
    </row>
    <row r="851" spans="1:10" x14ac:dyDescent="0.2">
      <c r="A851" s="1">
        <v>46069</v>
      </c>
      <c r="B851" t="s">
        <v>20</v>
      </c>
      <c r="C851" t="s">
        <v>23</v>
      </c>
      <c r="D851" t="s">
        <v>24</v>
      </c>
      <c r="E851">
        <v>123492</v>
      </c>
      <c r="F851">
        <v>4863</v>
      </c>
      <c r="G851">
        <v>821.75</v>
      </c>
      <c r="H851">
        <v>97135</v>
      </c>
      <c r="I851">
        <v>263</v>
      </c>
      <c r="J851" t="s">
        <v>25</v>
      </c>
    </row>
    <row r="852" spans="1:10" x14ac:dyDescent="0.2">
      <c r="A852" s="1">
        <v>46070</v>
      </c>
      <c r="B852" t="s">
        <v>10</v>
      </c>
      <c r="C852" t="s">
        <v>23</v>
      </c>
      <c r="D852" t="s">
        <v>24</v>
      </c>
      <c r="E852">
        <v>48768</v>
      </c>
      <c r="F852">
        <v>1892</v>
      </c>
      <c r="G852">
        <v>273.68</v>
      </c>
      <c r="H852">
        <v>35857</v>
      </c>
      <c r="I852">
        <v>61</v>
      </c>
      <c r="J852" t="s">
        <v>25</v>
      </c>
    </row>
    <row r="853" spans="1:10" x14ac:dyDescent="0.2">
      <c r="A853" s="1">
        <v>46070</v>
      </c>
      <c r="B853" t="s">
        <v>10</v>
      </c>
      <c r="C853" t="s">
        <v>26</v>
      </c>
      <c r="D853" t="s">
        <v>24</v>
      </c>
      <c r="E853">
        <v>56783</v>
      </c>
      <c r="F853">
        <v>1996</v>
      </c>
      <c r="G853">
        <v>383.6</v>
      </c>
      <c r="H853">
        <v>41658</v>
      </c>
      <c r="I853">
        <v>116</v>
      </c>
      <c r="J853" t="s">
        <v>25</v>
      </c>
    </row>
    <row r="854" spans="1:10" x14ac:dyDescent="0.2">
      <c r="A854" s="1">
        <v>46070</v>
      </c>
      <c r="B854" t="s">
        <v>15</v>
      </c>
      <c r="C854" t="s">
        <v>27</v>
      </c>
      <c r="D854" t="s">
        <v>29</v>
      </c>
      <c r="E854">
        <v>57376</v>
      </c>
      <c r="F854">
        <v>2410</v>
      </c>
      <c r="G854">
        <v>413.26</v>
      </c>
      <c r="H854">
        <v>42273</v>
      </c>
      <c r="I854">
        <v>140</v>
      </c>
      <c r="J854" t="s">
        <v>25</v>
      </c>
    </row>
    <row r="855" spans="1:10" x14ac:dyDescent="0.2">
      <c r="A855" s="1">
        <v>46070</v>
      </c>
      <c r="B855" t="s">
        <v>15</v>
      </c>
      <c r="C855" t="s">
        <v>28</v>
      </c>
      <c r="D855" t="s">
        <v>29</v>
      </c>
      <c r="E855">
        <v>87350</v>
      </c>
      <c r="F855">
        <v>2808</v>
      </c>
      <c r="G855">
        <v>412.93</v>
      </c>
      <c r="H855">
        <v>73329</v>
      </c>
      <c r="I855">
        <v>150</v>
      </c>
      <c r="J855" t="s">
        <v>25</v>
      </c>
    </row>
    <row r="856" spans="1:10" x14ac:dyDescent="0.2">
      <c r="A856" s="1">
        <v>46071</v>
      </c>
      <c r="B856" t="s">
        <v>10</v>
      </c>
      <c r="C856" t="s">
        <v>23</v>
      </c>
      <c r="D856" t="s">
        <v>29</v>
      </c>
      <c r="E856">
        <v>103482</v>
      </c>
      <c r="F856">
        <v>3845</v>
      </c>
      <c r="G856">
        <v>743.52</v>
      </c>
      <c r="H856">
        <v>81508</v>
      </c>
      <c r="I856">
        <v>142</v>
      </c>
      <c r="J856" t="s">
        <v>25</v>
      </c>
    </row>
    <row r="857" spans="1:10" x14ac:dyDescent="0.2">
      <c r="A857" s="1">
        <v>46071</v>
      </c>
      <c r="B857" t="s">
        <v>10</v>
      </c>
      <c r="C857" t="s">
        <v>26</v>
      </c>
      <c r="D857" t="s">
        <v>30</v>
      </c>
      <c r="E857">
        <v>103583</v>
      </c>
      <c r="F857">
        <v>4449</v>
      </c>
      <c r="G857">
        <v>837.16</v>
      </c>
      <c r="H857">
        <v>86413</v>
      </c>
      <c r="I857">
        <v>191</v>
      </c>
      <c r="J857" t="s">
        <v>25</v>
      </c>
    </row>
    <row r="858" spans="1:10" x14ac:dyDescent="0.2">
      <c r="A858" s="1">
        <v>46071</v>
      </c>
      <c r="B858" t="s">
        <v>15</v>
      </c>
      <c r="C858" t="s">
        <v>27</v>
      </c>
      <c r="D858" t="s">
        <v>29</v>
      </c>
      <c r="E858">
        <v>96880</v>
      </c>
      <c r="F858">
        <v>3817</v>
      </c>
      <c r="G858">
        <v>748.79</v>
      </c>
      <c r="H858">
        <v>80531</v>
      </c>
      <c r="I858">
        <v>204</v>
      </c>
      <c r="J858" t="s">
        <v>25</v>
      </c>
    </row>
    <row r="859" spans="1:10" x14ac:dyDescent="0.2">
      <c r="A859" s="1">
        <v>46071</v>
      </c>
      <c r="B859" t="s">
        <v>15</v>
      </c>
      <c r="C859" t="s">
        <v>28</v>
      </c>
      <c r="D859" t="s">
        <v>30</v>
      </c>
      <c r="E859">
        <v>56527</v>
      </c>
      <c r="F859">
        <v>2283</v>
      </c>
      <c r="G859">
        <v>433.23</v>
      </c>
      <c r="H859">
        <v>40766</v>
      </c>
      <c r="I859">
        <v>101</v>
      </c>
      <c r="J859" t="s">
        <v>25</v>
      </c>
    </row>
    <row r="860" spans="1:10" x14ac:dyDescent="0.2">
      <c r="A860" s="1">
        <v>46072</v>
      </c>
      <c r="B860" t="s">
        <v>10</v>
      </c>
      <c r="C860" t="s">
        <v>23</v>
      </c>
      <c r="D860" t="s">
        <v>24</v>
      </c>
      <c r="E860">
        <v>96668</v>
      </c>
      <c r="F860">
        <v>3197</v>
      </c>
      <c r="G860">
        <v>634.98</v>
      </c>
      <c r="H860">
        <v>73218</v>
      </c>
      <c r="I860">
        <v>120</v>
      </c>
      <c r="J860" t="s">
        <v>25</v>
      </c>
    </row>
    <row r="861" spans="1:10" x14ac:dyDescent="0.2">
      <c r="A861" s="1">
        <v>46072</v>
      </c>
      <c r="B861" t="s">
        <v>10</v>
      </c>
      <c r="C861" t="s">
        <v>26</v>
      </c>
      <c r="D861" t="s">
        <v>24</v>
      </c>
      <c r="E861">
        <v>105481</v>
      </c>
      <c r="F861">
        <v>4149</v>
      </c>
      <c r="G861">
        <v>604.44000000000005</v>
      </c>
      <c r="H861">
        <v>83857</v>
      </c>
      <c r="I861">
        <v>206</v>
      </c>
      <c r="J861" t="s">
        <v>25</v>
      </c>
    </row>
    <row r="862" spans="1:10" x14ac:dyDescent="0.2">
      <c r="A862" s="1">
        <v>46072</v>
      </c>
      <c r="B862" t="s">
        <v>15</v>
      </c>
      <c r="C862" t="s">
        <v>27</v>
      </c>
      <c r="D862" t="s">
        <v>24</v>
      </c>
      <c r="E862">
        <v>80934</v>
      </c>
      <c r="F862">
        <v>3413</v>
      </c>
      <c r="G862">
        <v>658.71</v>
      </c>
      <c r="H862">
        <v>61622</v>
      </c>
      <c r="I862">
        <v>110</v>
      </c>
      <c r="J862" t="s">
        <v>25</v>
      </c>
    </row>
    <row r="863" spans="1:10" x14ac:dyDescent="0.2">
      <c r="A863" s="1">
        <v>46072</v>
      </c>
      <c r="B863" t="s">
        <v>15</v>
      </c>
      <c r="C863" t="s">
        <v>28</v>
      </c>
      <c r="D863" t="s">
        <v>30</v>
      </c>
      <c r="E863">
        <v>70989</v>
      </c>
      <c r="F863">
        <v>2594</v>
      </c>
      <c r="G863">
        <v>505.03</v>
      </c>
      <c r="H863">
        <v>54742</v>
      </c>
      <c r="I863">
        <v>139</v>
      </c>
      <c r="J863" t="s">
        <v>25</v>
      </c>
    </row>
    <row r="864" spans="1:10" x14ac:dyDescent="0.2">
      <c r="A864" s="1">
        <v>46073</v>
      </c>
      <c r="B864" t="s">
        <v>10</v>
      </c>
      <c r="C864" t="s">
        <v>23</v>
      </c>
      <c r="D864" t="s">
        <v>29</v>
      </c>
      <c r="E864">
        <v>116854</v>
      </c>
      <c r="F864">
        <v>5173</v>
      </c>
      <c r="G864">
        <v>1014.21</v>
      </c>
      <c r="H864">
        <v>92003</v>
      </c>
      <c r="I864">
        <v>265</v>
      </c>
      <c r="J864" t="s">
        <v>25</v>
      </c>
    </row>
    <row r="865" spans="1:10" x14ac:dyDescent="0.2">
      <c r="A865" s="1">
        <v>46073</v>
      </c>
      <c r="B865" t="s">
        <v>10</v>
      </c>
      <c r="C865" t="s">
        <v>26</v>
      </c>
      <c r="D865" t="s">
        <v>24</v>
      </c>
      <c r="E865">
        <v>45154</v>
      </c>
      <c r="F865">
        <v>1873</v>
      </c>
      <c r="G865">
        <v>273.79000000000002</v>
      </c>
      <c r="H865">
        <v>33683</v>
      </c>
      <c r="I865">
        <v>69</v>
      </c>
      <c r="J865" t="s">
        <v>25</v>
      </c>
    </row>
    <row r="866" spans="1:10" x14ac:dyDescent="0.2">
      <c r="A866" s="1">
        <v>46073</v>
      </c>
      <c r="B866" t="s">
        <v>15</v>
      </c>
      <c r="C866" t="s">
        <v>27</v>
      </c>
      <c r="D866" t="s">
        <v>24</v>
      </c>
      <c r="E866">
        <v>51607</v>
      </c>
      <c r="F866">
        <v>2309</v>
      </c>
      <c r="G866">
        <v>404.63</v>
      </c>
      <c r="H866">
        <v>41901</v>
      </c>
      <c r="I866">
        <v>96</v>
      </c>
      <c r="J866" t="s">
        <v>25</v>
      </c>
    </row>
    <row r="867" spans="1:10" x14ac:dyDescent="0.2">
      <c r="A867" s="1">
        <v>46073</v>
      </c>
      <c r="B867" t="s">
        <v>15</v>
      </c>
      <c r="C867" t="s">
        <v>28</v>
      </c>
      <c r="D867" t="s">
        <v>29</v>
      </c>
      <c r="E867">
        <v>131634</v>
      </c>
      <c r="F867">
        <v>6047</v>
      </c>
      <c r="G867">
        <v>1089.1199999999999</v>
      </c>
      <c r="H867">
        <v>102254</v>
      </c>
      <c r="I867">
        <v>223</v>
      </c>
      <c r="J867" t="s">
        <v>25</v>
      </c>
    </row>
    <row r="868" spans="1:10" x14ac:dyDescent="0.2">
      <c r="A868" s="1">
        <v>46074</v>
      </c>
      <c r="B868" t="s">
        <v>10</v>
      </c>
      <c r="C868" t="s">
        <v>23</v>
      </c>
      <c r="D868" t="s">
        <v>24</v>
      </c>
      <c r="E868">
        <v>88716</v>
      </c>
      <c r="F868">
        <v>2968</v>
      </c>
      <c r="G868">
        <v>558.58000000000004</v>
      </c>
      <c r="H868">
        <v>65435</v>
      </c>
      <c r="I868">
        <v>109</v>
      </c>
      <c r="J868" t="s">
        <v>25</v>
      </c>
    </row>
    <row r="869" spans="1:10" x14ac:dyDescent="0.2">
      <c r="A869" s="1">
        <v>46074</v>
      </c>
      <c r="B869" t="s">
        <v>10</v>
      </c>
      <c r="C869" t="s">
        <v>26</v>
      </c>
      <c r="D869" t="s">
        <v>24</v>
      </c>
      <c r="E869">
        <v>108332</v>
      </c>
      <c r="F869">
        <v>3601</v>
      </c>
      <c r="G869">
        <v>713.68</v>
      </c>
      <c r="H869">
        <v>79779</v>
      </c>
      <c r="I869">
        <v>202</v>
      </c>
      <c r="J869" t="s">
        <v>25</v>
      </c>
    </row>
    <row r="870" spans="1:10" x14ac:dyDescent="0.2">
      <c r="A870" s="1">
        <v>46074</v>
      </c>
      <c r="B870" t="s">
        <v>15</v>
      </c>
      <c r="C870" t="s">
        <v>27</v>
      </c>
      <c r="D870" t="s">
        <v>29</v>
      </c>
      <c r="E870">
        <v>170998</v>
      </c>
      <c r="F870">
        <v>6762</v>
      </c>
      <c r="G870">
        <v>1069.43</v>
      </c>
      <c r="H870">
        <v>138713</v>
      </c>
      <c r="I870">
        <v>265</v>
      </c>
      <c r="J870" t="s">
        <v>25</v>
      </c>
    </row>
    <row r="871" spans="1:10" x14ac:dyDescent="0.2">
      <c r="A871" s="1">
        <v>46074</v>
      </c>
      <c r="B871" t="s">
        <v>15</v>
      </c>
      <c r="C871" t="s">
        <v>28</v>
      </c>
      <c r="D871" t="s">
        <v>29</v>
      </c>
      <c r="E871">
        <v>118235</v>
      </c>
      <c r="F871">
        <v>5247</v>
      </c>
      <c r="G871">
        <v>956.92</v>
      </c>
      <c r="H871">
        <v>90165</v>
      </c>
      <c r="I871">
        <v>299</v>
      </c>
      <c r="J871" t="s">
        <v>25</v>
      </c>
    </row>
    <row r="872" spans="1:10" x14ac:dyDescent="0.2">
      <c r="A872" s="1">
        <v>46074</v>
      </c>
      <c r="B872" t="s">
        <v>19</v>
      </c>
      <c r="C872" t="s">
        <v>23</v>
      </c>
      <c r="D872" t="s">
        <v>24</v>
      </c>
      <c r="E872">
        <v>146381</v>
      </c>
      <c r="F872">
        <v>4867</v>
      </c>
      <c r="G872">
        <v>858.16</v>
      </c>
      <c r="H872">
        <v>109151</v>
      </c>
      <c r="I872">
        <v>179</v>
      </c>
      <c r="J872" t="s">
        <v>25</v>
      </c>
    </row>
    <row r="873" spans="1:10" x14ac:dyDescent="0.2">
      <c r="A873" s="1">
        <v>46074</v>
      </c>
      <c r="B873" t="s">
        <v>19</v>
      </c>
      <c r="C873" t="s">
        <v>26</v>
      </c>
      <c r="D873" t="s">
        <v>24</v>
      </c>
      <c r="E873">
        <v>179531</v>
      </c>
      <c r="F873">
        <v>6155</v>
      </c>
      <c r="G873">
        <v>1023.17</v>
      </c>
      <c r="H873">
        <v>138777</v>
      </c>
      <c r="I873">
        <v>325</v>
      </c>
      <c r="J873" t="s">
        <v>25</v>
      </c>
    </row>
    <row r="874" spans="1:10" x14ac:dyDescent="0.2">
      <c r="A874" s="1">
        <v>46075</v>
      </c>
      <c r="B874" t="s">
        <v>10</v>
      </c>
      <c r="C874" t="s">
        <v>23</v>
      </c>
      <c r="D874" t="s">
        <v>29</v>
      </c>
      <c r="E874">
        <v>174764</v>
      </c>
      <c r="F874">
        <v>5928</v>
      </c>
      <c r="G874">
        <v>1149.95</v>
      </c>
      <c r="H874">
        <v>139505</v>
      </c>
      <c r="I874">
        <v>221</v>
      </c>
      <c r="J874" t="s">
        <v>25</v>
      </c>
    </row>
    <row r="875" spans="1:10" x14ac:dyDescent="0.2">
      <c r="A875" s="1">
        <v>46075</v>
      </c>
      <c r="B875" t="s">
        <v>10</v>
      </c>
      <c r="C875" t="s">
        <v>26</v>
      </c>
      <c r="D875" t="s">
        <v>30</v>
      </c>
      <c r="E875">
        <v>134524</v>
      </c>
      <c r="F875">
        <v>5963</v>
      </c>
      <c r="G875">
        <v>958.61</v>
      </c>
      <c r="H875">
        <v>103703</v>
      </c>
      <c r="I875">
        <v>301</v>
      </c>
      <c r="J875" t="s">
        <v>25</v>
      </c>
    </row>
    <row r="876" spans="1:10" x14ac:dyDescent="0.2">
      <c r="A876" s="1">
        <v>46075</v>
      </c>
      <c r="B876" t="s">
        <v>15</v>
      </c>
      <c r="C876" t="s">
        <v>27</v>
      </c>
      <c r="D876" t="s">
        <v>24</v>
      </c>
      <c r="E876">
        <v>119180</v>
      </c>
      <c r="F876">
        <v>4527</v>
      </c>
      <c r="G876">
        <v>887.25</v>
      </c>
      <c r="H876">
        <v>100045</v>
      </c>
      <c r="I876">
        <v>171</v>
      </c>
      <c r="J876" t="s">
        <v>25</v>
      </c>
    </row>
    <row r="877" spans="1:10" x14ac:dyDescent="0.2">
      <c r="A877" s="1">
        <v>46075</v>
      </c>
      <c r="B877" t="s">
        <v>15</v>
      </c>
      <c r="C877" t="s">
        <v>28</v>
      </c>
      <c r="D877" t="s">
        <v>29</v>
      </c>
      <c r="E877">
        <v>145521</v>
      </c>
      <c r="F877">
        <v>5110</v>
      </c>
      <c r="G877">
        <v>895.13</v>
      </c>
      <c r="H877">
        <v>110510</v>
      </c>
      <c r="I877">
        <v>303</v>
      </c>
      <c r="J877" t="s">
        <v>25</v>
      </c>
    </row>
    <row r="878" spans="1:10" x14ac:dyDescent="0.2">
      <c r="A878" s="1">
        <v>46075</v>
      </c>
      <c r="B878" t="s">
        <v>19</v>
      </c>
      <c r="C878" t="s">
        <v>23</v>
      </c>
      <c r="D878" t="s">
        <v>24</v>
      </c>
      <c r="E878">
        <v>141262</v>
      </c>
      <c r="F878">
        <v>6603</v>
      </c>
      <c r="G878">
        <v>1164.81</v>
      </c>
      <c r="H878">
        <v>102276</v>
      </c>
      <c r="I878">
        <v>265</v>
      </c>
      <c r="J878" t="s">
        <v>25</v>
      </c>
    </row>
    <row r="879" spans="1:10" x14ac:dyDescent="0.2">
      <c r="A879" s="1">
        <v>46075</v>
      </c>
      <c r="B879" t="s">
        <v>19</v>
      </c>
      <c r="C879" t="s">
        <v>26</v>
      </c>
      <c r="D879" t="s">
        <v>24</v>
      </c>
      <c r="E879">
        <v>122086</v>
      </c>
      <c r="F879">
        <v>3992</v>
      </c>
      <c r="G879">
        <v>725.47</v>
      </c>
      <c r="H879">
        <v>91609</v>
      </c>
      <c r="I879">
        <v>202</v>
      </c>
      <c r="J879" t="s">
        <v>25</v>
      </c>
    </row>
    <row r="880" spans="1:10" x14ac:dyDescent="0.2">
      <c r="A880" s="1">
        <v>46076</v>
      </c>
      <c r="B880" t="s">
        <v>10</v>
      </c>
      <c r="C880" t="s">
        <v>23</v>
      </c>
      <c r="D880" t="s">
        <v>24</v>
      </c>
      <c r="E880">
        <v>129113</v>
      </c>
      <c r="F880">
        <v>6047</v>
      </c>
      <c r="G880">
        <v>1208.4000000000001</v>
      </c>
      <c r="H880">
        <v>102757</v>
      </c>
      <c r="I880">
        <v>282</v>
      </c>
      <c r="J880" t="s">
        <v>25</v>
      </c>
    </row>
    <row r="881" spans="1:10" x14ac:dyDescent="0.2">
      <c r="A881" s="1">
        <v>46076</v>
      </c>
      <c r="B881" t="s">
        <v>10</v>
      </c>
      <c r="C881" t="s">
        <v>26</v>
      </c>
      <c r="D881" t="s">
        <v>30</v>
      </c>
      <c r="E881">
        <v>133295</v>
      </c>
      <c r="F881">
        <v>6131</v>
      </c>
      <c r="G881">
        <v>1134.45</v>
      </c>
      <c r="H881">
        <v>108887</v>
      </c>
      <c r="I881">
        <v>203</v>
      </c>
      <c r="J881" t="s">
        <v>25</v>
      </c>
    </row>
    <row r="882" spans="1:10" x14ac:dyDescent="0.2">
      <c r="A882" s="1">
        <v>46076</v>
      </c>
      <c r="B882" t="s">
        <v>15</v>
      </c>
      <c r="C882" t="s">
        <v>27</v>
      </c>
      <c r="D882" t="s">
        <v>24</v>
      </c>
      <c r="E882">
        <v>115336</v>
      </c>
      <c r="F882">
        <v>5341</v>
      </c>
      <c r="G882">
        <v>796.83</v>
      </c>
      <c r="H882">
        <v>93231</v>
      </c>
      <c r="I882">
        <v>310</v>
      </c>
      <c r="J882" t="s">
        <v>25</v>
      </c>
    </row>
    <row r="883" spans="1:10" x14ac:dyDescent="0.2">
      <c r="A883" s="1">
        <v>46076</v>
      </c>
      <c r="B883" t="s">
        <v>15</v>
      </c>
      <c r="C883" t="s">
        <v>28</v>
      </c>
      <c r="D883" t="s">
        <v>30</v>
      </c>
      <c r="E883">
        <v>45855</v>
      </c>
      <c r="F883">
        <v>1775</v>
      </c>
      <c r="G883">
        <v>338.58</v>
      </c>
      <c r="H883">
        <v>33324</v>
      </c>
      <c r="I883">
        <v>90</v>
      </c>
      <c r="J883" t="s">
        <v>25</v>
      </c>
    </row>
    <row r="884" spans="1:10" x14ac:dyDescent="0.2">
      <c r="A884" s="1">
        <v>46077</v>
      </c>
      <c r="B884" t="s">
        <v>10</v>
      </c>
      <c r="C884" t="s">
        <v>23</v>
      </c>
      <c r="D884" t="s">
        <v>24</v>
      </c>
      <c r="E884">
        <v>76187</v>
      </c>
      <c r="F884">
        <v>2556</v>
      </c>
      <c r="G884">
        <v>441.28</v>
      </c>
      <c r="H884">
        <v>63845</v>
      </c>
      <c r="I884">
        <v>96</v>
      </c>
      <c r="J884" t="s">
        <v>25</v>
      </c>
    </row>
    <row r="885" spans="1:10" x14ac:dyDescent="0.2">
      <c r="A885" s="1">
        <v>46077</v>
      </c>
      <c r="B885" t="s">
        <v>10</v>
      </c>
      <c r="C885" t="s">
        <v>26</v>
      </c>
      <c r="D885" t="s">
        <v>24</v>
      </c>
      <c r="E885">
        <v>78603</v>
      </c>
      <c r="F885">
        <v>3568</v>
      </c>
      <c r="G885">
        <v>681.11</v>
      </c>
      <c r="H885">
        <v>59579</v>
      </c>
      <c r="I885">
        <v>190</v>
      </c>
      <c r="J885" t="s">
        <v>25</v>
      </c>
    </row>
    <row r="886" spans="1:10" x14ac:dyDescent="0.2">
      <c r="A886" s="1">
        <v>46077</v>
      </c>
      <c r="B886" t="s">
        <v>15</v>
      </c>
      <c r="C886" t="s">
        <v>27</v>
      </c>
      <c r="D886" t="s">
        <v>29</v>
      </c>
      <c r="E886">
        <v>102677</v>
      </c>
      <c r="F886">
        <v>3308</v>
      </c>
      <c r="G886">
        <v>595.01</v>
      </c>
      <c r="H886">
        <v>79057</v>
      </c>
      <c r="I886">
        <v>172</v>
      </c>
      <c r="J886" t="s">
        <v>25</v>
      </c>
    </row>
    <row r="887" spans="1:10" x14ac:dyDescent="0.2">
      <c r="A887" s="1">
        <v>46077</v>
      </c>
      <c r="B887" t="s">
        <v>15</v>
      </c>
      <c r="C887" t="s">
        <v>28</v>
      </c>
      <c r="D887" t="s">
        <v>30</v>
      </c>
      <c r="E887">
        <v>43513</v>
      </c>
      <c r="F887">
        <v>1526</v>
      </c>
      <c r="G887">
        <v>283.33999999999997</v>
      </c>
      <c r="H887">
        <v>32099</v>
      </c>
      <c r="I887">
        <v>61</v>
      </c>
      <c r="J887" t="s">
        <v>25</v>
      </c>
    </row>
    <row r="888" spans="1:10" x14ac:dyDescent="0.2">
      <c r="A888" s="1">
        <v>46078</v>
      </c>
      <c r="B888" t="s">
        <v>10</v>
      </c>
      <c r="C888" t="s">
        <v>23</v>
      </c>
      <c r="D888" t="s">
        <v>24</v>
      </c>
      <c r="E888">
        <v>93117</v>
      </c>
      <c r="F888">
        <v>3046</v>
      </c>
      <c r="G888">
        <v>537.65</v>
      </c>
      <c r="H888">
        <v>74739</v>
      </c>
      <c r="I888">
        <v>134</v>
      </c>
      <c r="J888" t="s">
        <v>25</v>
      </c>
    </row>
    <row r="889" spans="1:10" x14ac:dyDescent="0.2">
      <c r="A889" s="1">
        <v>46078</v>
      </c>
      <c r="B889" t="s">
        <v>10</v>
      </c>
      <c r="C889" t="s">
        <v>26</v>
      </c>
      <c r="D889" t="s">
        <v>24</v>
      </c>
      <c r="E889">
        <v>75784</v>
      </c>
      <c r="F889">
        <v>2757</v>
      </c>
      <c r="G889">
        <v>443.99</v>
      </c>
      <c r="H889">
        <v>57669</v>
      </c>
      <c r="I889">
        <v>135</v>
      </c>
      <c r="J889" t="s">
        <v>25</v>
      </c>
    </row>
    <row r="890" spans="1:10" x14ac:dyDescent="0.2">
      <c r="A890" s="1">
        <v>46078</v>
      </c>
      <c r="B890" t="s">
        <v>15</v>
      </c>
      <c r="C890" t="s">
        <v>27</v>
      </c>
      <c r="D890" t="s">
        <v>24</v>
      </c>
      <c r="E890">
        <v>109211</v>
      </c>
      <c r="F890">
        <v>5120</v>
      </c>
      <c r="G890">
        <v>743.88</v>
      </c>
      <c r="H890">
        <v>90662</v>
      </c>
      <c r="I890">
        <v>191</v>
      </c>
      <c r="J890" t="s">
        <v>25</v>
      </c>
    </row>
    <row r="891" spans="1:10" x14ac:dyDescent="0.2">
      <c r="A891" s="1">
        <v>46078</v>
      </c>
      <c r="B891" t="s">
        <v>15</v>
      </c>
      <c r="C891" t="s">
        <v>28</v>
      </c>
      <c r="D891" t="s">
        <v>30</v>
      </c>
      <c r="E891">
        <v>59334</v>
      </c>
      <c r="F891">
        <v>2200</v>
      </c>
      <c r="G891">
        <v>390.71</v>
      </c>
      <c r="H891">
        <v>42863</v>
      </c>
      <c r="I891">
        <v>81</v>
      </c>
      <c r="J891" t="s">
        <v>25</v>
      </c>
    </row>
    <row r="892" spans="1:10" x14ac:dyDescent="0.2">
      <c r="A892" s="1">
        <v>46079</v>
      </c>
      <c r="B892" t="s">
        <v>10</v>
      </c>
      <c r="C892" t="s">
        <v>23</v>
      </c>
      <c r="D892" t="s">
        <v>24</v>
      </c>
      <c r="E892">
        <v>63511</v>
      </c>
      <c r="F892">
        <v>2680</v>
      </c>
      <c r="G892">
        <v>449.22</v>
      </c>
      <c r="H892">
        <v>52413</v>
      </c>
      <c r="I892">
        <v>161</v>
      </c>
      <c r="J892" t="s">
        <v>25</v>
      </c>
    </row>
    <row r="893" spans="1:10" x14ac:dyDescent="0.2">
      <c r="A893" s="1">
        <v>46079</v>
      </c>
      <c r="B893" t="s">
        <v>10</v>
      </c>
      <c r="C893" t="s">
        <v>26</v>
      </c>
      <c r="D893" t="s">
        <v>30</v>
      </c>
      <c r="E893">
        <v>124245</v>
      </c>
      <c r="F893">
        <v>5252</v>
      </c>
      <c r="G893">
        <v>1019.35</v>
      </c>
      <c r="H893">
        <v>92305</v>
      </c>
      <c r="I893">
        <v>287</v>
      </c>
      <c r="J893" t="s">
        <v>25</v>
      </c>
    </row>
    <row r="894" spans="1:10" x14ac:dyDescent="0.2">
      <c r="A894" s="1">
        <v>46079</v>
      </c>
      <c r="B894" t="s">
        <v>15</v>
      </c>
      <c r="C894" t="s">
        <v>27</v>
      </c>
      <c r="D894" t="s">
        <v>24</v>
      </c>
      <c r="E894">
        <v>75696</v>
      </c>
      <c r="F894">
        <v>2486</v>
      </c>
      <c r="G894">
        <v>453.33</v>
      </c>
      <c r="H894">
        <v>56118</v>
      </c>
      <c r="I894">
        <v>90</v>
      </c>
      <c r="J894" t="s">
        <v>25</v>
      </c>
    </row>
    <row r="895" spans="1:10" x14ac:dyDescent="0.2">
      <c r="A895" s="1">
        <v>46079</v>
      </c>
      <c r="B895" t="s">
        <v>15</v>
      </c>
      <c r="C895" t="s">
        <v>28</v>
      </c>
      <c r="D895" t="s">
        <v>29</v>
      </c>
      <c r="E895">
        <v>89261</v>
      </c>
      <c r="F895">
        <v>3179</v>
      </c>
      <c r="G895">
        <v>480.97</v>
      </c>
      <c r="H895">
        <v>73732</v>
      </c>
      <c r="I895">
        <v>118</v>
      </c>
      <c r="J895" t="s">
        <v>25</v>
      </c>
    </row>
    <row r="896" spans="1:10" x14ac:dyDescent="0.2">
      <c r="A896" s="1">
        <v>46080</v>
      </c>
      <c r="B896" t="s">
        <v>10</v>
      </c>
      <c r="C896" t="s">
        <v>23</v>
      </c>
      <c r="D896" t="s">
        <v>29</v>
      </c>
      <c r="E896">
        <v>68994</v>
      </c>
      <c r="F896">
        <v>2977</v>
      </c>
      <c r="G896">
        <v>464.03</v>
      </c>
      <c r="H896">
        <v>53731</v>
      </c>
      <c r="I896">
        <v>146</v>
      </c>
      <c r="J896" t="s">
        <v>25</v>
      </c>
    </row>
    <row r="897" spans="1:10" x14ac:dyDescent="0.2">
      <c r="A897" s="1">
        <v>46080</v>
      </c>
      <c r="B897" t="s">
        <v>10</v>
      </c>
      <c r="C897" t="s">
        <v>26</v>
      </c>
      <c r="D897" t="s">
        <v>30</v>
      </c>
      <c r="E897">
        <v>119125</v>
      </c>
      <c r="F897">
        <v>4808</v>
      </c>
      <c r="G897">
        <v>912.41</v>
      </c>
      <c r="H897">
        <v>95591</v>
      </c>
      <c r="I897">
        <v>178</v>
      </c>
      <c r="J897" t="s">
        <v>25</v>
      </c>
    </row>
    <row r="898" spans="1:10" x14ac:dyDescent="0.2">
      <c r="A898" s="1">
        <v>46080</v>
      </c>
      <c r="B898" t="s">
        <v>15</v>
      </c>
      <c r="C898" t="s">
        <v>27</v>
      </c>
      <c r="D898" t="s">
        <v>29</v>
      </c>
      <c r="E898">
        <v>55408</v>
      </c>
      <c r="F898">
        <v>2249</v>
      </c>
      <c r="G898">
        <v>343.29</v>
      </c>
      <c r="H898">
        <v>44562</v>
      </c>
      <c r="I898">
        <v>95</v>
      </c>
      <c r="J898" t="s">
        <v>25</v>
      </c>
    </row>
    <row r="899" spans="1:10" x14ac:dyDescent="0.2">
      <c r="A899" s="1">
        <v>46080</v>
      </c>
      <c r="B899" t="s">
        <v>15</v>
      </c>
      <c r="C899" t="s">
        <v>28</v>
      </c>
      <c r="D899" t="s">
        <v>29</v>
      </c>
      <c r="E899">
        <v>62190</v>
      </c>
      <c r="F899">
        <v>2330</v>
      </c>
      <c r="G899">
        <v>461.59</v>
      </c>
      <c r="H899">
        <v>48893</v>
      </c>
      <c r="I899">
        <v>126</v>
      </c>
      <c r="J899" t="s">
        <v>25</v>
      </c>
    </row>
    <row r="900" spans="1:10" x14ac:dyDescent="0.2">
      <c r="A900" s="1">
        <v>46081</v>
      </c>
      <c r="B900" t="s">
        <v>10</v>
      </c>
      <c r="C900" t="s">
        <v>23</v>
      </c>
      <c r="D900" t="s">
        <v>29</v>
      </c>
      <c r="E900">
        <v>65653</v>
      </c>
      <c r="F900">
        <v>2640</v>
      </c>
      <c r="G900">
        <v>402.98</v>
      </c>
      <c r="H900">
        <v>48989</v>
      </c>
      <c r="I900">
        <v>105</v>
      </c>
      <c r="J900" t="s">
        <v>25</v>
      </c>
    </row>
    <row r="901" spans="1:10" x14ac:dyDescent="0.2">
      <c r="A901" s="1">
        <v>46081</v>
      </c>
      <c r="B901" t="s">
        <v>10</v>
      </c>
      <c r="C901" t="s">
        <v>26</v>
      </c>
      <c r="D901" t="s">
        <v>24</v>
      </c>
      <c r="E901">
        <v>143875</v>
      </c>
      <c r="F901">
        <v>6119</v>
      </c>
      <c r="G901">
        <v>925.1</v>
      </c>
      <c r="H901">
        <v>106003</v>
      </c>
      <c r="I901">
        <v>303</v>
      </c>
      <c r="J901" t="s">
        <v>25</v>
      </c>
    </row>
    <row r="902" spans="1:10" x14ac:dyDescent="0.2">
      <c r="A902" s="1">
        <v>46081</v>
      </c>
      <c r="B902" t="s">
        <v>15</v>
      </c>
      <c r="C902" t="s">
        <v>27</v>
      </c>
      <c r="D902" t="s">
        <v>29</v>
      </c>
      <c r="E902">
        <v>152451</v>
      </c>
      <c r="F902">
        <v>5800</v>
      </c>
      <c r="G902">
        <v>1016.76</v>
      </c>
      <c r="H902">
        <v>110383</v>
      </c>
      <c r="I902">
        <v>307</v>
      </c>
      <c r="J902" t="s">
        <v>25</v>
      </c>
    </row>
    <row r="903" spans="1:10" x14ac:dyDescent="0.2">
      <c r="A903" s="1">
        <v>46081</v>
      </c>
      <c r="B903" t="s">
        <v>15</v>
      </c>
      <c r="C903" t="s">
        <v>28</v>
      </c>
      <c r="D903" t="s">
        <v>29</v>
      </c>
      <c r="E903">
        <v>50449</v>
      </c>
      <c r="F903">
        <v>1742</v>
      </c>
      <c r="G903">
        <v>293.58</v>
      </c>
      <c r="H903">
        <v>38361</v>
      </c>
      <c r="I903">
        <v>102</v>
      </c>
      <c r="J903" t="s">
        <v>25</v>
      </c>
    </row>
    <row r="904" spans="1:10" x14ac:dyDescent="0.2">
      <c r="A904" s="1">
        <v>46081</v>
      </c>
      <c r="B904" t="s">
        <v>19</v>
      </c>
      <c r="C904" t="s">
        <v>23</v>
      </c>
      <c r="D904" t="s">
        <v>24</v>
      </c>
      <c r="E904">
        <v>114693</v>
      </c>
      <c r="F904">
        <v>4232</v>
      </c>
      <c r="G904">
        <v>711.02</v>
      </c>
      <c r="H904">
        <v>85141</v>
      </c>
      <c r="I904">
        <v>138</v>
      </c>
      <c r="J904" t="s">
        <v>25</v>
      </c>
    </row>
    <row r="905" spans="1:10" x14ac:dyDescent="0.2">
      <c r="A905" s="1">
        <v>46081</v>
      </c>
      <c r="B905" t="s">
        <v>19</v>
      </c>
      <c r="C905" t="s">
        <v>26</v>
      </c>
      <c r="D905" t="s">
        <v>24</v>
      </c>
      <c r="E905">
        <v>157921</v>
      </c>
      <c r="F905">
        <v>6508</v>
      </c>
      <c r="G905">
        <v>1080.97</v>
      </c>
      <c r="H905">
        <v>121270</v>
      </c>
      <c r="I905">
        <v>371</v>
      </c>
      <c r="J905" t="s">
        <v>25</v>
      </c>
    </row>
    <row r="906" spans="1:10" x14ac:dyDescent="0.2">
      <c r="A906" s="1">
        <v>46082</v>
      </c>
      <c r="B906" t="s">
        <v>10</v>
      </c>
      <c r="C906" t="s">
        <v>23</v>
      </c>
      <c r="D906" t="s">
        <v>29</v>
      </c>
      <c r="E906">
        <v>168756</v>
      </c>
      <c r="F906">
        <v>6407</v>
      </c>
      <c r="G906">
        <v>1026.8699999999999</v>
      </c>
      <c r="H906">
        <v>135245</v>
      </c>
      <c r="I906">
        <v>262</v>
      </c>
      <c r="J906" t="s">
        <v>25</v>
      </c>
    </row>
    <row r="907" spans="1:10" x14ac:dyDescent="0.2">
      <c r="A907" s="1">
        <v>46082</v>
      </c>
      <c r="B907" t="s">
        <v>10</v>
      </c>
      <c r="C907" t="s">
        <v>26</v>
      </c>
      <c r="D907" t="s">
        <v>24</v>
      </c>
      <c r="E907">
        <v>131882</v>
      </c>
      <c r="F907">
        <v>4447</v>
      </c>
      <c r="G907">
        <v>736.22</v>
      </c>
      <c r="H907">
        <v>99217</v>
      </c>
      <c r="I907">
        <v>219</v>
      </c>
      <c r="J907" t="s">
        <v>25</v>
      </c>
    </row>
    <row r="908" spans="1:10" x14ac:dyDescent="0.2">
      <c r="A908" s="1">
        <v>46082</v>
      </c>
      <c r="B908" t="s">
        <v>15</v>
      </c>
      <c r="C908" t="s">
        <v>27</v>
      </c>
      <c r="D908" t="s">
        <v>24</v>
      </c>
      <c r="E908">
        <v>73448</v>
      </c>
      <c r="F908">
        <v>2952</v>
      </c>
      <c r="G908">
        <v>576.65</v>
      </c>
      <c r="H908">
        <v>60696</v>
      </c>
      <c r="I908">
        <v>179</v>
      </c>
      <c r="J908" t="s">
        <v>25</v>
      </c>
    </row>
    <row r="909" spans="1:10" x14ac:dyDescent="0.2">
      <c r="A909" s="1">
        <v>46082</v>
      </c>
      <c r="B909" t="s">
        <v>15</v>
      </c>
      <c r="C909" t="s">
        <v>28</v>
      </c>
      <c r="D909" t="s">
        <v>30</v>
      </c>
      <c r="E909">
        <v>142281</v>
      </c>
      <c r="F909">
        <v>6264</v>
      </c>
      <c r="G909">
        <v>925.78</v>
      </c>
      <c r="H909">
        <v>108130</v>
      </c>
      <c r="I909">
        <v>380</v>
      </c>
      <c r="J909" t="s">
        <v>25</v>
      </c>
    </row>
    <row r="910" spans="1:10" x14ac:dyDescent="0.2">
      <c r="A910" s="1">
        <v>46082</v>
      </c>
      <c r="B910" t="s">
        <v>19</v>
      </c>
      <c r="C910" t="s">
        <v>23</v>
      </c>
      <c r="D910" t="s">
        <v>24</v>
      </c>
      <c r="E910">
        <v>98198</v>
      </c>
      <c r="F910">
        <v>4388</v>
      </c>
      <c r="G910">
        <v>651.55999999999995</v>
      </c>
      <c r="H910">
        <v>74780</v>
      </c>
      <c r="I910">
        <v>192</v>
      </c>
      <c r="J910" t="s">
        <v>25</v>
      </c>
    </row>
    <row r="911" spans="1:10" x14ac:dyDescent="0.2">
      <c r="A911" s="1">
        <v>46082</v>
      </c>
      <c r="B911" t="s">
        <v>19</v>
      </c>
      <c r="C911" t="s">
        <v>26</v>
      </c>
      <c r="D911" t="s">
        <v>24</v>
      </c>
      <c r="E911">
        <v>45643</v>
      </c>
      <c r="F911">
        <v>1941</v>
      </c>
      <c r="G911">
        <v>295.08</v>
      </c>
      <c r="H911">
        <v>33805</v>
      </c>
      <c r="I911">
        <v>80</v>
      </c>
      <c r="J911" t="s">
        <v>25</v>
      </c>
    </row>
    <row r="912" spans="1:10" x14ac:dyDescent="0.2">
      <c r="A912" s="1">
        <v>46083</v>
      </c>
      <c r="B912" t="s">
        <v>10</v>
      </c>
      <c r="C912" t="s">
        <v>23</v>
      </c>
      <c r="D912" t="s">
        <v>24</v>
      </c>
      <c r="E912">
        <v>85744</v>
      </c>
      <c r="F912">
        <v>3920</v>
      </c>
      <c r="G912">
        <v>651.48</v>
      </c>
      <c r="H912">
        <v>69186</v>
      </c>
      <c r="I912">
        <v>143</v>
      </c>
      <c r="J912" t="s">
        <v>25</v>
      </c>
    </row>
    <row r="913" spans="1:10" x14ac:dyDescent="0.2">
      <c r="A913" s="1">
        <v>46083</v>
      </c>
      <c r="B913" t="s">
        <v>10</v>
      </c>
      <c r="C913" t="s">
        <v>26</v>
      </c>
      <c r="D913" t="s">
        <v>30</v>
      </c>
      <c r="E913">
        <v>46342</v>
      </c>
      <c r="F913">
        <v>1836</v>
      </c>
      <c r="G913">
        <v>295.01</v>
      </c>
      <c r="H913">
        <v>35984</v>
      </c>
      <c r="I913">
        <v>96</v>
      </c>
      <c r="J913" t="s">
        <v>25</v>
      </c>
    </row>
    <row r="914" spans="1:10" x14ac:dyDescent="0.2">
      <c r="A914" s="1">
        <v>46083</v>
      </c>
      <c r="B914" t="s">
        <v>15</v>
      </c>
      <c r="C914" t="s">
        <v>27</v>
      </c>
      <c r="D914" t="s">
        <v>24</v>
      </c>
      <c r="E914">
        <v>125977</v>
      </c>
      <c r="F914">
        <v>5378</v>
      </c>
      <c r="G914">
        <v>1021.18</v>
      </c>
      <c r="H914">
        <v>101379</v>
      </c>
      <c r="I914">
        <v>295</v>
      </c>
      <c r="J914" t="s">
        <v>25</v>
      </c>
    </row>
    <row r="915" spans="1:10" x14ac:dyDescent="0.2">
      <c r="A915" s="1">
        <v>46083</v>
      </c>
      <c r="B915" t="s">
        <v>15</v>
      </c>
      <c r="C915" t="s">
        <v>28</v>
      </c>
      <c r="D915" t="s">
        <v>30</v>
      </c>
      <c r="E915">
        <v>111540</v>
      </c>
      <c r="F915">
        <v>3798</v>
      </c>
      <c r="G915">
        <v>705.6</v>
      </c>
      <c r="H915">
        <v>82096</v>
      </c>
      <c r="I915">
        <v>209</v>
      </c>
      <c r="J915" t="s">
        <v>25</v>
      </c>
    </row>
    <row r="916" spans="1:10" x14ac:dyDescent="0.2">
      <c r="A916" s="1">
        <v>46084</v>
      </c>
      <c r="B916" t="s">
        <v>10</v>
      </c>
      <c r="C916" t="s">
        <v>23</v>
      </c>
      <c r="D916" t="s">
        <v>29</v>
      </c>
      <c r="E916">
        <v>160472</v>
      </c>
      <c r="F916">
        <v>7010</v>
      </c>
      <c r="G916">
        <v>1159.98</v>
      </c>
      <c r="H916">
        <v>123124</v>
      </c>
      <c r="I916">
        <v>239</v>
      </c>
      <c r="J916" t="s">
        <v>25</v>
      </c>
    </row>
    <row r="917" spans="1:10" x14ac:dyDescent="0.2">
      <c r="A917" s="1">
        <v>46084</v>
      </c>
      <c r="B917" t="s">
        <v>10</v>
      </c>
      <c r="C917" t="s">
        <v>26</v>
      </c>
      <c r="D917" t="s">
        <v>30</v>
      </c>
      <c r="E917">
        <v>159642</v>
      </c>
      <c r="F917">
        <v>6999</v>
      </c>
      <c r="G917">
        <v>1226.1199999999999</v>
      </c>
      <c r="H917">
        <v>119189</v>
      </c>
      <c r="I917">
        <v>351</v>
      </c>
      <c r="J917" t="s">
        <v>25</v>
      </c>
    </row>
    <row r="918" spans="1:10" x14ac:dyDescent="0.2">
      <c r="A918" s="1">
        <v>46084</v>
      </c>
      <c r="B918" t="s">
        <v>15</v>
      </c>
      <c r="C918" t="s">
        <v>27</v>
      </c>
      <c r="D918" t="s">
        <v>24</v>
      </c>
      <c r="E918">
        <v>108396</v>
      </c>
      <c r="F918">
        <v>4096</v>
      </c>
      <c r="G918">
        <v>696.68</v>
      </c>
      <c r="H918">
        <v>78065</v>
      </c>
      <c r="I918">
        <v>204</v>
      </c>
      <c r="J918" t="s">
        <v>25</v>
      </c>
    </row>
    <row r="919" spans="1:10" x14ac:dyDescent="0.2">
      <c r="A919" s="1">
        <v>46084</v>
      </c>
      <c r="B919" t="s">
        <v>15</v>
      </c>
      <c r="C919" t="s">
        <v>28</v>
      </c>
      <c r="D919" t="s">
        <v>29</v>
      </c>
      <c r="E919">
        <v>58665</v>
      </c>
      <c r="F919">
        <v>2483</v>
      </c>
      <c r="G919">
        <v>368.19</v>
      </c>
      <c r="H919">
        <v>43562</v>
      </c>
      <c r="I919">
        <v>95</v>
      </c>
      <c r="J919" t="s">
        <v>25</v>
      </c>
    </row>
    <row r="920" spans="1:10" x14ac:dyDescent="0.2">
      <c r="A920" s="1">
        <v>46085</v>
      </c>
      <c r="B920" t="s">
        <v>10</v>
      </c>
      <c r="C920" t="s">
        <v>23</v>
      </c>
      <c r="D920" t="s">
        <v>29</v>
      </c>
      <c r="E920">
        <v>61321</v>
      </c>
      <c r="F920">
        <v>2295</v>
      </c>
      <c r="G920">
        <v>411.36</v>
      </c>
      <c r="H920">
        <v>47283</v>
      </c>
      <c r="I920">
        <v>93</v>
      </c>
      <c r="J920" t="s">
        <v>25</v>
      </c>
    </row>
    <row r="921" spans="1:10" x14ac:dyDescent="0.2">
      <c r="A921" s="1">
        <v>46085</v>
      </c>
      <c r="B921" t="s">
        <v>10</v>
      </c>
      <c r="C921" t="s">
        <v>26</v>
      </c>
      <c r="D921" t="s">
        <v>30</v>
      </c>
      <c r="E921">
        <v>160561</v>
      </c>
      <c r="F921">
        <v>7247</v>
      </c>
      <c r="G921">
        <v>1029.72</v>
      </c>
      <c r="H921">
        <v>134071</v>
      </c>
      <c r="I921">
        <v>323</v>
      </c>
      <c r="J921" t="s">
        <v>25</v>
      </c>
    </row>
    <row r="922" spans="1:10" x14ac:dyDescent="0.2">
      <c r="A922" s="1">
        <v>46085</v>
      </c>
      <c r="B922" t="s">
        <v>15</v>
      </c>
      <c r="C922" t="s">
        <v>27</v>
      </c>
      <c r="D922" t="s">
        <v>24</v>
      </c>
      <c r="E922">
        <v>113352</v>
      </c>
      <c r="F922">
        <v>4864</v>
      </c>
      <c r="G922">
        <v>924.42</v>
      </c>
      <c r="H922">
        <v>87937</v>
      </c>
      <c r="I922">
        <v>167</v>
      </c>
      <c r="J922" t="s">
        <v>25</v>
      </c>
    </row>
    <row r="923" spans="1:10" x14ac:dyDescent="0.2">
      <c r="A923" s="1">
        <v>46085</v>
      </c>
      <c r="B923" t="s">
        <v>15</v>
      </c>
      <c r="C923" t="s">
        <v>28</v>
      </c>
      <c r="D923" t="s">
        <v>30</v>
      </c>
      <c r="E923">
        <v>157255</v>
      </c>
      <c r="F923">
        <v>7202</v>
      </c>
      <c r="G923">
        <v>1355.51</v>
      </c>
      <c r="H923">
        <v>113454</v>
      </c>
      <c r="I923">
        <v>299</v>
      </c>
      <c r="J923" t="s">
        <v>25</v>
      </c>
    </row>
    <row r="924" spans="1:10" x14ac:dyDescent="0.2">
      <c r="A924" s="1">
        <v>46086</v>
      </c>
      <c r="B924" t="s">
        <v>10</v>
      </c>
      <c r="C924" t="s">
        <v>23</v>
      </c>
      <c r="D924" t="s">
        <v>29</v>
      </c>
      <c r="E924">
        <v>162440</v>
      </c>
      <c r="F924">
        <v>6379</v>
      </c>
      <c r="G924">
        <v>1079.1199999999999</v>
      </c>
      <c r="H924">
        <v>135668</v>
      </c>
      <c r="I924">
        <v>281</v>
      </c>
      <c r="J924" t="s">
        <v>25</v>
      </c>
    </row>
    <row r="925" spans="1:10" x14ac:dyDescent="0.2">
      <c r="A925" s="1">
        <v>46086</v>
      </c>
      <c r="B925" t="s">
        <v>10</v>
      </c>
      <c r="C925" t="s">
        <v>26</v>
      </c>
      <c r="D925" t="s">
        <v>24</v>
      </c>
      <c r="E925">
        <v>97120</v>
      </c>
      <c r="F925">
        <v>3768</v>
      </c>
      <c r="G925">
        <v>695.29</v>
      </c>
      <c r="H925">
        <v>71277</v>
      </c>
      <c r="I925">
        <v>211</v>
      </c>
      <c r="J925" t="s">
        <v>25</v>
      </c>
    </row>
    <row r="926" spans="1:10" x14ac:dyDescent="0.2">
      <c r="A926" s="1">
        <v>46086</v>
      </c>
      <c r="B926" t="s">
        <v>15</v>
      </c>
      <c r="C926" t="s">
        <v>27</v>
      </c>
      <c r="D926" t="s">
        <v>29</v>
      </c>
      <c r="E926">
        <v>131047</v>
      </c>
      <c r="F926">
        <v>4975</v>
      </c>
      <c r="G926">
        <v>837.85</v>
      </c>
      <c r="H926">
        <v>99622</v>
      </c>
      <c r="I926">
        <v>239</v>
      </c>
      <c r="J926" t="s">
        <v>25</v>
      </c>
    </row>
    <row r="927" spans="1:10" x14ac:dyDescent="0.2">
      <c r="A927" s="1">
        <v>46086</v>
      </c>
      <c r="B927" t="s">
        <v>15</v>
      </c>
      <c r="C927" t="s">
        <v>28</v>
      </c>
      <c r="D927" t="s">
        <v>29</v>
      </c>
      <c r="E927">
        <v>64528</v>
      </c>
      <c r="F927">
        <v>2875</v>
      </c>
      <c r="G927">
        <v>571.67999999999995</v>
      </c>
      <c r="H927">
        <v>50577</v>
      </c>
      <c r="I927">
        <v>125</v>
      </c>
      <c r="J927" t="s">
        <v>25</v>
      </c>
    </row>
    <row r="928" spans="1:10" x14ac:dyDescent="0.2">
      <c r="A928" s="1">
        <v>46087</v>
      </c>
      <c r="B928" t="s">
        <v>10</v>
      </c>
      <c r="C928" t="s">
        <v>23</v>
      </c>
      <c r="D928" t="s">
        <v>24</v>
      </c>
      <c r="E928">
        <v>71124</v>
      </c>
      <c r="F928">
        <v>2283</v>
      </c>
      <c r="G928">
        <v>449.5</v>
      </c>
      <c r="H928">
        <v>57248</v>
      </c>
      <c r="I928">
        <v>90</v>
      </c>
      <c r="J928" t="s">
        <v>25</v>
      </c>
    </row>
    <row r="929" spans="1:10" x14ac:dyDescent="0.2">
      <c r="A929" s="1">
        <v>46087</v>
      </c>
      <c r="B929" t="s">
        <v>10</v>
      </c>
      <c r="C929" t="s">
        <v>26</v>
      </c>
      <c r="D929" t="s">
        <v>30</v>
      </c>
      <c r="E929">
        <v>119601</v>
      </c>
      <c r="F929">
        <v>3920</v>
      </c>
      <c r="G929">
        <v>615.05999999999995</v>
      </c>
      <c r="H929">
        <v>87857</v>
      </c>
      <c r="I929">
        <v>183</v>
      </c>
      <c r="J929" t="s">
        <v>25</v>
      </c>
    </row>
    <row r="930" spans="1:10" x14ac:dyDescent="0.2">
      <c r="A930" s="1">
        <v>46087</v>
      </c>
      <c r="B930" t="s">
        <v>15</v>
      </c>
      <c r="C930" t="s">
        <v>27</v>
      </c>
      <c r="D930" t="s">
        <v>29</v>
      </c>
      <c r="E930">
        <v>54031</v>
      </c>
      <c r="F930">
        <v>2497</v>
      </c>
      <c r="G930">
        <v>452.41</v>
      </c>
      <c r="H930">
        <v>40538</v>
      </c>
      <c r="I930">
        <v>105</v>
      </c>
      <c r="J930" t="s">
        <v>25</v>
      </c>
    </row>
    <row r="931" spans="1:10" x14ac:dyDescent="0.2">
      <c r="A931" s="1">
        <v>46087</v>
      </c>
      <c r="B931" t="s">
        <v>15</v>
      </c>
      <c r="C931" t="s">
        <v>28</v>
      </c>
      <c r="D931" t="s">
        <v>29</v>
      </c>
      <c r="E931">
        <v>49509</v>
      </c>
      <c r="F931">
        <v>2014</v>
      </c>
      <c r="G931">
        <v>303.56</v>
      </c>
      <c r="H931">
        <v>37766</v>
      </c>
      <c r="I931">
        <v>65</v>
      </c>
      <c r="J931" t="s">
        <v>25</v>
      </c>
    </row>
    <row r="932" spans="1:10" x14ac:dyDescent="0.2">
      <c r="A932" s="1">
        <v>46088</v>
      </c>
      <c r="B932" t="s">
        <v>10</v>
      </c>
      <c r="C932" t="s">
        <v>23</v>
      </c>
      <c r="D932" t="s">
        <v>29</v>
      </c>
      <c r="E932">
        <v>96222</v>
      </c>
      <c r="F932">
        <v>4058</v>
      </c>
      <c r="G932">
        <v>713.18</v>
      </c>
      <c r="H932">
        <v>73404</v>
      </c>
      <c r="I932">
        <v>134</v>
      </c>
      <c r="J932" t="s">
        <v>25</v>
      </c>
    </row>
    <row r="933" spans="1:10" x14ac:dyDescent="0.2">
      <c r="A933" s="1">
        <v>46088</v>
      </c>
      <c r="B933" t="s">
        <v>10</v>
      </c>
      <c r="C933" t="s">
        <v>26</v>
      </c>
      <c r="D933" t="s">
        <v>30</v>
      </c>
      <c r="E933">
        <v>87864</v>
      </c>
      <c r="F933">
        <v>3057</v>
      </c>
      <c r="G933">
        <v>526.11</v>
      </c>
      <c r="H933">
        <v>64591</v>
      </c>
      <c r="I933">
        <v>111</v>
      </c>
      <c r="J933" t="s">
        <v>25</v>
      </c>
    </row>
    <row r="934" spans="1:10" x14ac:dyDescent="0.2">
      <c r="A934" s="1">
        <v>46088</v>
      </c>
      <c r="B934" t="s">
        <v>15</v>
      </c>
      <c r="C934" t="s">
        <v>27</v>
      </c>
      <c r="D934" t="s">
        <v>29</v>
      </c>
      <c r="E934">
        <v>118956</v>
      </c>
      <c r="F934">
        <v>5505</v>
      </c>
      <c r="G934">
        <v>884.78</v>
      </c>
      <c r="H934">
        <v>92186</v>
      </c>
      <c r="I934">
        <v>278</v>
      </c>
      <c r="J934" t="s">
        <v>25</v>
      </c>
    </row>
    <row r="935" spans="1:10" x14ac:dyDescent="0.2">
      <c r="A935" s="1">
        <v>46088</v>
      </c>
      <c r="B935" t="s">
        <v>15</v>
      </c>
      <c r="C935" t="s">
        <v>28</v>
      </c>
      <c r="D935" t="s">
        <v>29</v>
      </c>
      <c r="E935">
        <v>52423</v>
      </c>
      <c r="F935">
        <v>1741</v>
      </c>
      <c r="G935">
        <v>282.68</v>
      </c>
      <c r="H935">
        <v>38667</v>
      </c>
      <c r="I935">
        <v>106</v>
      </c>
      <c r="J935" t="s">
        <v>25</v>
      </c>
    </row>
    <row r="936" spans="1:10" x14ac:dyDescent="0.2">
      <c r="A936" s="1">
        <v>46088</v>
      </c>
      <c r="B936" t="s">
        <v>19</v>
      </c>
      <c r="C936" t="s">
        <v>23</v>
      </c>
      <c r="D936" t="s">
        <v>24</v>
      </c>
      <c r="E936">
        <v>110575</v>
      </c>
      <c r="F936">
        <v>4445</v>
      </c>
      <c r="G936">
        <v>815.76</v>
      </c>
      <c r="H936">
        <v>84095</v>
      </c>
      <c r="I936">
        <v>227</v>
      </c>
      <c r="J936" t="s">
        <v>25</v>
      </c>
    </row>
    <row r="937" spans="1:10" x14ac:dyDescent="0.2">
      <c r="A937" s="1">
        <v>46088</v>
      </c>
      <c r="B937" t="s">
        <v>19</v>
      </c>
      <c r="C937" t="s">
        <v>26</v>
      </c>
      <c r="D937" t="s">
        <v>24</v>
      </c>
      <c r="E937">
        <v>117495</v>
      </c>
      <c r="F937">
        <v>4513</v>
      </c>
      <c r="G937">
        <v>681.62</v>
      </c>
      <c r="H937">
        <v>95125</v>
      </c>
      <c r="I937">
        <v>242</v>
      </c>
      <c r="J937" t="s">
        <v>25</v>
      </c>
    </row>
    <row r="938" spans="1:10" x14ac:dyDescent="0.2">
      <c r="A938" s="1">
        <v>46089</v>
      </c>
      <c r="B938" t="s">
        <v>10</v>
      </c>
      <c r="C938" t="s">
        <v>23</v>
      </c>
      <c r="D938" t="s">
        <v>24</v>
      </c>
      <c r="E938">
        <v>119354</v>
      </c>
      <c r="F938">
        <v>5662</v>
      </c>
      <c r="G938">
        <v>1062.3</v>
      </c>
      <c r="H938">
        <v>94111</v>
      </c>
      <c r="I938">
        <v>350</v>
      </c>
      <c r="J938" t="s">
        <v>25</v>
      </c>
    </row>
    <row r="939" spans="1:10" x14ac:dyDescent="0.2">
      <c r="A939" s="1">
        <v>46089</v>
      </c>
      <c r="B939" t="s">
        <v>10</v>
      </c>
      <c r="C939" t="s">
        <v>26</v>
      </c>
      <c r="D939" t="s">
        <v>24</v>
      </c>
      <c r="E939">
        <v>163796</v>
      </c>
      <c r="F939">
        <v>7335</v>
      </c>
      <c r="G939">
        <v>1191.5999999999999</v>
      </c>
      <c r="H939">
        <v>127228</v>
      </c>
      <c r="I939">
        <v>402</v>
      </c>
      <c r="J939" t="s">
        <v>25</v>
      </c>
    </row>
    <row r="940" spans="1:10" x14ac:dyDescent="0.2">
      <c r="A940" s="1">
        <v>46089</v>
      </c>
      <c r="B940" t="s">
        <v>15</v>
      </c>
      <c r="C940" t="s">
        <v>27</v>
      </c>
      <c r="D940" t="s">
        <v>29</v>
      </c>
      <c r="E940">
        <v>92320</v>
      </c>
      <c r="F940">
        <v>4057</v>
      </c>
      <c r="G940">
        <v>757.44</v>
      </c>
      <c r="H940">
        <v>69537</v>
      </c>
      <c r="I940">
        <v>211</v>
      </c>
      <c r="J940" t="s">
        <v>25</v>
      </c>
    </row>
    <row r="941" spans="1:10" x14ac:dyDescent="0.2">
      <c r="A941" s="1">
        <v>46089</v>
      </c>
      <c r="B941" t="s">
        <v>15</v>
      </c>
      <c r="C941" t="s">
        <v>28</v>
      </c>
      <c r="D941" t="s">
        <v>29</v>
      </c>
      <c r="E941">
        <v>76385</v>
      </c>
      <c r="F941">
        <v>3273</v>
      </c>
      <c r="G941">
        <v>511.77</v>
      </c>
      <c r="H941">
        <v>58729</v>
      </c>
      <c r="I941">
        <v>106</v>
      </c>
      <c r="J941" t="s">
        <v>25</v>
      </c>
    </row>
    <row r="942" spans="1:10" x14ac:dyDescent="0.2">
      <c r="A942" s="1">
        <v>46089</v>
      </c>
      <c r="B942" t="s">
        <v>19</v>
      </c>
      <c r="C942" t="s">
        <v>23</v>
      </c>
      <c r="D942" t="s">
        <v>24</v>
      </c>
      <c r="E942">
        <v>157484</v>
      </c>
      <c r="F942">
        <v>5366</v>
      </c>
      <c r="G942">
        <v>837.22</v>
      </c>
      <c r="H942">
        <v>124709</v>
      </c>
      <c r="I942">
        <v>328</v>
      </c>
      <c r="J942" t="s">
        <v>25</v>
      </c>
    </row>
    <row r="943" spans="1:10" x14ac:dyDescent="0.2">
      <c r="A943" s="1">
        <v>46089</v>
      </c>
      <c r="B943" t="s">
        <v>19</v>
      </c>
      <c r="C943" t="s">
        <v>26</v>
      </c>
      <c r="D943" t="s">
        <v>24</v>
      </c>
      <c r="E943">
        <v>62052</v>
      </c>
      <c r="F943">
        <v>2205</v>
      </c>
      <c r="G943">
        <v>311.08999999999997</v>
      </c>
      <c r="H943">
        <v>47094</v>
      </c>
      <c r="I943">
        <v>74</v>
      </c>
      <c r="J943" t="s">
        <v>25</v>
      </c>
    </row>
    <row r="944" spans="1:10" x14ac:dyDescent="0.2">
      <c r="A944" s="1">
        <v>46090</v>
      </c>
      <c r="B944" t="s">
        <v>10</v>
      </c>
      <c r="C944" t="s">
        <v>23</v>
      </c>
      <c r="D944" t="s">
        <v>29</v>
      </c>
      <c r="E944">
        <v>169573</v>
      </c>
      <c r="F944">
        <v>7358</v>
      </c>
      <c r="G944">
        <v>1395.21</v>
      </c>
      <c r="H944">
        <v>134055</v>
      </c>
      <c r="I944">
        <v>375</v>
      </c>
      <c r="J944" t="s">
        <v>25</v>
      </c>
    </row>
    <row r="945" spans="1:10" x14ac:dyDescent="0.2">
      <c r="A945" s="1">
        <v>46090</v>
      </c>
      <c r="B945" t="s">
        <v>10</v>
      </c>
      <c r="C945" t="s">
        <v>26</v>
      </c>
      <c r="D945" t="s">
        <v>30</v>
      </c>
      <c r="E945">
        <v>137759</v>
      </c>
      <c r="F945">
        <v>5265</v>
      </c>
      <c r="G945">
        <v>1030.8499999999999</v>
      </c>
      <c r="H945">
        <v>99394</v>
      </c>
      <c r="I945">
        <v>222</v>
      </c>
      <c r="J945" t="s">
        <v>25</v>
      </c>
    </row>
    <row r="946" spans="1:10" x14ac:dyDescent="0.2">
      <c r="A946" s="1">
        <v>46090</v>
      </c>
      <c r="B946" t="s">
        <v>15</v>
      </c>
      <c r="C946" t="s">
        <v>27</v>
      </c>
      <c r="D946" t="s">
        <v>29</v>
      </c>
      <c r="E946">
        <v>121219</v>
      </c>
      <c r="F946">
        <v>4173</v>
      </c>
      <c r="G946">
        <v>798.13</v>
      </c>
      <c r="H946">
        <v>94535</v>
      </c>
      <c r="I946">
        <v>200</v>
      </c>
      <c r="J946" t="s">
        <v>25</v>
      </c>
    </row>
    <row r="947" spans="1:10" x14ac:dyDescent="0.2">
      <c r="A947" s="1">
        <v>46090</v>
      </c>
      <c r="B947" t="s">
        <v>15</v>
      </c>
      <c r="C947" t="s">
        <v>28</v>
      </c>
      <c r="D947" t="s">
        <v>30</v>
      </c>
      <c r="E947">
        <v>160171</v>
      </c>
      <c r="F947">
        <v>6125</v>
      </c>
      <c r="G947">
        <v>1005.58</v>
      </c>
      <c r="H947">
        <v>128022</v>
      </c>
      <c r="I947">
        <v>300</v>
      </c>
      <c r="J947" t="s">
        <v>25</v>
      </c>
    </row>
    <row r="948" spans="1:10" x14ac:dyDescent="0.2">
      <c r="A948" s="1">
        <v>46091</v>
      </c>
      <c r="B948" t="s">
        <v>10</v>
      </c>
      <c r="C948" t="s">
        <v>23</v>
      </c>
      <c r="D948" t="s">
        <v>24</v>
      </c>
      <c r="E948">
        <v>153082</v>
      </c>
      <c r="F948">
        <v>6090</v>
      </c>
      <c r="G948">
        <v>1212.5</v>
      </c>
      <c r="H948">
        <v>111745</v>
      </c>
      <c r="I948">
        <v>331</v>
      </c>
      <c r="J948" t="s">
        <v>25</v>
      </c>
    </row>
    <row r="949" spans="1:10" x14ac:dyDescent="0.2">
      <c r="A949" s="1">
        <v>46091</v>
      </c>
      <c r="B949" t="s">
        <v>10</v>
      </c>
      <c r="C949" t="s">
        <v>26</v>
      </c>
      <c r="D949" t="s">
        <v>30</v>
      </c>
      <c r="E949">
        <v>97305</v>
      </c>
      <c r="F949">
        <v>3568</v>
      </c>
      <c r="G949">
        <v>567.03</v>
      </c>
      <c r="H949">
        <v>77935</v>
      </c>
      <c r="I949">
        <v>117</v>
      </c>
      <c r="J949" t="s">
        <v>25</v>
      </c>
    </row>
    <row r="950" spans="1:10" x14ac:dyDescent="0.2">
      <c r="A950" s="1">
        <v>46091</v>
      </c>
      <c r="B950" t="s">
        <v>15</v>
      </c>
      <c r="C950" t="s">
        <v>27</v>
      </c>
      <c r="D950" t="s">
        <v>24</v>
      </c>
      <c r="E950">
        <v>151869</v>
      </c>
      <c r="F950">
        <v>5714</v>
      </c>
      <c r="G950">
        <v>947.91</v>
      </c>
      <c r="H950">
        <v>127493</v>
      </c>
      <c r="I950">
        <v>186</v>
      </c>
      <c r="J950" t="s">
        <v>25</v>
      </c>
    </row>
    <row r="951" spans="1:10" x14ac:dyDescent="0.2">
      <c r="A951" s="1">
        <v>46091</v>
      </c>
      <c r="B951" t="s">
        <v>15</v>
      </c>
      <c r="C951" t="s">
        <v>28</v>
      </c>
      <c r="D951" t="s">
        <v>29</v>
      </c>
      <c r="E951">
        <v>140312</v>
      </c>
      <c r="F951">
        <v>6160</v>
      </c>
      <c r="G951">
        <v>1228.19</v>
      </c>
      <c r="H951">
        <v>107343</v>
      </c>
      <c r="I951">
        <v>296</v>
      </c>
      <c r="J951" t="s">
        <v>25</v>
      </c>
    </row>
    <row r="952" spans="1:10" x14ac:dyDescent="0.2">
      <c r="A952" s="1">
        <v>46092</v>
      </c>
      <c r="B952" t="s">
        <v>10</v>
      </c>
      <c r="C952" t="s">
        <v>23</v>
      </c>
      <c r="D952" t="s">
        <v>29</v>
      </c>
      <c r="E952">
        <v>148948</v>
      </c>
      <c r="F952">
        <v>7027</v>
      </c>
      <c r="G952">
        <v>1035.8499999999999</v>
      </c>
      <c r="H952">
        <v>114316</v>
      </c>
      <c r="I952">
        <v>269</v>
      </c>
      <c r="J952" t="s">
        <v>25</v>
      </c>
    </row>
    <row r="953" spans="1:10" x14ac:dyDescent="0.2">
      <c r="A953" s="1">
        <v>46092</v>
      </c>
      <c r="B953" t="s">
        <v>10</v>
      </c>
      <c r="C953" t="s">
        <v>26</v>
      </c>
      <c r="D953" t="s">
        <v>24</v>
      </c>
      <c r="E953">
        <v>142750</v>
      </c>
      <c r="F953">
        <v>5228</v>
      </c>
      <c r="G953">
        <v>1003.22</v>
      </c>
      <c r="H953">
        <v>115916</v>
      </c>
      <c r="I953">
        <v>321</v>
      </c>
      <c r="J953" t="s">
        <v>25</v>
      </c>
    </row>
    <row r="954" spans="1:10" x14ac:dyDescent="0.2">
      <c r="A954" s="1">
        <v>46092</v>
      </c>
      <c r="B954" t="s">
        <v>15</v>
      </c>
      <c r="C954" t="s">
        <v>27</v>
      </c>
      <c r="D954" t="s">
        <v>29</v>
      </c>
      <c r="E954">
        <v>139227</v>
      </c>
      <c r="F954">
        <v>5365</v>
      </c>
      <c r="G954">
        <v>992.94</v>
      </c>
      <c r="H954">
        <v>107230</v>
      </c>
      <c r="I954">
        <v>268</v>
      </c>
      <c r="J954" t="s">
        <v>25</v>
      </c>
    </row>
    <row r="955" spans="1:10" x14ac:dyDescent="0.2">
      <c r="A955" s="1">
        <v>46092</v>
      </c>
      <c r="B955" t="s">
        <v>15</v>
      </c>
      <c r="C955" t="s">
        <v>28</v>
      </c>
      <c r="D955" t="s">
        <v>29</v>
      </c>
      <c r="E955">
        <v>107382</v>
      </c>
      <c r="F955">
        <v>4519</v>
      </c>
      <c r="G955">
        <v>812.76</v>
      </c>
      <c r="H955">
        <v>86165</v>
      </c>
      <c r="I955">
        <v>230</v>
      </c>
      <c r="J955" t="s">
        <v>25</v>
      </c>
    </row>
    <row r="956" spans="1:10" x14ac:dyDescent="0.2">
      <c r="A956" s="1">
        <v>46093</v>
      </c>
      <c r="B956" t="s">
        <v>10</v>
      </c>
      <c r="C956" t="s">
        <v>23</v>
      </c>
      <c r="D956" t="s">
        <v>29</v>
      </c>
      <c r="E956">
        <v>131089</v>
      </c>
      <c r="F956">
        <v>5318</v>
      </c>
      <c r="G956">
        <v>869.65</v>
      </c>
      <c r="H956">
        <v>107897</v>
      </c>
      <c r="I956">
        <v>249</v>
      </c>
      <c r="J956" t="s">
        <v>25</v>
      </c>
    </row>
    <row r="957" spans="1:10" x14ac:dyDescent="0.2">
      <c r="A957" s="1">
        <v>46093</v>
      </c>
      <c r="B957" t="s">
        <v>10</v>
      </c>
      <c r="C957" t="s">
        <v>26</v>
      </c>
      <c r="D957" t="s">
        <v>30</v>
      </c>
      <c r="E957">
        <v>94279</v>
      </c>
      <c r="F957">
        <v>4263</v>
      </c>
      <c r="G957">
        <v>711.78</v>
      </c>
      <c r="H957">
        <v>78333</v>
      </c>
      <c r="I957">
        <v>159</v>
      </c>
      <c r="J957" t="s">
        <v>25</v>
      </c>
    </row>
    <row r="958" spans="1:10" x14ac:dyDescent="0.2">
      <c r="A958" s="1">
        <v>46093</v>
      </c>
      <c r="B958" t="s">
        <v>15</v>
      </c>
      <c r="C958" t="s">
        <v>27</v>
      </c>
      <c r="D958" t="s">
        <v>29</v>
      </c>
      <c r="E958">
        <v>46068</v>
      </c>
      <c r="F958">
        <v>1866</v>
      </c>
      <c r="G958">
        <v>298.64</v>
      </c>
      <c r="H958">
        <v>35734</v>
      </c>
      <c r="I958">
        <v>69</v>
      </c>
      <c r="J958" t="s">
        <v>25</v>
      </c>
    </row>
    <row r="959" spans="1:10" x14ac:dyDescent="0.2">
      <c r="A959" s="1">
        <v>46093</v>
      </c>
      <c r="B959" t="s">
        <v>15</v>
      </c>
      <c r="C959" t="s">
        <v>28</v>
      </c>
      <c r="D959" t="s">
        <v>30</v>
      </c>
      <c r="E959">
        <v>110819</v>
      </c>
      <c r="F959">
        <v>4574</v>
      </c>
      <c r="G959">
        <v>755.1</v>
      </c>
      <c r="H959">
        <v>85351</v>
      </c>
      <c r="I959">
        <v>172</v>
      </c>
      <c r="J959" t="s">
        <v>25</v>
      </c>
    </row>
    <row r="960" spans="1:10" x14ac:dyDescent="0.2">
      <c r="A960" s="1">
        <v>46094</v>
      </c>
      <c r="B960" t="s">
        <v>10</v>
      </c>
      <c r="C960" t="s">
        <v>23</v>
      </c>
      <c r="D960" t="s">
        <v>24</v>
      </c>
      <c r="E960">
        <v>150952</v>
      </c>
      <c r="F960">
        <v>5371</v>
      </c>
      <c r="G960">
        <v>948.42</v>
      </c>
      <c r="H960">
        <v>117803</v>
      </c>
      <c r="I960">
        <v>184</v>
      </c>
      <c r="J960" t="s">
        <v>25</v>
      </c>
    </row>
    <row r="961" spans="1:10" x14ac:dyDescent="0.2">
      <c r="A961" s="1">
        <v>46094</v>
      </c>
      <c r="B961" t="s">
        <v>10</v>
      </c>
      <c r="C961" t="s">
        <v>26</v>
      </c>
      <c r="D961" t="s">
        <v>30</v>
      </c>
      <c r="E961">
        <v>49389</v>
      </c>
      <c r="F961">
        <v>1837</v>
      </c>
      <c r="G961">
        <v>284.73</v>
      </c>
      <c r="H961">
        <v>38934</v>
      </c>
      <c r="I961">
        <v>84</v>
      </c>
      <c r="J961" t="s">
        <v>25</v>
      </c>
    </row>
    <row r="962" spans="1:10" x14ac:dyDescent="0.2">
      <c r="A962" s="1">
        <v>46094</v>
      </c>
      <c r="B962" t="s">
        <v>15</v>
      </c>
      <c r="C962" t="s">
        <v>27</v>
      </c>
      <c r="D962" t="s">
        <v>24</v>
      </c>
      <c r="E962">
        <v>108595</v>
      </c>
      <c r="F962">
        <v>3514</v>
      </c>
      <c r="G962">
        <v>618.75</v>
      </c>
      <c r="H962">
        <v>88481</v>
      </c>
      <c r="I962">
        <v>153</v>
      </c>
      <c r="J962" t="s">
        <v>25</v>
      </c>
    </row>
    <row r="963" spans="1:10" x14ac:dyDescent="0.2">
      <c r="A963" s="1">
        <v>46094</v>
      </c>
      <c r="B963" t="s">
        <v>15</v>
      </c>
      <c r="C963" t="s">
        <v>28</v>
      </c>
      <c r="D963" t="s">
        <v>30</v>
      </c>
      <c r="E963">
        <v>72997</v>
      </c>
      <c r="F963">
        <v>2870</v>
      </c>
      <c r="G963">
        <v>526.30999999999995</v>
      </c>
      <c r="H963">
        <v>54654</v>
      </c>
      <c r="I963">
        <v>132</v>
      </c>
      <c r="J963" t="s">
        <v>25</v>
      </c>
    </row>
    <row r="964" spans="1:10" x14ac:dyDescent="0.2">
      <c r="A964" s="1">
        <v>46095</v>
      </c>
      <c r="B964" t="s">
        <v>10</v>
      </c>
      <c r="C964" t="s">
        <v>23</v>
      </c>
      <c r="D964" t="s">
        <v>24</v>
      </c>
      <c r="E964">
        <v>100490</v>
      </c>
      <c r="F964">
        <v>3428</v>
      </c>
      <c r="G964">
        <v>493.25</v>
      </c>
      <c r="H964">
        <v>72725</v>
      </c>
      <c r="I964">
        <v>169</v>
      </c>
      <c r="J964" t="s">
        <v>25</v>
      </c>
    </row>
    <row r="965" spans="1:10" x14ac:dyDescent="0.2">
      <c r="A965" s="1">
        <v>46095</v>
      </c>
      <c r="B965" t="s">
        <v>10</v>
      </c>
      <c r="C965" t="s">
        <v>26</v>
      </c>
      <c r="D965" t="s">
        <v>30</v>
      </c>
      <c r="E965">
        <v>87253</v>
      </c>
      <c r="F965">
        <v>3746</v>
      </c>
      <c r="G965">
        <v>624.16</v>
      </c>
      <c r="H965">
        <v>65354</v>
      </c>
      <c r="I965">
        <v>139</v>
      </c>
      <c r="J965" t="s">
        <v>25</v>
      </c>
    </row>
    <row r="966" spans="1:10" x14ac:dyDescent="0.2">
      <c r="A966" s="1">
        <v>46095</v>
      </c>
      <c r="B966" t="s">
        <v>15</v>
      </c>
      <c r="C966" t="s">
        <v>27</v>
      </c>
      <c r="D966" t="s">
        <v>29</v>
      </c>
      <c r="E966">
        <v>130733</v>
      </c>
      <c r="F966">
        <v>5525</v>
      </c>
      <c r="G966">
        <v>1039.92</v>
      </c>
      <c r="H966">
        <v>107272</v>
      </c>
      <c r="I966">
        <v>321</v>
      </c>
      <c r="J966" t="s">
        <v>25</v>
      </c>
    </row>
    <row r="967" spans="1:10" x14ac:dyDescent="0.2">
      <c r="A967" s="1">
        <v>46095</v>
      </c>
      <c r="B967" t="s">
        <v>15</v>
      </c>
      <c r="C967" t="s">
        <v>28</v>
      </c>
      <c r="D967" t="s">
        <v>30</v>
      </c>
      <c r="E967">
        <v>87222</v>
      </c>
      <c r="F967">
        <v>3436</v>
      </c>
      <c r="G967">
        <v>679.46</v>
      </c>
      <c r="H967">
        <v>62871</v>
      </c>
      <c r="I967">
        <v>113</v>
      </c>
      <c r="J967" t="s">
        <v>25</v>
      </c>
    </row>
    <row r="968" spans="1:10" x14ac:dyDescent="0.2">
      <c r="A968" s="1">
        <v>46095</v>
      </c>
      <c r="B968" t="s">
        <v>19</v>
      </c>
      <c r="C968" t="s">
        <v>23</v>
      </c>
      <c r="D968" t="s">
        <v>24</v>
      </c>
      <c r="E968">
        <v>134063</v>
      </c>
      <c r="F968">
        <v>6425</v>
      </c>
      <c r="G968">
        <v>1231.8699999999999</v>
      </c>
      <c r="H968">
        <v>97657</v>
      </c>
      <c r="I968">
        <v>285</v>
      </c>
      <c r="J968" t="s">
        <v>25</v>
      </c>
    </row>
    <row r="969" spans="1:10" x14ac:dyDescent="0.2">
      <c r="A969" s="1">
        <v>46095</v>
      </c>
      <c r="B969" t="s">
        <v>19</v>
      </c>
      <c r="C969" t="s">
        <v>26</v>
      </c>
      <c r="D969" t="s">
        <v>24</v>
      </c>
      <c r="E969">
        <v>167497</v>
      </c>
      <c r="F969">
        <v>6799</v>
      </c>
      <c r="G969">
        <v>1243.8599999999999</v>
      </c>
      <c r="H969">
        <v>132797</v>
      </c>
      <c r="I969">
        <v>419</v>
      </c>
      <c r="J969" t="s">
        <v>25</v>
      </c>
    </row>
    <row r="970" spans="1:10" x14ac:dyDescent="0.2">
      <c r="A970" s="1">
        <v>46096</v>
      </c>
      <c r="B970" t="s">
        <v>10</v>
      </c>
      <c r="C970" t="s">
        <v>23</v>
      </c>
      <c r="D970" t="s">
        <v>24</v>
      </c>
      <c r="E970">
        <v>120220</v>
      </c>
      <c r="F970">
        <v>4771</v>
      </c>
      <c r="G970">
        <v>875.77</v>
      </c>
      <c r="H970">
        <v>90784</v>
      </c>
      <c r="I970">
        <v>209</v>
      </c>
      <c r="J970" t="s">
        <v>25</v>
      </c>
    </row>
    <row r="971" spans="1:10" x14ac:dyDescent="0.2">
      <c r="A971" s="1">
        <v>46096</v>
      </c>
      <c r="B971" t="s">
        <v>10</v>
      </c>
      <c r="C971" t="s">
        <v>26</v>
      </c>
      <c r="D971" t="s">
        <v>24</v>
      </c>
      <c r="E971">
        <v>107416</v>
      </c>
      <c r="F971">
        <v>4123</v>
      </c>
      <c r="G971">
        <v>806.64</v>
      </c>
      <c r="H971">
        <v>85450</v>
      </c>
      <c r="I971">
        <v>186</v>
      </c>
      <c r="J971" t="s">
        <v>25</v>
      </c>
    </row>
    <row r="972" spans="1:10" x14ac:dyDescent="0.2">
      <c r="A972" s="1">
        <v>46096</v>
      </c>
      <c r="B972" t="s">
        <v>15</v>
      </c>
      <c r="C972" t="s">
        <v>27</v>
      </c>
      <c r="D972" t="s">
        <v>24</v>
      </c>
      <c r="E972">
        <v>63156</v>
      </c>
      <c r="F972">
        <v>2168</v>
      </c>
      <c r="G972">
        <v>337.67</v>
      </c>
      <c r="H972">
        <v>51726</v>
      </c>
      <c r="I972">
        <v>118</v>
      </c>
      <c r="J972" t="s">
        <v>25</v>
      </c>
    </row>
    <row r="973" spans="1:10" x14ac:dyDescent="0.2">
      <c r="A973" s="1">
        <v>46096</v>
      </c>
      <c r="B973" t="s">
        <v>15</v>
      </c>
      <c r="C973" t="s">
        <v>28</v>
      </c>
      <c r="D973" t="s">
        <v>30</v>
      </c>
      <c r="E973">
        <v>168522</v>
      </c>
      <c r="F973">
        <v>5848</v>
      </c>
      <c r="G973">
        <v>963.6</v>
      </c>
      <c r="H973">
        <v>128208</v>
      </c>
      <c r="I973">
        <v>347</v>
      </c>
      <c r="J973" t="s">
        <v>25</v>
      </c>
    </row>
    <row r="974" spans="1:10" x14ac:dyDescent="0.2">
      <c r="A974" s="1">
        <v>46096</v>
      </c>
      <c r="B974" t="s">
        <v>19</v>
      </c>
      <c r="C974" t="s">
        <v>23</v>
      </c>
      <c r="D974" t="s">
        <v>24</v>
      </c>
      <c r="E974">
        <v>81296</v>
      </c>
      <c r="F974">
        <v>2945</v>
      </c>
      <c r="G974">
        <v>470.62</v>
      </c>
      <c r="H974">
        <v>65300</v>
      </c>
      <c r="I974">
        <v>134</v>
      </c>
      <c r="J974" t="s">
        <v>25</v>
      </c>
    </row>
    <row r="975" spans="1:10" x14ac:dyDescent="0.2">
      <c r="A975" s="1">
        <v>46096</v>
      </c>
      <c r="B975" t="s">
        <v>19</v>
      </c>
      <c r="C975" t="s">
        <v>26</v>
      </c>
      <c r="D975" t="s">
        <v>24</v>
      </c>
      <c r="E975">
        <v>173721</v>
      </c>
      <c r="F975">
        <v>6239</v>
      </c>
      <c r="G975">
        <v>970.79</v>
      </c>
      <c r="H975">
        <v>131234</v>
      </c>
      <c r="I975">
        <v>282</v>
      </c>
      <c r="J975" t="s">
        <v>25</v>
      </c>
    </row>
    <row r="976" spans="1:10" x14ac:dyDescent="0.2">
      <c r="A976" s="1">
        <v>46096</v>
      </c>
      <c r="B976" t="s">
        <v>21</v>
      </c>
      <c r="C976" t="s">
        <v>23</v>
      </c>
      <c r="D976" t="s">
        <v>24</v>
      </c>
      <c r="E976">
        <v>164699</v>
      </c>
      <c r="F976">
        <v>5950</v>
      </c>
      <c r="G976">
        <v>931.28</v>
      </c>
      <c r="H976">
        <v>119289</v>
      </c>
      <c r="I976">
        <v>215</v>
      </c>
      <c r="J976" t="s">
        <v>25</v>
      </c>
    </row>
    <row r="977" spans="1:10" x14ac:dyDescent="0.2">
      <c r="A977" s="1">
        <v>46096</v>
      </c>
      <c r="B977" t="s">
        <v>21</v>
      </c>
      <c r="C977" t="s">
        <v>26</v>
      </c>
      <c r="D977" t="s">
        <v>29</v>
      </c>
      <c r="E977">
        <v>49920</v>
      </c>
      <c r="F977">
        <v>1773</v>
      </c>
      <c r="G977">
        <v>287.67</v>
      </c>
      <c r="H977">
        <v>38115</v>
      </c>
      <c r="I977">
        <v>72</v>
      </c>
      <c r="J977" t="s">
        <v>25</v>
      </c>
    </row>
    <row r="978" spans="1:10" x14ac:dyDescent="0.2">
      <c r="A978" s="1">
        <v>46097</v>
      </c>
      <c r="B978" t="s">
        <v>10</v>
      </c>
      <c r="C978" t="s">
        <v>23</v>
      </c>
      <c r="D978" t="s">
        <v>24</v>
      </c>
      <c r="E978">
        <v>142221</v>
      </c>
      <c r="F978">
        <v>5993</v>
      </c>
      <c r="G978">
        <v>1009.92</v>
      </c>
      <c r="H978">
        <v>109906</v>
      </c>
      <c r="I978">
        <v>244</v>
      </c>
      <c r="J978" t="s">
        <v>25</v>
      </c>
    </row>
    <row r="979" spans="1:10" x14ac:dyDescent="0.2">
      <c r="A979" s="1">
        <v>46097</v>
      </c>
      <c r="B979" t="s">
        <v>10</v>
      </c>
      <c r="C979" t="s">
        <v>26</v>
      </c>
      <c r="D979" t="s">
        <v>24</v>
      </c>
      <c r="E979">
        <v>70466</v>
      </c>
      <c r="F979">
        <v>2939</v>
      </c>
      <c r="G979">
        <v>562.96</v>
      </c>
      <c r="H979">
        <v>52911</v>
      </c>
      <c r="I979">
        <v>114</v>
      </c>
      <c r="J979" t="s">
        <v>25</v>
      </c>
    </row>
    <row r="980" spans="1:10" x14ac:dyDescent="0.2">
      <c r="A980" s="1">
        <v>46097</v>
      </c>
      <c r="B980" t="s">
        <v>15</v>
      </c>
      <c r="C980" t="s">
        <v>27</v>
      </c>
      <c r="D980" t="s">
        <v>24</v>
      </c>
      <c r="E980">
        <v>144878</v>
      </c>
      <c r="F980">
        <v>5338</v>
      </c>
      <c r="G980">
        <v>934.44</v>
      </c>
      <c r="H980">
        <v>108822</v>
      </c>
      <c r="I980">
        <v>286</v>
      </c>
      <c r="J980" t="s">
        <v>25</v>
      </c>
    </row>
    <row r="981" spans="1:10" x14ac:dyDescent="0.2">
      <c r="A981" s="1">
        <v>46097</v>
      </c>
      <c r="B981" t="s">
        <v>15</v>
      </c>
      <c r="C981" t="s">
        <v>28</v>
      </c>
      <c r="D981" t="s">
        <v>29</v>
      </c>
      <c r="E981">
        <v>126772</v>
      </c>
      <c r="F981">
        <v>5311</v>
      </c>
      <c r="G981">
        <v>797.84</v>
      </c>
      <c r="H981">
        <v>96512</v>
      </c>
      <c r="I981">
        <v>194</v>
      </c>
      <c r="J981" t="s">
        <v>25</v>
      </c>
    </row>
    <row r="982" spans="1:10" x14ac:dyDescent="0.2">
      <c r="A982" s="1">
        <v>46097</v>
      </c>
      <c r="B982" t="s">
        <v>21</v>
      </c>
      <c r="C982" t="s">
        <v>23</v>
      </c>
      <c r="D982" t="s">
        <v>24</v>
      </c>
      <c r="E982">
        <v>134672</v>
      </c>
      <c r="F982">
        <v>5116</v>
      </c>
      <c r="G982">
        <v>981.89</v>
      </c>
      <c r="H982">
        <v>104805</v>
      </c>
      <c r="I982">
        <v>189</v>
      </c>
      <c r="J982" t="s">
        <v>25</v>
      </c>
    </row>
    <row r="983" spans="1:10" x14ac:dyDescent="0.2">
      <c r="A983" s="1">
        <v>46097</v>
      </c>
      <c r="B983" t="s">
        <v>21</v>
      </c>
      <c r="C983" t="s">
        <v>26</v>
      </c>
      <c r="D983" t="s">
        <v>29</v>
      </c>
      <c r="E983">
        <v>75384</v>
      </c>
      <c r="F983">
        <v>2996</v>
      </c>
      <c r="G983">
        <v>487.73</v>
      </c>
      <c r="H983">
        <v>60325</v>
      </c>
      <c r="I983">
        <v>101</v>
      </c>
      <c r="J983" t="s">
        <v>25</v>
      </c>
    </row>
    <row r="984" spans="1:10" x14ac:dyDescent="0.2">
      <c r="A984" s="1">
        <v>46098</v>
      </c>
      <c r="B984" t="s">
        <v>10</v>
      </c>
      <c r="C984" t="s">
        <v>23</v>
      </c>
      <c r="D984" t="s">
        <v>24</v>
      </c>
      <c r="E984">
        <v>98203</v>
      </c>
      <c r="F984">
        <v>3466</v>
      </c>
      <c r="G984">
        <v>516.45000000000005</v>
      </c>
      <c r="H984">
        <v>77878</v>
      </c>
      <c r="I984">
        <v>186</v>
      </c>
      <c r="J984" t="s">
        <v>25</v>
      </c>
    </row>
    <row r="985" spans="1:10" x14ac:dyDescent="0.2">
      <c r="A985" s="1">
        <v>46098</v>
      </c>
      <c r="B985" t="s">
        <v>10</v>
      </c>
      <c r="C985" t="s">
        <v>26</v>
      </c>
      <c r="D985" t="s">
        <v>24</v>
      </c>
      <c r="E985">
        <v>156254</v>
      </c>
      <c r="F985">
        <v>5492</v>
      </c>
      <c r="G985">
        <v>933.24</v>
      </c>
      <c r="H985">
        <v>123179</v>
      </c>
      <c r="I985">
        <v>280</v>
      </c>
      <c r="J985" t="s">
        <v>25</v>
      </c>
    </row>
    <row r="986" spans="1:10" x14ac:dyDescent="0.2">
      <c r="A986" s="1">
        <v>46098</v>
      </c>
      <c r="B986" t="s">
        <v>15</v>
      </c>
      <c r="C986" t="s">
        <v>27</v>
      </c>
      <c r="D986" t="s">
        <v>24</v>
      </c>
      <c r="E986">
        <v>172656</v>
      </c>
      <c r="F986">
        <v>7861</v>
      </c>
      <c r="G986">
        <v>1469.89</v>
      </c>
      <c r="H986">
        <v>135171</v>
      </c>
      <c r="I986">
        <v>305</v>
      </c>
      <c r="J986" t="s">
        <v>25</v>
      </c>
    </row>
    <row r="987" spans="1:10" x14ac:dyDescent="0.2">
      <c r="A987" s="1">
        <v>46098</v>
      </c>
      <c r="B987" t="s">
        <v>15</v>
      </c>
      <c r="C987" t="s">
        <v>28</v>
      </c>
      <c r="D987" t="s">
        <v>30</v>
      </c>
      <c r="E987">
        <v>107447</v>
      </c>
      <c r="F987">
        <v>4580</v>
      </c>
      <c r="G987">
        <v>750.71</v>
      </c>
      <c r="H987">
        <v>78636</v>
      </c>
      <c r="I987">
        <v>191</v>
      </c>
      <c r="J987" t="s">
        <v>25</v>
      </c>
    </row>
    <row r="988" spans="1:10" x14ac:dyDescent="0.2">
      <c r="A988" s="1">
        <v>46098</v>
      </c>
      <c r="B988" t="s">
        <v>21</v>
      </c>
      <c r="C988" t="s">
        <v>23</v>
      </c>
      <c r="D988" t="s">
        <v>24</v>
      </c>
      <c r="E988">
        <v>91756</v>
      </c>
      <c r="F988">
        <v>3748</v>
      </c>
      <c r="G988">
        <v>644.98</v>
      </c>
      <c r="H988">
        <v>74226</v>
      </c>
      <c r="I988">
        <v>218</v>
      </c>
      <c r="J988" t="s">
        <v>25</v>
      </c>
    </row>
    <row r="989" spans="1:10" x14ac:dyDescent="0.2">
      <c r="A989" s="1">
        <v>46098</v>
      </c>
      <c r="B989" t="s">
        <v>21</v>
      </c>
      <c r="C989" t="s">
        <v>26</v>
      </c>
      <c r="D989" t="s">
        <v>29</v>
      </c>
      <c r="E989">
        <v>121603</v>
      </c>
      <c r="F989">
        <v>4993</v>
      </c>
      <c r="G989">
        <v>773.31</v>
      </c>
      <c r="H989">
        <v>91290</v>
      </c>
      <c r="I989">
        <v>270</v>
      </c>
      <c r="J989" t="s">
        <v>25</v>
      </c>
    </row>
    <row r="990" spans="1:10" x14ac:dyDescent="0.2">
      <c r="A990" s="1">
        <v>46099</v>
      </c>
      <c r="B990" t="s">
        <v>10</v>
      </c>
      <c r="C990" t="s">
        <v>23</v>
      </c>
      <c r="D990" t="s">
        <v>24</v>
      </c>
      <c r="E990">
        <v>84406</v>
      </c>
      <c r="F990">
        <v>3632</v>
      </c>
      <c r="G990">
        <v>607.87</v>
      </c>
      <c r="H990">
        <v>61179</v>
      </c>
      <c r="I990">
        <v>182</v>
      </c>
      <c r="J990" t="s">
        <v>25</v>
      </c>
    </row>
    <row r="991" spans="1:10" x14ac:dyDescent="0.2">
      <c r="A991" s="1">
        <v>46099</v>
      </c>
      <c r="B991" t="s">
        <v>10</v>
      </c>
      <c r="C991" t="s">
        <v>26</v>
      </c>
      <c r="D991" t="s">
        <v>30</v>
      </c>
      <c r="E991">
        <v>61066</v>
      </c>
      <c r="F991">
        <v>2680</v>
      </c>
      <c r="G991">
        <v>493.12</v>
      </c>
      <c r="H991">
        <v>50690</v>
      </c>
      <c r="I991">
        <v>158</v>
      </c>
      <c r="J991" t="s">
        <v>25</v>
      </c>
    </row>
    <row r="992" spans="1:10" x14ac:dyDescent="0.2">
      <c r="A992" s="1">
        <v>46099</v>
      </c>
      <c r="B992" t="s">
        <v>15</v>
      </c>
      <c r="C992" t="s">
        <v>27</v>
      </c>
      <c r="D992" t="s">
        <v>24</v>
      </c>
      <c r="E992">
        <v>134539</v>
      </c>
      <c r="F992">
        <v>4956</v>
      </c>
      <c r="G992">
        <v>755.61</v>
      </c>
      <c r="H992">
        <v>100806</v>
      </c>
      <c r="I992">
        <v>271</v>
      </c>
      <c r="J992" t="s">
        <v>25</v>
      </c>
    </row>
    <row r="993" spans="1:10" x14ac:dyDescent="0.2">
      <c r="A993" s="1">
        <v>46099</v>
      </c>
      <c r="B993" t="s">
        <v>15</v>
      </c>
      <c r="C993" t="s">
        <v>28</v>
      </c>
      <c r="D993" t="s">
        <v>29</v>
      </c>
      <c r="E993">
        <v>124607</v>
      </c>
      <c r="F993">
        <v>4183</v>
      </c>
      <c r="G993">
        <v>806.89</v>
      </c>
      <c r="H993">
        <v>90480</v>
      </c>
      <c r="I993">
        <v>232</v>
      </c>
      <c r="J993" t="s">
        <v>25</v>
      </c>
    </row>
    <row r="994" spans="1:10" x14ac:dyDescent="0.2">
      <c r="A994" s="1">
        <v>46099</v>
      </c>
      <c r="B994" t="s">
        <v>21</v>
      </c>
      <c r="C994" t="s">
        <v>23</v>
      </c>
      <c r="D994" t="s">
        <v>24</v>
      </c>
      <c r="E994">
        <v>78968</v>
      </c>
      <c r="F994">
        <v>3131</v>
      </c>
      <c r="G994">
        <v>521.35</v>
      </c>
      <c r="H994">
        <v>61367</v>
      </c>
      <c r="I994">
        <v>109</v>
      </c>
      <c r="J994" t="s">
        <v>25</v>
      </c>
    </row>
    <row r="995" spans="1:10" x14ac:dyDescent="0.2">
      <c r="A995" s="1">
        <v>46099</v>
      </c>
      <c r="B995" t="s">
        <v>21</v>
      </c>
      <c r="C995" t="s">
        <v>26</v>
      </c>
      <c r="D995" t="s">
        <v>29</v>
      </c>
      <c r="E995">
        <v>147444</v>
      </c>
      <c r="F995">
        <v>5867</v>
      </c>
      <c r="G995">
        <v>1021.8</v>
      </c>
      <c r="H995">
        <v>116452</v>
      </c>
      <c r="I995">
        <v>339</v>
      </c>
      <c r="J995" t="s">
        <v>25</v>
      </c>
    </row>
    <row r="996" spans="1:10" x14ac:dyDescent="0.2">
      <c r="A996" s="1">
        <v>46100</v>
      </c>
      <c r="B996" t="s">
        <v>10</v>
      </c>
      <c r="C996" t="s">
        <v>23</v>
      </c>
      <c r="D996" t="s">
        <v>24</v>
      </c>
      <c r="E996">
        <v>168179</v>
      </c>
      <c r="F996">
        <v>7767</v>
      </c>
      <c r="G996">
        <v>1449.66</v>
      </c>
      <c r="H996">
        <v>125020</v>
      </c>
      <c r="I996">
        <v>436</v>
      </c>
      <c r="J996" t="s">
        <v>25</v>
      </c>
    </row>
    <row r="997" spans="1:10" x14ac:dyDescent="0.2">
      <c r="A997" s="1">
        <v>46100</v>
      </c>
      <c r="B997" t="s">
        <v>10</v>
      </c>
      <c r="C997" t="s">
        <v>26</v>
      </c>
      <c r="D997" t="s">
        <v>30</v>
      </c>
      <c r="E997">
        <v>45583</v>
      </c>
      <c r="F997">
        <v>1642</v>
      </c>
      <c r="G997">
        <v>269.99</v>
      </c>
      <c r="H997">
        <v>34300</v>
      </c>
      <c r="I997">
        <v>83</v>
      </c>
      <c r="J997" t="s">
        <v>25</v>
      </c>
    </row>
    <row r="998" spans="1:10" x14ac:dyDescent="0.2">
      <c r="A998" s="1">
        <v>46100</v>
      </c>
      <c r="B998" t="s">
        <v>15</v>
      </c>
      <c r="C998" t="s">
        <v>27</v>
      </c>
      <c r="D998" t="s">
        <v>29</v>
      </c>
      <c r="E998">
        <v>131938</v>
      </c>
      <c r="F998">
        <v>5242</v>
      </c>
      <c r="G998">
        <v>823.13</v>
      </c>
      <c r="H998">
        <v>105211</v>
      </c>
      <c r="I998">
        <v>209</v>
      </c>
      <c r="J998" t="s">
        <v>25</v>
      </c>
    </row>
    <row r="999" spans="1:10" x14ac:dyDescent="0.2">
      <c r="A999" s="1">
        <v>46100</v>
      </c>
      <c r="B999" t="s">
        <v>15</v>
      </c>
      <c r="C999" t="s">
        <v>28</v>
      </c>
      <c r="D999" t="s">
        <v>30</v>
      </c>
      <c r="E999">
        <v>103628</v>
      </c>
      <c r="F999">
        <v>3772</v>
      </c>
      <c r="G999">
        <v>655.11</v>
      </c>
      <c r="H999">
        <v>78452</v>
      </c>
      <c r="I999">
        <v>170</v>
      </c>
      <c r="J999" t="s">
        <v>25</v>
      </c>
    </row>
    <row r="1000" spans="1:10" x14ac:dyDescent="0.2">
      <c r="A1000" s="1">
        <v>46100</v>
      </c>
      <c r="B1000" t="s">
        <v>21</v>
      </c>
      <c r="C1000" t="s">
        <v>23</v>
      </c>
      <c r="D1000" t="s">
        <v>24</v>
      </c>
      <c r="E1000">
        <v>128580</v>
      </c>
      <c r="F1000">
        <v>4127</v>
      </c>
      <c r="G1000">
        <v>799</v>
      </c>
      <c r="H1000">
        <v>100439</v>
      </c>
      <c r="I1000">
        <v>193</v>
      </c>
      <c r="J1000" t="s">
        <v>25</v>
      </c>
    </row>
    <row r="1001" spans="1:10" x14ac:dyDescent="0.2">
      <c r="A1001" s="1">
        <v>46100</v>
      </c>
      <c r="B1001" t="s">
        <v>21</v>
      </c>
      <c r="C1001" t="s">
        <v>26</v>
      </c>
      <c r="D1001" t="s">
        <v>29</v>
      </c>
      <c r="E1001">
        <v>56670</v>
      </c>
      <c r="F1001">
        <v>2502</v>
      </c>
      <c r="G1001">
        <v>451.31</v>
      </c>
      <c r="H1001">
        <v>41445</v>
      </c>
      <c r="I1001">
        <v>144</v>
      </c>
      <c r="J1001" t="s">
        <v>25</v>
      </c>
    </row>
    <row r="1002" spans="1:10" x14ac:dyDescent="0.2">
      <c r="A1002" s="1">
        <v>46101</v>
      </c>
      <c r="B1002" t="s">
        <v>10</v>
      </c>
      <c r="C1002" t="s">
        <v>23</v>
      </c>
      <c r="D1002" t="s">
        <v>29</v>
      </c>
      <c r="E1002">
        <v>154190</v>
      </c>
      <c r="F1002">
        <v>6628</v>
      </c>
      <c r="G1002">
        <v>1255.03</v>
      </c>
      <c r="H1002">
        <v>114598</v>
      </c>
      <c r="I1002">
        <v>233</v>
      </c>
      <c r="J1002" t="s">
        <v>25</v>
      </c>
    </row>
    <row r="1003" spans="1:10" x14ac:dyDescent="0.2">
      <c r="A1003" s="1">
        <v>46101</v>
      </c>
      <c r="B1003" t="s">
        <v>10</v>
      </c>
      <c r="C1003" t="s">
        <v>26</v>
      </c>
      <c r="D1003" t="s">
        <v>24</v>
      </c>
      <c r="E1003">
        <v>81829</v>
      </c>
      <c r="F1003">
        <v>3020</v>
      </c>
      <c r="G1003">
        <v>478.14</v>
      </c>
      <c r="H1003">
        <v>66442</v>
      </c>
      <c r="I1003">
        <v>139</v>
      </c>
      <c r="J1003" t="s">
        <v>25</v>
      </c>
    </row>
    <row r="1004" spans="1:10" x14ac:dyDescent="0.2">
      <c r="A1004" s="1">
        <v>46101</v>
      </c>
      <c r="B1004" t="s">
        <v>15</v>
      </c>
      <c r="C1004" t="s">
        <v>27</v>
      </c>
      <c r="D1004" t="s">
        <v>29</v>
      </c>
      <c r="E1004">
        <v>149358</v>
      </c>
      <c r="F1004">
        <v>5281</v>
      </c>
      <c r="G1004">
        <v>952.23</v>
      </c>
      <c r="H1004">
        <v>113340</v>
      </c>
      <c r="I1004">
        <v>199</v>
      </c>
      <c r="J1004" t="s">
        <v>25</v>
      </c>
    </row>
    <row r="1005" spans="1:10" x14ac:dyDescent="0.2">
      <c r="A1005" s="1">
        <v>46101</v>
      </c>
      <c r="B1005" t="s">
        <v>15</v>
      </c>
      <c r="C1005" t="s">
        <v>28</v>
      </c>
      <c r="D1005" t="s">
        <v>29</v>
      </c>
      <c r="E1005">
        <v>74769</v>
      </c>
      <c r="F1005">
        <v>3412</v>
      </c>
      <c r="G1005">
        <v>602.58000000000004</v>
      </c>
      <c r="H1005">
        <v>55243</v>
      </c>
      <c r="I1005">
        <v>207</v>
      </c>
      <c r="J1005" t="s">
        <v>25</v>
      </c>
    </row>
    <row r="1006" spans="1:10" x14ac:dyDescent="0.2">
      <c r="A1006" s="1">
        <v>46101</v>
      </c>
      <c r="B1006" t="s">
        <v>21</v>
      </c>
      <c r="C1006" t="s">
        <v>23</v>
      </c>
      <c r="D1006" t="s">
        <v>24</v>
      </c>
      <c r="E1006">
        <v>156850</v>
      </c>
      <c r="F1006">
        <v>6512</v>
      </c>
      <c r="G1006">
        <v>1074.57</v>
      </c>
      <c r="H1006">
        <v>126605</v>
      </c>
      <c r="I1006">
        <v>253</v>
      </c>
      <c r="J1006" t="s">
        <v>25</v>
      </c>
    </row>
    <row r="1007" spans="1:10" x14ac:dyDescent="0.2">
      <c r="A1007" s="1">
        <v>46101</v>
      </c>
      <c r="B1007" t="s">
        <v>21</v>
      </c>
      <c r="C1007" t="s">
        <v>26</v>
      </c>
      <c r="D1007" t="s">
        <v>29</v>
      </c>
      <c r="E1007">
        <v>125921</v>
      </c>
      <c r="F1007">
        <v>5911</v>
      </c>
      <c r="G1007">
        <v>1123.48</v>
      </c>
      <c r="H1007">
        <v>96265</v>
      </c>
      <c r="I1007">
        <v>243</v>
      </c>
      <c r="J1007" t="s">
        <v>25</v>
      </c>
    </row>
    <row r="1008" spans="1:10" x14ac:dyDescent="0.2">
      <c r="A1008" s="1">
        <v>46102</v>
      </c>
      <c r="B1008" t="s">
        <v>10</v>
      </c>
      <c r="C1008" t="s">
        <v>23</v>
      </c>
      <c r="D1008" t="s">
        <v>29</v>
      </c>
      <c r="E1008">
        <v>172478</v>
      </c>
      <c r="F1008">
        <v>6389</v>
      </c>
      <c r="G1008">
        <v>1012.54</v>
      </c>
      <c r="H1008">
        <v>135842</v>
      </c>
      <c r="I1008">
        <v>350</v>
      </c>
      <c r="J1008" t="s">
        <v>25</v>
      </c>
    </row>
    <row r="1009" spans="1:10" x14ac:dyDescent="0.2">
      <c r="A1009" s="1">
        <v>46102</v>
      </c>
      <c r="B1009" t="s">
        <v>10</v>
      </c>
      <c r="C1009" t="s">
        <v>26</v>
      </c>
      <c r="D1009" t="s">
        <v>24</v>
      </c>
      <c r="E1009">
        <v>175377</v>
      </c>
      <c r="F1009">
        <v>8249</v>
      </c>
      <c r="G1009">
        <v>1182.23</v>
      </c>
      <c r="H1009">
        <v>134874</v>
      </c>
      <c r="I1009">
        <v>423</v>
      </c>
      <c r="J1009" t="s">
        <v>25</v>
      </c>
    </row>
    <row r="1010" spans="1:10" x14ac:dyDescent="0.2">
      <c r="A1010" s="1">
        <v>46102</v>
      </c>
      <c r="B1010" t="s">
        <v>15</v>
      </c>
      <c r="C1010" t="s">
        <v>27</v>
      </c>
      <c r="D1010" t="s">
        <v>24</v>
      </c>
      <c r="E1010">
        <v>123350</v>
      </c>
      <c r="F1010">
        <v>5461</v>
      </c>
      <c r="G1010">
        <v>770.92</v>
      </c>
      <c r="H1010">
        <v>99237</v>
      </c>
      <c r="I1010">
        <v>208</v>
      </c>
      <c r="J1010" t="s">
        <v>25</v>
      </c>
    </row>
    <row r="1011" spans="1:10" x14ac:dyDescent="0.2">
      <c r="A1011" s="1">
        <v>46102</v>
      </c>
      <c r="B1011" t="s">
        <v>15</v>
      </c>
      <c r="C1011" t="s">
        <v>28</v>
      </c>
      <c r="D1011" t="s">
        <v>29</v>
      </c>
      <c r="E1011">
        <v>95730</v>
      </c>
      <c r="F1011">
        <v>4338</v>
      </c>
      <c r="G1011">
        <v>613.48</v>
      </c>
      <c r="H1011">
        <v>73836</v>
      </c>
      <c r="I1011">
        <v>188</v>
      </c>
      <c r="J1011" t="s">
        <v>25</v>
      </c>
    </row>
    <row r="1012" spans="1:10" x14ac:dyDescent="0.2">
      <c r="A1012" s="1">
        <v>46102</v>
      </c>
      <c r="B1012" t="s">
        <v>19</v>
      </c>
      <c r="C1012" t="s">
        <v>23</v>
      </c>
      <c r="D1012" t="s">
        <v>24</v>
      </c>
      <c r="E1012">
        <v>82130</v>
      </c>
      <c r="F1012">
        <v>3439</v>
      </c>
      <c r="G1012">
        <v>572.27</v>
      </c>
      <c r="H1012">
        <v>61833</v>
      </c>
      <c r="I1012">
        <v>117</v>
      </c>
      <c r="J1012" t="s">
        <v>25</v>
      </c>
    </row>
    <row r="1013" spans="1:10" x14ac:dyDescent="0.2">
      <c r="A1013" s="1">
        <v>46102</v>
      </c>
      <c r="B1013" t="s">
        <v>19</v>
      </c>
      <c r="C1013" t="s">
        <v>26</v>
      </c>
      <c r="D1013" t="s">
        <v>29</v>
      </c>
      <c r="E1013">
        <v>100959</v>
      </c>
      <c r="F1013">
        <v>4398</v>
      </c>
      <c r="G1013">
        <v>864.16</v>
      </c>
      <c r="H1013">
        <v>79873</v>
      </c>
      <c r="I1013">
        <v>266</v>
      </c>
      <c r="J1013" t="s">
        <v>25</v>
      </c>
    </row>
    <row r="1014" spans="1:10" x14ac:dyDescent="0.2">
      <c r="A1014" s="1">
        <v>46102</v>
      </c>
      <c r="B1014" t="s">
        <v>21</v>
      </c>
      <c r="C1014" t="s">
        <v>23</v>
      </c>
      <c r="D1014" t="s">
        <v>24</v>
      </c>
      <c r="E1014">
        <v>157860</v>
      </c>
      <c r="F1014">
        <v>6036</v>
      </c>
      <c r="G1014">
        <v>1192.6199999999999</v>
      </c>
      <c r="H1014">
        <v>127042</v>
      </c>
      <c r="I1014">
        <v>238</v>
      </c>
      <c r="J1014" t="s">
        <v>25</v>
      </c>
    </row>
    <row r="1015" spans="1:10" x14ac:dyDescent="0.2">
      <c r="A1015" s="1">
        <v>46102</v>
      </c>
      <c r="B1015" t="s">
        <v>21</v>
      </c>
      <c r="C1015" t="s">
        <v>26</v>
      </c>
      <c r="D1015" t="s">
        <v>29</v>
      </c>
      <c r="E1015">
        <v>55606</v>
      </c>
      <c r="F1015">
        <v>1869</v>
      </c>
      <c r="G1015">
        <v>333.39</v>
      </c>
      <c r="H1015">
        <v>41878</v>
      </c>
      <c r="I1015">
        <v>80</v>
      </c>
      <c r="J1015" t="s">
        <v>25</v>
      </c>
    </row>
    <row r="1016" spans="1:10" x14ac:dyDescent="0.2">
      <c r="A1016" s="1">
        <v>46103</v>
      </c>
      <c r="B1016" t="s">
        <v>10</v>
      </c>
      <c r="C1016" t="s">
        <v>23</v>
      </c>
      <c r="D1016" t="s">
        <v>29</v>
      </c>
      <c r="E1016">
        <v>64418</v>
      </c>
      <c r="F1016">
        <v>2547</v>
      </c>
      <c r="G1016">
        <v>491.19</v>
      </c>
      <c r="H1016">
        <v>46952</v>
      </c>
      <c r="I1016">
        <v>156</v>
      </c>
      <c r="J1016" t="s">
        <v>25</v>
      </c>
    </row>
    <row r="1017" spans="1:10" x14ac:dyDescent="0.2">
      <c r="A1017" s="1">
        <v>46103</v>
      </c>
      <c r="B1017" t="s">
        <v>10</v>
      </c>
      <c r="C1017" t="s">
        <v>26</v>
      </c>
      <c r="D1017" t="s">
        <v>30</v>
      </c>
      <c r="E1017">
        <v>71360</v>
      </c>
      <c r="F1017">
        <v>3281</v>
      </c>
      <c r="G1017">
        <v>575.45000000000005</v>
      </c>
      <c r="H1017">
        <v>56295</v>
      </c>
      <c r="I1017">
        <v>160</v>
      </c>
      <c r="J1017" t="s">
        <v>25</v>
      </c>
    </row>
    <row r="1018" spans="1:10" x14ac:dyDescent="0.2">
      <c r="A1018" s="1">
        <v>46103</v>
      </c>
      <c r="B1018" t="s">
        <v>15</v>
      </c>
      <c r="C1018" t="s">
        <v>27</v>
      </c>
      <c r="D1018" t="s">
        <v>29</v>
      </c>
      <c r="E1018">
        <v>87284</v>
      </c>
      <c r="F1018">
        <v>3250</v>
      </c>
      <c r="G1018">
        <v>561.58000000000004</v>
      </c>
      <c r="H1018">
        <v>69764</v>
      </c>
      <c r="I1018">
        <v>158</v>
      </c>
      <c r="J1018" t="s">
        <v>25</v>
      </c>
    </row>
    <row r="1019" spans="1:10" x14ac:dyDescent="0.2">
      <c r="A1019" s="1">
        <v>46103</v>
      </c>
      <c r="B1019" t="s">
        <v>15</v>
      </c>
      <c r="C1019" t="s">
        <v>28</v>
      </c>
      <c r="D1019" t="s">
        <v>29</v>
      </c>
      <c r="E1019">
        <v>162997</v>
      </c>
      <c r="F1019">
        <v>5272</v>
      </c>
      <c r="G1019">
        <v>982.31</v>
      </c>
      <c r="H1019">
        <v>118687</v>
      </c>
      <c r="I1019">
        <v>293</v>
      </c>
      <c r="J1019" t="s">
        <v>25</v>
      </c>
    </row>
    <row r="1020" spans="1:10" x14ac:dyDescent="0.2">
      <c r="A1020" s="1">
        <v>46103</v>
      </c>
      <c r="B1020" t="s">
        <v>19</v>
      </c>
      <c r="C1020" t="s">
        <v>23</v>
      </c>
      <c r="D1020" t="s">
        <v>24</v>
      </c>
      <c r="E1020">
        <v>107051</v>
      </c>
      <c r="F1020">
        <v>4975</v>
      </c>
      <c r="G1020">
        <v>829.58</v>
      </c>
      <c r="H1020">
        <v>88440</v>
      </c>
      <c r="I1020">
        <v>186</v>
      </c>
      <c r="J1020" t="s">
        <v>25</v>
      </c>
    </row>
    <row r="1021" spans="1:10" x14ac:dyDescent="0.2">
      <c r="A1021" s="1">
        <v>46103</v>
      </c>
      <c r="B1021" t="s">
        <v>19</v>
      </c>
      <c r="C1021" t="s">
        <v>26</v>
      </c>
      <c r="D1021" t="s">
        <v>24</v>
      </c>
      <c r="E1021">
        <v>84294</v>
      </c>
      <c r="F1021">
        <v>3318</v>
      </c>
      <c r="G1021">
        <v>530.82000000000005</v>
      </c>
      <c r="H1021">
        <v>67546</v>
      </c>
      <c r="I1021">
        <v>176</v>
      </c>
      <c r="J1021" t="s">
        <v>25</v>
      </c>
    </row>
    <row r="1022" spans="1:10" x14ac:dyDescent="0.2">
      <c r="A1022" s="1">
        <v>46103</v>
      </c>
      <c r="B1022" t="s">
        <v>21</v>
      </c>
      <c r="C1022" t="s">
        <v>23</v>
      </c>
      <c r="D1022" t="s">
        <v>24</v>
      </c>
      <c r="E1022">
        <v>148352</v>
      </c>
      <c r="F1022">
        <v>6521</v>
      </c>
      <c r="G1022">
        <v>921.99</v>
      </c>
      <c r="H1022">
        <v>108935</v>
      </c>
      <c r="I1022">
        <v>289</v>
      </c>
      <c r="J1022" t="s">
        <v>25</v>
      </c>
    </row>
    <row r="1023" spans="1:10" x14ac:dyDescent="0.2">
      <c r="A1023" s="1">
        <v>46103</v>
      </c>
      <c r="B1023" t="s">
        <v>21</v>
      </c>
      <c r="C1023" t="s">
        <v>26</v>
      </c>
      <c r="D1023" t="s">
        <v>29</v>
      </c>
      <c r="E1023">
        <v>128371</v>
      </c>
      <c r="F1023">
        <v>5747</v>
      </c>
      <c r="G1023">
        <v>1091.3599999999999</v>
      </c>
      <c r="H1023">
        <v>93355</v>
      </c>
      <c r="I1023">
        <v>354</v>
      </c>
      <c r="J1023" t="s">
        <v>25</v>
      </c>
    </row>
    <row r="1024" spans="1:10" x14ac:dyDescent="0.2">
      <c r="A1024" s="1">
        <v>46104</v>
      </c>
      <c r="B1024" t="s">
        <v>10</v>
      </c>
      <c r="C1024" t="s">
        <v>23</v>
      </c>
      <c r="D1024" t="s">
        <v>29</v>
      </c>
      <c r="E1024">
        <v>48259</v>
      </c>
      <c r="F1024">
        <v>1981</v>
      </c>
      <c r="G1024">
        <v>395.68</v>
      </c>
      <c r="H1024">
        <v>40304</v>
      </c>
      <c r="I1024">
        <v>115</v>
      </c>
      <c r="J1024" t="s">
        <v>25</v>
      </c>
    </row>
    <row r="1025" spans="1:10" x14ac:dyDescent="0.2">
      <c r="A1025" s="1">
        <v>46104</v>
      </c>
      <c r="B1025" t="s">
        <v>10</v>
      </c>
      <c r="C1025" t="s">
        <v>26</v>
      </c>
      <c r="D1025" t="s">
        <v>30</v>
      </c>
      <c r="E1025">
        <v>137308</v>
      </c>
      <c r="F1025">
        <v>5474</v>
      </c>
      <c r="G1025">
        <v>955.15</v>
      </c>
      <c r="H1025">
        <v>109314</v>
      </c>
      <c r="I1025">
        <v>295</v>
      </c>
      <c r="J1025" t="s">
        <v>25</v>
      </c>
    </row>
    <row r="1026" spans="1:10" x14ac:dyDescent="0.2">
      <c r="A1026" s="1">
        <v>46104</v>
      </c>
      <c r="B1026" t="s">
        <v>15</v>
      </c>
      <c r="C1026" t="s">
        <v>27</v>
      </c>
      <c r="D1026" t="s">
        <v>24</v>
      </c>
      <c r="E1026">
        <v>140628</v>
      </c>
      <c r="F1026">
        <v>6256</v>
      </c>
      <c r="G1026">
        <v>1075.44</v>
      </c>
      <c r="H1026">
        <v>114728</v>
      </c>
      <c r="I1026">
        <v>359</v>
      </c>
      <c r="J1026" t="s">
        <v>25</v>
      </c>
    </row>
    <row r="1027" spans="1:10" x14ac:dyDescent="0.2">
      <c r="A1027" s="1">
        <v>46104</v>
      </c>
      <c r="B1027" t="s">
        <v>15</v>
      </c>
      <c r="C1027" t="s">
        <v>28</v>
      </c>
      <c r="D1027" t="s">
        <v>30</v>
      </c>
      <c r="E1027">
        <v>143292</v>
      </c>
      <c r="F1027">
        <v>6700</v>
      </c>
      <c r="G1027">
        <v>1183.23</v>
      </c>
      <c r="H1027">
        <v>120244</v>
      </c>
      <c r="I1027">
        <v>365</v>
      </c>
      <c r="J1027" t="s">
        <v>25</v>
      </c>
    </row>
    <row r="1028" spans="1:10" x14ac:dyDescent="0.2">
      <c r="A1028" s="1">
        <v>46104</v>
      </c>
      <c r="B1028" t="s">
        <v>21</v>
      </c>
      <c r="C1028" t="s">
        <v>23</v>
      </c>
      <c r="D1028" t="s">
        <v>24</v>
      </c>
      <c r="E1028">
        <v>92675</v>
      </c>
      <c r="F1028">
        <v>3656</v>
      </c>
      <c r="G1028">
        <v>706.93</v>
      </c>
      <c r="H1028">
        <v>77784</v>
      </c>
      <c r="I1028">
        <v>133</v>
      </c>
      <c r="J1028" t="s">
        <v>25</v>
      </c>
    </row>
    <row r="1029" spans="1:10" x14ac:dyDescent="0.2">
      <c r="A1029" s="1">
        <v>46104</v>
      </c>
      <c r="B1029" t="s">
        <v>21</v>
      </c>
      <c r="C1029" t="s">
        <v>26</v>
      </c>
      <c r="D1029" t="s">
        <v>29</v>
      </c>
      <c r="E1029">
        <v>57942</v>
      </c>
      <c r="F1029">
        <v>2022</v>
      </c>
      <c r="G1029">
        <v>352.87</v>
      </c>
      <c r="H1029">
        <v>44875</v>
      </c>
      <c r="I1029">
        <v>112</v>
      </c>
      <c r="J1029" t="s">
        <v>25</v>
      </c>
    </row>
    <row r="1030" spans="1:10" x14ac:dyDescent="0.2">
      <c r="A1030" s="1">
        <v>46105</v>
      </c>
      <c r="B1030" t="s">
        <v>10</v>
      </c>
      <c r="C1030" t="s">
        <v>23</v>
      </c>
      <c r="D1030" t="s">
        <v>29</v>
      </c>
      <c r="E1030">
        <v>49159</v>
      </c>
      <c r="F1030">
        <v>1888</v>
      </c>
      <c r="G1030">
        <v>297.60000000000002</v>
      </c>
      <c r="H1030">
        <v>39073</v>
      </c>
      <c r="I1030">
        <v>82</v>
      </c>
      <c r="J1030" t="s">
        <v>25</v>
      </c>
    </row>
    <row r="1031" spans="1:10" x14ac:dyDescent="0.2">
      <c r="A1031" s="1">
        <v>46105</v>
      </c>
      <c r="B1031" t="s">
        <v>10</v>
      </c>
      <c r="C1031" t="s">
        <v>26</v>
      </c>
      <c r="D1031" t="s">
        <v>24</v>
      </c>
      <c r="E1031">
        <v>83877</v>
      </c>
      <c r="F1031">
        <v>3116</v>
      </c>
      <c r="G1031">
        <v>464.38</v>
      </c>
      <c r="H1031">
        <v>69003</v>
      </c>
      <c r="I1031">
        <v>154</v>
      </c>
      <c r="J1031" t="s">
        <v>25</v>
      </c>
    </row>
    <row r="1032" spans="1:10" x14ac:dyDescent="0.2">
      <c r="A1032" s="1">
        <v>46105</v>
      </c>
      <c r="B1032" t="s">
        <v>15</v>
      </c>
      <c r="C1032" t="s">
        <v>27</v>
      </c>
      <c r="D1032" t="s">
        <v>29</v>
      </c>
      <c r="E1032">
        <v>136211</v>
      </c>
      <c r="F1032">
        <v>5356</v>
      </c>
      <c r="G1032">
        <v>963.67</v>
      </c>
      <c r="H1032">
        <v>110656</v>
      </c>
      <c r="I1032">
        <v>263</v>
      </c>
      <c r="J1032" t="s">
        <v>25</v>
      </c>
    </row>
    <row r="1033" spans="1:10" x14ac:dyDescent="0.2">
      <c r="A1033" s="1">
        <v>46105</v>
      </c>
      <c r="B1033" t="s">
        <v>15</v>
      </c>
      <c r="C1033" t="s">
        <v>28</v>
      </c>
      <c r="D1033" t="s">
        <v>29</v>
      </c>
      <c r="E1033">
        <v>167313</v>
      </c>
      <c r="F1033">
        <v>7675</v>
      </c>
      <c r="G1033">
        <v>1144.77</v>
      </c>
      <c r="H1033">
        <v>135985</v>
      </c>
      <c r="I1033">
        <v>293</v>
      </c>
      <c r="J1033" t="s">
        <v>25</v>
      </c>
    </row>
    <row r="1034" spans="1:10" x14ac:dyDescent="0.2">
      <c r="A1034" s="1">
        <v>46105</v>
      </c>
      <c r="B1034" t="s">
        <v>21</v>
      </c>
      <c r="C1034" t="s">
        <v>23</v>
      </c>
      <c r="D1034" t="s">
        <v>24</v>
      </c>
      <c r="E1034">
        <v>62691</v>
      </c>
      <c r="F1034">
        <v>2032</v>
      </c>
      <c r="G1034">
        <v>357.87</v>
      </c>
      <c r="H1034">
        <v>51492</v>
      </c>
      <c r="I1034">
        <v>112</v>
      </c>
      <c r="J1034" t="s">
        <v>25</v>
      </c>
    </row>
    <row r="1035" spans="1:10" x14ac:dyDescent="0.2">
      <c r="A1035" s="1">
        <v>46105</v>
      </c>
      <c r="B1035" t="s">
        <v>21</v>
      </c>
      <c r="C1035" t="s">
        <v>26</v>
      </c>
      <c r="D1035" t="s">
        <v>29</v>
      </c>
      <c r="E1035">
        <v>57301</v>
      </c>
      <c r="F1035">
        <v>2133</v>
      </c>
      <c r="G1035">
        <v>338.98</v>
      </c>
      <c r="H1035">
        <v>42838</v>
      </c>
      <c r="I1035">
        <v>81</v>
      </c>
      <c r="J1035" t="s">
        <v>25</v>
      </c>
    </row>
    <row r="1036" spans="1:10" x14ac:dyDescent="0.2">
      <c r="A1036" s="1">
        <v>46106</v>
      </c>
      <c r="B1036" t="s">
        <v>10</v>
      </c>
      <c r="C1036" t="s">
        <v>23</v>
      </c>
      <c r="D1036" t="s">
        <v>29</v>
      </c>
      <c r="E1036">
        <v>73322</v>
      </c>
      <c r="F1036">
        <v>2844</v>
      </c>
      <c r="G1036">
        <v>444.42</v>
      </c>
      <c r="H1036">
        <v>61030</v>
      </c>
      <c r="I1036">
        <v>109</v>
      </c>
      <c r="J1036" t="s">
        <v>25</v>
      </c>
    </row>
    <row r="1037" spans="1:10" x14ac:dyDescent="0.2">
      <c r="A1037" s="1">
        <v>46106</v>
      </c>
      <c r="B1037" t="s">
        <v>10</v>
      </c>
      <c r="C1037" t="s">
        <v>26</v>
      </c>
      <c r="D1037" t="s">
        <v>30</v>
      </c>
      <c r="E1037">
        <v>50150</v>
      </c>
      <c r="F1037">
        <v>1714</v>
      </c>
      <c r="G1037">
        <v>332.4</v>
      </c>
      <c r="H1037">
        <v>38753</v>
      </c>
      <c r="I1037">
        <v>97</v>
      </c>
      <c r="J1037" t="s">
        <v>25</v>
      </c>
    </row>
    <row r="1038" spans="1:10" x14ac:dyDescent="0.2">
      <c r="A1038" s="1">
        <v>46106</v>
      </c>
      <c r="B1038" t="s">
        <v>15</v>
      </c>
      <c r="C1038" t="s">
        <v>27</v>
      </c>
      <c r="D1038" t="s">
        <v>29</v>
      </c>
      <c r="E1038">
        <v>49831</v>
      </c>
      <c r="F1038">
        <v>1948</v>
      </c>
      <c r="G1038">
        <v>359.67</v>
      </c>
      <c r="H1038">
        <v>40302</v>
      </c>
      <c r="I1038">
        <v>84</v>
      </c>
      <c r="J1038" t="s">
        <v>25</v>
      </c>
    </row>
    <row r="1039" spans="1:10" x14ac:dyDescent="0.2">
      <c r="A1039" s="1">
        <v>46106</v>
      </c>
      <c r="B1039" t="s">
        <v>15</v>
      </c>
      <c r="C1039" t="s">
        <v>28</v>
      </c>
      <c r="D1039" t="s">
        <v>29</v>
      </c>
      <c r="E1039">
        <v>120225</v>
      </c>
      <c r="F1039">
        <v>4615</v>
      </c>
      <c r="G1039">
        <v>703.04</v>
      </c>
      <c r="H1039">
        <v>92051</v>
      </c>
      <c r="I1039">
        <v>260</v>
      </c>
      <c r="J1039" t="s">
        <v>25</v>
      </c>
    </row>
    <row r="1040" spans="1:10" x14ac:dyDescent="0.2">
      <c r="A1040" s="1">
        <v>46106</v>
      </c>
      <c r="B1040" t="s">
        <v>21</v>
      </c>
      <c r="C1040" t="s">
        <v>23</v>
      </c>
      <c r="D1040" t="s">
        <v>24</v>
      </c>
      <c r="E1040">
        <v>75335</v>
      </c>
      <c r="F1040">
        <v>3021</v>
      </c>
      <c r="G1040">
        <v>527.76</v>
      </c>
      <c r="H1040">
        <v>58910</v>
      </c>
      <c r="I1040">
        <v>111</v>
      </c>
      <c r="J1040" t="s">
        <v>25</v>
      </c>
    </row>
    <row r="1041" spans="1:10" x14ac:dyDescent="0.2">
      <c r="A1041" s="1">
        <v>46106</v>
      </c>
      <c r="B1041" t="s">
        <v>21</v>
      </c>
      <c r="C1041" t="s">
        <v>26</v>
      </c>
      <c r="D1041" t="s">
        <v>29</v>
      </c>
      <c r="E1041">
        <v>66007</v>
      </c>
      <c r="F1041">
        <v>3105</v>
      </c>
      <c r="G1041">
        <v>572.67999999999995</v>
      </c>
      <c r="H1041">
        <v>50363</v>
      </c>
      <c r="I1041">
        <v>192</v>
      </c>
      <c r="J1041" t="s">
        <v>25</v>
      </c>
    </row>
    <row r="1042" spans="1:10" x14ac:dyDescent="0.2">
      <c r="A1042" s="1">
        <v>46107</v>
      </c>
      <c r="B1042" t="s">
        <v>10</v>
      </c>
      <c r="C1042" t="s">
        <v>23</v>
      </c>
      <c r="D1042" t="s">
        <v>29</v>
      </c>
      <c r="E1042">
        <v>78041</v>
      </c>
      <c r="F1042">
        <v>2759</v>
      </c>
      <c r="G1042">
        <v>401.29</v>
      </c>
      <c r="H1042">
        <v>60936</v>
      </c>
      <c r="I1042">
        <v>127</v>
      </c>
      <c r="J1042" t="s">
        <v>25</v>
      </c>
    </row>
    <row r="1043" spans="1:10" x14ac:dyDescent="0.2">
      <c r="A1043" s="1">
        <v>46107</v>
      </c>
      <c r="B1043" t="s">
        <v>10</v>
      </c>
      <c r="C1043" t="s">
        <v>26</v>
      </c>
      <c r="D1043" t="s">
        <v>24</v>
      </c>
      <c r="E1043">
        <v>123360</v>
      </c>
      <c r="F1043">
        <v>3979</v>
      </c>
      <c r="G1043">
        <v>647.79</v>
      </c>
      <c r="H1043">
        <v>95036</v>
      </c>
      <c r="I1043">
        <v>242</v>
      </c>
      <c r="J1043" t="s">
        <v>25</v>
      </c>
    </row>
    <row r="1044" spans="1:10" x14ac:dyDescent="0.2">
      <c r="A1044" s="1">
        <v>46107</v>
      </c>
      <c r="B1044" t="s">
        <v>15</v>
      </c>
      <c r="C1044" t="s">
        <v>27</v>
      </c>
      <c r="D1044" t="s">
        <v>24</v>
      </c>
      <c r="E1044">
        <v>105934</v>
      </c>
      <c r="F1044">
        <v>4000</v>
      </c>
      <c r="G1044">
        <v>634.4</v>
      </c>
      <c r="H1044">
        <v>77102</v>
      </c>
      <c r="I1044">
        <v>241</v>
      </c>
      <c r="J1044" t="s">
        <v>25</v>
      </c>
    </row>
    <row r="1045" spans="1:10" x14ac:dyDescent="0.2">
      <c r="A1045" s="1">
        <v>46107</v>
      </c>
      <c r="B1045" t="s">
        <v>15</v>
      </c>
      <c r="C1045" t="s">
        <v>28</v>
      </c>
      <c r="D1045" t="s">
        <v>29</v>
      </c>
      <c r="E1045">
        <v>84580</v>
      </c>
      <c r="F1045">
        <v>4059</v>
      </c>
      <c r="G1045">
        <v>588.83000000000004</v>
      </c>
      <c r="H1045">
        <v>67429</v>
      </c>
      <c r="I1045">
        <v>177</v>
      </c>
      <c r="J1045" t="s">
        <v>25</v>
      </c>
    </row>
    <row r="1046" spans="1:10" x14ac:dyDescent="0.2">
      <c r="A1046" s="1">
        <v>46107</v>
      </c>
      <c r="B1046" t="s">
        <v>21</v>
      </c>
      <c r="C1046" t="s">
        <v>23</v>
      </c>
      <c r="D1046" t="s">
        <v>24</v>
      </c>
      <c r="E1046">
        <v>48200</v>
      </c>
      <c r="F1046">
        <v>2276</v>
      </c>
      <c r="G1046">
        <v>356.16</v>
      </c>
      <c r="H1046">
        <v>38448</v>
      </c>
      <c r="I1046">
        <v>94</v>
      </c>
      <c r="J1046" t="s">
        <v>25</v>
      </c>
    </row>
    <row r="1047" spans="1:10" x14ac:dyDescent="0.2">
      <c r="A1047" s="1">
        <v>46107</v>
      </c>
      <c r="B1047" t="s">
        <v>21</v>
      </c>
      <c r="C1047" t="s">
        <v>26</v>
      </c>
      <c r="D1047" t="s">
        <v>29</v>
      </c>
      <c r="E1047">
        <v>87926</v>
      </c>
      <c r="F1047">
        <v>3063</v>
      </c>
      <c r="G1047">
        <v>430.52</v>
      </c>
      <c r="H1047">
        <v>68778</v>
      </c>
      <c r="I1047">
        <v>110</v>
      </c>
      <c r="J1047" t="s">
        <v>25</v>
      </c>
    </row>
    <row r="1048" spans="1:10" x14ac:dyDescent="0.2">
      <c r="A1048" s="1">
        <v>46108</v>
      </c>
      <c r="B1048" t="s">
        <v>10</v>
      </c>
      <c r="C1048" t="s">
        <v>23</v>
      </c>
      <c r="D1048" t="s">
        <v>29</v>
      </c>
      <c r="E1048">
        <v>175388</v>
      </c>
      <c r="F1048">
        <v>5721</v>
      </c>
      <c r="G1048">
        <v>1005.59</v>
      </c>
      <c r="H1048">
        <v>130695</v>
      </c>
      <c r="I1048">
        <v>310</v>
      </c>
      <c r="J1048" t="s">
        <v>25</v>
      </c>
    </row>
    <row r="1049" spans="1:10" x14ac:dyDescent="0.2">
      <c r="A1049" s="1">
        <v>46108</v>
      </c>
      <c r="B1049" t="s">
        <v>10</v>
      </c>
      <c r="C1049" t="s">
        <v>26</v>
      </c>
      <c r="D1049" t="s">
        <v>30</v>
      </c>
      <c r="E1049">
        <v>108834</v>
      </c>
      <c r="F1049">
        <v>4558</v>
      </c>
      <c r="G1049">
        <v>863.26</v>
      </c>
      <c r="H1049">
        <v>83835</v>
      </c>
      <c r="I1049">
        <v>169</v>
      </c>
      <c r="J1049" t="s">
        <v>25</v>
      </c>
    </row>
    <row r="1050" spans="1:10" x14ac:dyDescent="0.2">
      <c r="A1050" s="1">
        <v>46108</v>
      </c>
      <c r="B1050" t="s">
        <v>15</v>
      </c>
      <c r="C1050" t="s">
        <v>27</v>
      </c>
      <c r="D1050" t="s">
        <v>24</v>
      </c>
      <c r="E1050">
        <v>171926</v>
      </c>
      <c r="F1050">
        <v>7728</v>
      </c>
      <c r="G1050">
        <v>1391.97</v>
      </c>
      <c r="H1050">
        <v>131318</v>
      </c>
      <c r="I1050">
        <v>461</v>
      </c>
      <c r="J1050" t="s">
        <v>25</v>
      </c>
    </row>
    <row r="1051" spans="1:10" x14ac:dyDescent="0.2">
      <c r="A1051" s="1">
        <v>46108</v>
      </c>
      <c r="B1051" t="s">
        <v>15</v>
      </c>
      <c r="C1051" t="s">
        <v>28</v>
      </c>
      <c r="D1051" t="s">
        <v>30</v>
      </c>
      <c r="E1051">
        <v>50607</v>
      </c>
      <c r="F1051">
        <v>2022</v>
      </c>
      <c r="G1051">
        <v>320.20999999999998</v>
      </c>
      <c r="H1051">
        <v>40234</v>
      </c>
      <c r="I1051">
        <v>119</v>
      </c>
      <c r="J1051" t="s">
        <v>25</v>
      </c>
    </row>
    <row r="1052" spans="1:10" x14ac:dyDescent="0.2">
      <c r="A1052" s="1">
        <v>46108</v>
      </c>
      <c r="B1052" t="s">
        <v>21</v>
      </c>
      <c r="C1052" t="s">
        <v>23</v>
      </c>
      <c r="D1052" t="s">
        <v>24</v>
      </c>
      <c r="E1052">
        <v>151469</v>
      </c>
      <c r="F1052">
        <v>5625</v>
      </c>
      <c r="G1052">
        <v>1051.8499999999999</v>
      </c>
      <c r="H1052">
        <v>115084</v>
      </c>
      <c r="I1052">
        <v>329</v>
      </c>
      <c r="J1052" t="s">
        <v>25</v>
      </c>
    </row>
    <row r="1053" spans="1:10" x14ac:dyDescent="0.2">
      <c r="A1053" s="1">
        <v>46108</v>
      </c>
      <c r="B1053" t="s">
        <v>21</v>
      </c>
      <c r="C1053" t="s">
        <v>26</v>
      </c>
      <c r="D1053" t="s">
        <v>29</v>
      </c>
      <c r="E1053">
        <v>170730</v>
      </c>
      <c r="F1053">
        <v>7845</v>
      </c>
      <c r="G1053">
        <v>1528.32</v>
      </c>
      <c r="H1053">
        <v>123878</v>
      </c>
      <c r="I1053">
        <v>339</v>
      </c>
      <c r="J1053" t="s">
        <v>25</v>
      </c>
    </row>
    <row r="1054" spans="1:10" x14ac:dyDescent="0.2">
      <c r="A1054" s="1">
        <v>46109</v>
      </c>
      <c r="B1054" t="s">
        <v>10</v>
      </c>
      <c r="C1054" t="s">
        <v>23</v>
      </c>
      <c r="D1054" t="s">
        <v>24</v>
      </c>
      <c r="E1054">
        <v>72450</v>
      </c>
      <c r="F1054">
        <v>2434</v>
      </c>
      <c r="G1054">
        <v>391.68</v>
      </c>
      <c r="H1054">
        <v>54100</v>
      </c>
      <c r="I1054">
        <v>108</v>
      </c>
      <c r="J1054" t="s">
        <v>25</v>
      </c>
    </row>
    <row r="1055" spans="1:10" x14ac:dyDescent="0.2">
      <c r="A1055" s="1">
        <v>46109</v>
      </c>
      <c r="B1055" t="s">
        <v>10</v>
      </c>
      <c r="C1055" t="s">
        <v>26</v>
      </c>
      <c r="D1055" t="s">
        <v>24</v>
      </c>
      <c r="E1055">
        <v>64652</v>
      </c>
      <c r="F1055">
        <v>3070</v>
      </c>
      <c r="G1055">
        <v>515.35</v>
      </c>
      <c r="H1055">
        <v>49769</v>
      </c>
      <c r="I1055">
        <v>180</v>
      </c>
      <c r="J1055" t="s">
        <v>25</v>
      </c>
    </row>
    <row r="1056" spans="1:10" x14ac:dyDescent="0.2">
      <c r="A1056" s="1">
        <v>46109</v>
      </c>
      <c r="B1056" t="s">
        <v>15</v>
      </c>
      <c r="C1056" t="s">
        <v>27</v>
      </c>
      <c r="D1056" t="s">
        <v>29</v>
      </c>
      <c r="E1056">
        <v>68400</v>
      </c>
      <c r="F1056">
        <v>3126</v>
      </c>
      <c r="G1056">
        <v>589.46</v>
      </c>
      <c r="H1056">
        <v>49253</v>
      </c>
      <c r="I1056">
        <v>144</v>
      </c>
      <c r="J1056" t="s">
        <v>25</v>
      </c>
    </row>
    <row r="1057" spans="1:10" x14ac:dyDescent="0.2">
      <c r="A1057" s="1">
        <v>46109</v>
      </c>
      <c r="B1057" t="s">
        <v>15</v>
      </c>
      <c r="C1057" t="s">
        <v>28</v>
      </c>
      <c r="D1057" t="s">
        <v>29</v>
      </c>
      <c r="E1057">
        <v>67343</v>
      </c>
      <c r="F1057">
        <v>2502</v>
      </c>
      <c r="G1057">
        <v>431.34</v>
      </c>
      <c r="H1057">
        <v>56219</v>
      </c>
      <c r="I1057">
        <v>130</v>
      </c>
      <c r="J1057" t="s">
        <v>25</v>
      </c>
    </row>
    <row r="1058" spans="1:10" x14ac:dyDescent="0.2">
      <c r="A1058" s="1">
        <v>46109</v>
      </c>
      <c r="B1058" t="s">
        <v>19</v>
      </c>
      <c r="C1058" t="s">
        <v>23</v>
      </c>
      <c r="D1058" t="s">
        <v>24</v>
      </c>
      <c r="E1058">
        <v>126911</v>
      </c>
      <c r="F1058">
        <v>5061</v>
      </c>
      <c r="G1058">
        <v>960.91</v>
      </c>
      <c r="H1058">
        <v>100075</v>
      </c>
      <c r="I1058">
        <v>181</v>
      </c>
      <c r="J1058" t="s">
        <v>25</v>
      </c>
    </row>
    <row r="1059" spans="1:10" x14ac:dyDescent="0.2">
      <c r="A1059" s="1">
        <v>46109</v>
      </c>
      <c r="B1059" t="s">
        <v>19</v>
      </c>
      <c r="C1059" t="s">
        <v>26</v>
      </c>
      <c r="D1059" t="s">
        <v>29</v>
      </c>
      <c r="E1059">
        <v>69797</v>
      </c>
      <c r="F1059">
        <v>2485</v>
      </c>
      <c r="G1059">
        <v>360.15</v>
      </c>
      <c r="H1059">
        <v>51047</v>
      </c>
      <c r="I1059">
        <v>109</v>
      </c>
      <c r="J1059" t="s">
        <v>25</v>
      </c>
    </row>
    <row r="1060" spans="1:10" x14ac:dyDescent="0.2">
      <c r="A1060" s="1">
        <v>46109</v>
      </c>
      <c r="B1060" t="s">
        <v>21</v>
      </c>
      <c r="C1060" t="s">
        <v>23</v>
      </c>
      <c r="D1060" t="s">
        <v>24</v>
      </c>
      <c r="E1060">
        <v>88060</v>
      </c>
      <c r="F1060">
        <v>3136</v>
      </c>
      <c r="G1060">
        <v>473.78</v>
      </c>
      <c r="H1060">
        <v>70370</v>
      </c>
      <c r="I1060">
        <v>131</v>
      </c>
      <c r="J1060" t="s">
        <v>25</v>
      </c>
    </row>
    <row r="1061" spans="1:10" x14ac:dyDescent="0.2">
      <c r="A1061" s="1">
        <v>46109</v>
      </c>
      <c r="B1061" t="s">
        <v>21</v>
      </c>
      <c r="C1061" t="s">
        <v>26</v>
      </c>
      <c r="D1061" t="s">
        <v>29</v>
      </c>
      <c r="E1061">
        <v>159382</v>
      </c>
      <c r="F1061">
        <v>6606</v>
      </c>
      <c r="G1061">
        <v>1129.72</v>
      </c>
      <c r="H1061">
        <v>133644</v>
      </c>
      <c r="I1061">
        <v>264</v>
      </c>
      <c r="J1061" t="s">
        <v>25</v>
      </c>
    </row>
    <row r="1062" spans="1:10" x14ac:dyDescent="0.2">
      <c r="A1062" s="1">
        <v>46110</v>
      </c>
      <c r="B1062" t="s">
        <v>10</v>
      </c>
      <c r="C1062" t="s">
        <v>23</v>
      </c>
      <c r="D1062" t="s">
        <v>24</v>
      </c>
      <c r="E1062">
        <v>101379</v>
      </c>
      <c r="F1062">
        <v>3928</v>
      </c>
      <c r="G1062">
        <v>705.75</v>
      </c>
      <c r="H1062">
        <v>80041</v>
      </c>
      <c r="I1062">
        <v>235</v>
      </c>
      <c r="J1062" t="s">
        <v>25</v>
      </c>
    </row>
    <row r="1063" spans="1:10" x14ac:dyDescent="0.2">
      <c r="A1063" s="1">
        <v>46110</v>
      </c>
      <c r="B1063" t="s">
        <v>10</v>
      </c>
      <c r="C1063" t="s">
        <v>26</v>
      </c>
      <c r="D1063" t="s">
        <v>24</v>
      </c>
      <c r="E1063">
        <v>172942</v>
      </c>
      <c r="F1063">
        <v>8041</v>
      </c>
      <c r="G1063">
        <v>1311.5</v>
      </c>
      <c r="H1063">
        <v>125514</v>
      </c>
      <c r="I1063">
        <v>305</v>
      </c>
      <c r="J1063" t="s">
        <v>25</v>
      </c>
    </row>
    <row r="1064" spans="1:10" x14ac:dyDescent="0.2">
      <c r="A1064" s="1">
        <v>46110</v>
      </c>
      <c r="B1064" t="s">
        <v>15</v>
      </c>
      <c r="C1064" t="s">
        <v>27</v>
      </c>
      <c r="D1064" t="s">
        <v>24</v>
      </c>
      <c r="E1064">
        <v>47940</v>
      </c>
      <c r="F1064">
        <v>1643</v>
      </c>
      <c r="G1064">
        <v>233.38</v>
      </c>
      <c r="H1064">
        <v>39088</v>
      </c>
      <c r="I1064">
        <v>60</v>
      </c>
      <c r="J1064" t="s">
        <v>25</v>
      </c>
    </row>
    <row r="1065" spans="1:10" x14ac:dyDescent="0.2">
      <c r="A1065" s="1">
        <v>46110</v>
      </c>
      <c r="B1065" t="s">
        <v>15</v>
      </c>
      <c r="C1065" t="s">
        <v>28</v>
      </c>
      <c r="D1065" t="s">
        <v>29</v>
      </c>
      <c r="E1065">
        <v>47495</v>
      </c>
      <c r="F1065">
        <v>1954</v>
      </c>
      <c r="G1065">
        <v>330.29</v>
      </c>
      <c r="H1065">
        <v>36156</v>
      </c>
      <c r="I1065">
        <v>99</v>
      </c>
      <c r="J1065" t="s">
        <v>25</v>
      </c>
    </row>
    <row r="1066" spans="1:10" x14ac:dyDescent="0.2">
      <c r="A1066" s="1">
        <v>46110</v>
      </c>
      <c r="B1066" t="s">
        <v>19</v>
      </c>
      <c r="C1066" t="s">
        <v>23</v>
      </c>
      <c r="D1066" t="s">
        <v>24</v>
      </c>
      <c r="E1066">
        <v>122535</v>
      </c>
      <c r="F1066">
        <v>5867</v>
      </c>
      <c r="G1066">
        <v>980.91</v>
      </c>
      <c r="H1066">
        <v>92089</v>
      </c>
      <c r="I1066">
        <v>265</v>
      </c>
      <c r="J1066" t="s">
        <v>25</v>
      </c>
    </row>
    <row r="1067" spans="1:10" x14ac:dyDescent="0.2">
      <c r="A1067" s="1">
        <v>46110</v>
      </c>
      <c r="B1067" t="s">
        <v>19</v>
      </c>
      <c r="C1067" t="s">
        <v>26</v>
      </c>
      <c r="D1067" t="s">
        <v>24</v>
      </c>
      <c r="E1067">
        <v>157185</v>
      </c>
      <c r="F1067">
        <v>6962</v>
      </c>
      <c r="G1067">
        <v>1360.61</v>
      </c>
      <c r="H1067">
        <v>119534</v>
      </c>
      <c r="I1067">
        <v>409</v>
      </c>
      <c r="J1067" t="s">
        <v>25</v>
      </c>
    </row>
    <row r="1068" spans="1:10" x14ac:dyDescent="0.2">
      <c r="A1068" s="1">
        <v>46110</v>
      </c>
      <c r="B1068" t="s">
        <v>21</v>
      </c>
      <c r="C1068" t="s">
        <v>23</v>
      </c>
      <c r="D1068" t="s">
        <v>24</v>
      </c>
      <c r="E1068">
        <v>103600</v>
      </c>
      <c r="F1068">
        <v>4652</v>
      </c>
      <c r="G1068">
        <v>787.31</v>
      </c>
      <c r="H1068">
        <v>81415</v>
      </c>
      <c r="I1068">
        <v>241</v>
      </c>
      <c r="J1068" t="s">
        <v>25</v>
      </c>
    </row>
    <row r="1069" spans="1:10" x14ac:dyDescent="0.2">
      <c r="A1069" s="1">
        <v>46110</v>
      </c>
      <c r="B1069" t="s">
        <v>21</v>
      </c>
      <c r="C1069" t="s">
        <v>26</v>
      </c>
      <c r="D1069" t="s">
        <v>29</v>
      </c>
      <c r="E1069">
        <v>133945</v>
      </c>
      <c r="F1069">
        <v>4849</v>
      </c>
      <c r="G1069">
        <v>906.36</v>
      </c>
      <c r="H1069">
        <v>103295</v>
      </c>
      <c r="I1069">
        <v>158</v>
      </c>
      <c r="J1069" t="s">
        <v>25</v>
      </c>
    </row>
    <row r="1070" spans="1:10" x14ac:dyDescent="0.2">
      <c r="A1070" s="1">
        <v>46111</v>
      </c>
      <c r="B1070" t="s">
        <v>10</v>
      </c>
      <c r="C1070" t="s">
        <v>23</v>
      </c>
      <c r="D1070" t="s">
        <v>24</v>
      </c>
      <c r="E1070">
        <v>61616</v>
      </c>
      <c r="F1070">
        <v>2195</v>
      </c>
      <c r="G1070">
        <v>367.54</v>
      </c>
      <c r="H1070">
        <v>45185</v>
      </c>
      <c r="I1070">
        <v>106</v>
      </c>
      <c r="J1070" t="s">
        <v>25</v>
      </c>
    </row>
    <row r="1071" spans="1:10" x14ac:dyDescent="0.2">
      <c r="A1071" s="1">
        <v>46111</v>
      </c>
      <c r="B1071" t="s">
        <v>10</v>
      </c>
      <c r="C1071" t="s">
        <v>26</v>
      </c>
      <c r="D1071" t="s">
        <v>30</v>
      </c>
      <c r="E1071">
        <v>67020</v>
      </c>
      <c r="F1071">
        <v>3081</v>
      </c>
      <c r="G1071">
        <v>488.1</v>
      </c>
      <c r="H1071">
        <v>51762</v>
      </c>
      <c r="I1071">
        <v>189</v>
      </c>
      <c r="J1071" t="s">
        <v>25</v>
      </c>
    </row>
    <row r="1072" spans="1:10" x14ac:dyDescent="0.2">
      <c r="A1072" s="1">
        <v>46111</v>
      </c>
      <c r="B1072" t="s">
        <v>15</v>
      </c>
      <c r="C1072" t="s">
        <v>27</v>
      </c>
      <c r="D1072" t="s">
        <v>24</v>
      </c>
      <c r="E1072">
        <v>131501</v>
      </c>
      <c r="F1072">
        <v>4592</v>
      </c>
      <c r="G1072">
        <v>868.81</v>
      </c>
      <c r="H1072">
        <v>108655</v>
      </c>
      <c r="I1072">
        <v>217</v>
      </c>
      <c r="J1072" t="s">
        <v>25</v>
      </c>
    </row>
    <row r="1073" spans="1:13" x14ac:dyDescent="0.2">
      <c r="A1073" s="1">
        <v>46111</v>
      </c>
      <c r="B1073" t="s">
        <v>15</v>
      </c>
      <c r="C1073" t="s">
        <v>28</v>
      </c>
      <c r="D1073" t="s">
        <v>30</v>
      </c>
      <c r="E1073">
        <v>161465</v>
      </c>
      <c r="F1073">
        <v>5740</v>
      </c>
      <c r="G1073">
        <v>809.36</v>
      </c>
      <c r="H1073">
        <v>130465</v>
      </c>
      <c r="I1073">
        <v>244</v>
      </c>
      <c r="J1073" t="s">
        <v>25</v>
      </c>
    </row>
    <row r="1074" spans="1:13" x14ac:dyDescent="0.2">
      <c r="A1074" s="1">
        <v>46111</v>
      </c>
      <c r="B1074" t="s">
        <v>21</v>
      </c>
      <c r="C1074" t="s">
        <v>23</v>
      </c>
      <c r="D1074" t="s">
        <v>24</v>
      </c>
      <c r="E1074">
        <v>141411</v>
      </c>
      <c r="F1074">
        <v>6470</v>
      </c>
      <c r="G1074">
        <v>1109.6199999999999</v>
      </c>
      <c r="H1074">
        <v>115395</v>
      </c>
      <c r="I1074">
        <v>277</v>
      </c>
      <c r="J1074" t="s">
        <v>25</v>
      </c>
    </row>
    <row r="1075" spans="1:13" x14ac:dyDescent="0.2">
      <c r="A1075" s="1">
        <v>46111</v>
      </c>
      <c r="B1075" t="s">
        <v>21</v>
      </c>
      <c r="C1075" t="s">
        <v>26</v>
      </c>
      <c r="D1075" t="s">
        <v>29</v>
      </c>
      <c r="E1075">
        <v>163699</v>
      </c>
      <c r="F1075">
        <v>7719</v>
      </c>
      <c r="G1075">
        <v>1326.53</v>
      </c>
      <c r="H1075">
        <v>125219</v>
      </c>
      <c r="I1075">
        <v>270</v>
      </c>
      <c r="J1075" t="s">
        <v>25</v>
      </c>
    </row>
    <row r="1076" spans="1:13" x14ac:dyDescent="0.2">
      <c r="A1076" s="1">
        <v>46112</v>
      </c>
      <c r="B1076" t="s">
        <v>10</v>
      </c>
      <c r="C1076" t="s">
        <v>23</v>
      </c>
      <c r="D1076" t="s">
        <v>24</v>
      </c>
      <c r="E1076">
        <v>153683</v>
      </c>
      <c r="F1076">
        <v>6477</v>
      </c>
      <c r="G1076">
        <v>1147.02</v>
      </c>
      <c r="H1076">
        <v>126202</v>
      </c>
      <c r="I1076">
        <v>353</v>
      </c>
      <c r="J1076" t="s">
        <v>25</v>
      </c>
    </row>
    <row r="1077" spans="1:13" x14ac:dyDescent="0.2">
      <c r="A1077" s="1">
        <v>46112</v>
      </c>
      <c r="B1077" t="s">
        <v>10</v>
      </c>
      <c r="C1077" t="s">
        <v>26</v>
      </c>
      <c r="D1077" t="s">
        <v>24</v>
      </c>
      <c r="E1077">
        <v>137651</v>
      </c>
      <c r="F1077">
        <v>6479</v>
      </c>
      <c r="G1077">
        <v>1144.06</v>
      </c>
      <c r="H1077">
        <v>113286</v>
      </c>
      <c r="I1077">
        <v>261</v>
      </c>
      <c r="J1077" t="s">
        <v>25</v>
      </c>
    </row>
    <row r="1078" spans="1:13" x14ac:dyDescent="0.2">
      <c r="A1078" s="1">
        <v>46112</v>
      </c>
      <c r="B1078" t="s">
        <v>15</v>
      </c>
      <c r="C1078" t="s">
        <v>27</v>
      </c>
      <c r="D1078" t="s">
        <v>29</v>
      </c>
      <c r="E1078">
        <v>96020</v>
      </c>
      <c r="F1078">
        <v>3671</v>
      </c>
      <c r="G1078">
        <v>628.86</v>
      </c>
      <c r="H1078">
        <v>73988</v>
      </c>
      <c r="I1078">
        <v>169</v>
      </c>
      <c r="J1078" t="s">
        <v>25</v>
      </c>
    </row>
    <row r="1079" spans="1:13" x14ac:dyDescent="0.2">
      <c r="A1079" s="1">
        <v>46112</v>
      </c>
      <c r="B1079" t="s">
        <v>15</v>
      </c>
      <c r="C1079" t="s">
        <v>28</v>
      </c>
      <c r="D1079" t="s">
        <v>29</v>
      </c>
      <c r="E1079">
        <v>68693</v>
      </c>
      <c r="F1079">
        <v>2991</v>
      </c>
      <c r="G1079">
        <v>472.58</v>
      </c>
      <c r="H1079">
        <v>50076</v>
      </c>
      <c r="I1079">
        <v>159</v>
      </c>
      <c r="J1079" t="s">
        <v>25</v>
      </c>
    </row>
    <row r="1080" spans="1:13" x14ac:dyDescent="0.2">
      <c r="A1080" s="1">
        <v>46112</v>
      </c>
      <c r="B1080" t="s">
        <v>21</v>
      </c>
      <c r="C1080" t="s">
        <v>23</v>
      </c>
      <c r="D1080" t="s">
        <v>24</v>
      </c>
      <c r="E1080">
        <v>81069</v>
      </c>
      <c r="F1080">
        <v>3791</v>
      </c>
      <c r="G1080">
        <v>670.2</v>
      </c>
      <c r="H1080">
        <v>67701</v>
      </c>
      <c r="I1080">
        <v>128</v>
      </c>
      <c r="J1080" t="s">
        <v>25</v>
      </c>
    </row>
    <row r="1081" spans="1:13" x14ac:dyDescent="0.2">
      <c r="A1081" s="1">
        <v>46112</v>
      </c>
      <c r="B1081" t="s">
        <v>21</v>
      </c>
      <c r="C1081" t="s">
        <v>26</v>
      </c>
      <c r="D1081" t="s">
        <v>29</v>
      </c>
      <c r="E1081">
        <v>69405</v>
      </c>
      <c r="F1081">
        <v>2380</v>
      </c>
      <c r="G1081">
        <v>450.64</v>
      </c>
      <c r="H1081">
        <v>56339</v>
      </c>
      <c r="I1081">
        <v>133</v>
      </c>
      <c r="J1081" t="s">
        <v>25</v>
      </c>
    </row>
    <row r="1082" spans="1:13" x14ac:dyDescent="0.2">
      <c r="A1082" s="1">
        <v>46023</v>
      </c>
      <c r="B1082" t="s">
        <v>35</v>
      </c>
      <c r="C1082" t="s">
        <v>36</v>
      </c>
      <c r="E1082">
        <v>20418</v>
      </c>
      <c r="F1082">
        <v>1408</v>
      </c>
      <c r="G1082">
        <v>376.86</v>
      </c>
      <c r="H1082">
        <v>376.86</v>
      </c>
      <c r="I1082">
        <v>82</v>
      </c>
      <c r="J1082" t="s">
        <v>40</v>
      </c>
      <c r="K1082" t="s">
        <v>37</v>
      </c>
      <c r="L1082" t="s">
        <v>38</v>
      </c>
      <c r="M1082" t="s">
        <v>39</v>
      </c>
    </row>
    <row r="1083" spans="1:13" x14ac:dyDescent="0.2">
      <c r="A1083" s="1">
        <v>46023</v>
      </c>
      <c r="B1083" t="s">
        <v>35</v>
      </c>
      <c r="C1083" t="s">
        <v>36</v>
      </c>
      <c r="E1083">
        <v>33621</v>
      </c>
      <c r="F1083">
        <v>1815</v>
      </c>
      <c r="G1083">
        <v>394.19</v>
      </c>
      <c r="H1083">
        <v>394.19</v>
      </c>
      <c r="I1083">
        <v>165</v>
      </c>
      <c r="J1083" t="s">
        <v>40</v>
      </c>
      <c r="K1083" t="s">
        <v>41</v>
      </c>
      <c r="L1083" t="s">
        <v>42</v>
      </c>
      <c r="M1083" t="s">
        <v>43</v>
      </c>
    </row>
    <row r="1084" spans="1:13" x14ac:dyDescent="0.2">
      <c r="A1084" s="1">
        <v>46023</v>
      </c>
      <c r="B1084" t="s">
        <v>44</v>
      </c>
      <c r="C1084" t="s">
        <v>45</v>
      </c>
      <c r="E1084">
        <v>20847</v>
      </c>
      <c r="F1084">
        <v>1026</v>
      </c>
      <c r="G1084">
        <v>248.87</v>
      </c>
      <c r="I1084">
        <v>86</v>
      </c>
      <c r="J1084" t="s">
        <v>40</v>
      </c>
      <c r="K1084" t="s">
        <v>46</v>
      </c>
      <c r="L1084" t="s">
        <v>42</v>
      </c>
      <c r="M1084" t="s">
        <v>47</v>
      </c>
    </row>
    <row r="1085" spans="1:13" x14ac:dyDescent="0.2">
      <c r="A1085" s="1">
        <v>46023</v>
      </c>
      <c r="B1085" t="s">
        <v>44</v>
      </c>
      <c r="C1085" t="s">
        <v>48</v>
      </c>
      <c r="E1085">
        <v>25344</v>
      </c>
      <c r="F1085">
        <v>1477</v>
      </c>
      <c r="G1085">
        <v>279.33</v>
      </c>
      <c r="I1085">
        <v>86</v>
      </c>
      <c r="J1085" t="s">
        <v>40</v>
      </c>
      <c r="K1085" t="s">
        <v>49</v>
      </c>
      <c r="L1085" t="s">
        <v>50</v>
      </c>
      <c r="M1085" t="s">
        <v>51</v>
      </c>
    </row>
    <row r="1086" spans="1:13" x14ac:dyDescent="0.2">
      <c r="A1086" s="1">
        <v>46023</v>
      </c>
      <c r="B1086" t="s">
        <v>52</v>
      </c>
      <c r="C1086" t="s">
        <v>53</v>
      </c>
      <c r="E1086">
        <v>117973</v>
      </c>
      <c r="F1086">
        <v>1578</v>
      </c>
      <c r="G1086">
        <v>304.98</v>
      </c>
      <c r="I1086">
        <v>101</v>
      </c>
      <c r="J1086" t="s">
        <v>40</v>
      </c>
      <c r="K1086" t="s">
        <v>54</v>
      </c>
      <c r="L1086" t="s">
        <v>54</v>
      </c>
      <c r="M1086" t="s">
        <v>54</v>
      </c>
    </row>
    <row r="1087" spans="1:13" x14ac:dyDescent="0.2">
      <c r="A1087" s="1">
        <v>46023</v>
      </c>
      <c r="B1087" t="s">
        <v>52</v>
      </c>
      <c r="C1087" t="s">
        <v>55</v>
      </c>
      <c r="E1087">
        <v>148335</v>
      </c>
      <c r="F1087">
        <v>1638</v>
      </c>
      <c r="G1087">
        <v>408.78</v>
      </c>
      <c r="I1087">
        <v>143</v>
      </c>
      <c r="J1087" t="s">
        <v>40</v>
      </c>
      <c r="K1087" t="s">
        <v>54</v>
      </c>
      <c r="L1087" t="s">
        <v>54</v>
      </c>
      <c r="M1087" t="s">
        <v>54</v>
      </c>
    </row>
    <row r="1088" spans="1:13" x14ac:dyDescent="0.2">
      <c r="A1088" s="1">
        <v>46023</v>
      </c>
      <c r="B1088" t="s">
        <v>56</v>
      </c>
      <c r="C1088" t="s">
        <v>57</v>
      </c>
      <c r="E1088">
        <v>37676</v>
      </c>
      <c r="F1088">
        <v>2436</v>
      </c>
      <c r="G1088">
        <v>554.85</v>
      </c>
      <c r="I1088">
        <v>156</v>
      </c>
      <c r="J1088" t="s">
        <v>40</v>
      </c>
      <c r="K1088" t="s">
        <v>58</v>
      </c>
      <c r="L1088" t="s">
        <v>42</v>
      </c>
      <c r="M1088" t="s">
        <v>43</v>
      </c>
    </row>
    <row r="1089" spans="1:13" x14ac:dyDescent="0.2">
      <c r="A1089" s="1">
        <v>46023</v>
      </c>
      <c r="B1089" t="s">
        <v>56</v>
      </c>
      <c r="C1089" t="s">
        <v>57</v>
      </c>
      <c r="E1089">
        <v>15854</v>
      </c>
      <c r="F1089">
        <v>1039</v>
      </c>
      <c r="G1089">
        <v>197.66</v>
      </c>
      <c r="I1089">
        <v>70</v>
      </c>
      <c r="J1089" t="s">
        <v>40</v>
      </c>
      <c r="K1089" t="s">
        <v>59</v>
      </c>
      <c r="L1089" t="s">
        <v>38</v>
      </c>
      <c r="M1089" t="s">
        <v>43</v>
      </c>
    </row>
    <row r="1090" spans="1:13" x14ac:dyDescent="0.2">
      <c r="A1090" s="1">
        <v>46023</v>
      </c>
      <c r="B1090" t="s">
        <v>60</v>
      </c>
      <c r="C1090" t="s">
        <v>61</v>
      </c>
      <c r="E1090">
        <v>29611</v>
      </c>
      <c r="F1090">
        <v>1518</v>
      </c>
      <c r="G1090">
        <v>390.65</v>
      </c>
      <c r="I1090">
        <v>129</v>
      </c>
      <c r="J1090" t="s">
        <v>40</v>
      </c>
      <c r="K1090" t="s">
        <v>62</v>
      </c>
      <c r="L1090" t="s">
        <v>42</v>
      </c>
      <c r="M1090" t="s">
        <v>47</v>
      </c>
    </row>
    <row r="1091" spans="1:13" x14ac:dyDescent="0.2">
      <c r="A1091" s="1">
        <v>46024</v>
      </c>
      <c r="B1091" t="s">
        <v>35</v>
      </c>
      <c r="C1091" t="s">
        <v>36</v>
      </c>
      <c r="E1091">
        <v>18725</v>
      </c>
      <c r="F1091">
        <v>1187</v>
      </c>
      <c r="G1091">
        <v>294.04000000000002</v>
      </c>
      <c r="I1091">
        <v>68</v>
      </c>
      <c r="J1091" t="s">
        <v>40</v>
      </c>
      <c r="K1091" t="s">
        <v>37</v>
      </c>
      <c r="L1091" t="s">
        <v>38</v>
      </c>
      <c r="M1091" t="s">
        <v>39</v>
      </c>
    </row>
    <row r="1092" spans="1:13" x14ac:dyDescent="0.2">
      <c r="A1092" s="1">
        <v>46024</v>
      </c>
      <c r="B1092" t="s">
        <v>35</v>
      </c>
      <c r="C1092" t="s">
        <v>36</v>
      </c>
      <c r="E1092">
        <v>10555</v>
      </c>
      <c r="F1092">
        <v>661</v>
      </c>
      <c r="G1092">
        <v>129.83000000000001</v>
      </c>
      <c r="I1092">
        <v>45</v>
      </c>
      <c r="J1092" t="s">
        <v>40</v>
      </c>
      <c r="K1092" t="s">
        <v>41</v>
      </c>
      <c r="L1092" t="s">
        <v>42</v>
      </c>
      <c r="M1092" t="s">
        <v>43</v>
      </c>
    </row>
    <row r="1093" spans="1:13" x14ac:dyDescent="0.2">
      <c r="A1093" s="1">
        <v>46024</v>
      </c>
      <c r="B1093" t="s">
        <v>44</v>
      </c>
      <c r="C1093" t="s">
        <v>45</v>
      </c>
      <c r="E1093">
        <v>23962</v>
      </c>
      <c r="F1093">
        <v>1511</v>
      </c>
      <c r="G1093">
        <v>294.85000000000002</v>
      </c>
      <c r="I1093">
        <v>107</v>
      </c>
      <c r="J1093" t="s">
        <v>40</v>
      </c>
      <c r="K1093" t="s">
        <v>46</v>
      </c>
      <c r="L1093" t="s">
        <v>42</v>
      </c>
      <c r="M1093" t="s">
        <v>47</v>
      </c>
    </row>
    <row r="1094" spans="1:13" x14ac:dyDescent="0.2">
      <c r="A1094" s="1">
        <v>46024</v>
      </c>
      <c r="B1094" t="s">
        <v>44</v>
      </c>
      <c r="C1094" t="s">
        <v>48</v>
      </c>
      <c r="E1094">
        <v>38992</v>
      </c>
      <c r="F1094">
        <v>2676</v>
      </c>
      <c r="G1094">
        <v>504.88</v>
      </c>
      <c r="I1094">
        <v>157</v>
      </c>
      <c r="J1094" t="s">
        <v>40</v>
      </c>
      <c r="K1094" t="s">
        <v>49</v>
      </c>
      <c r="L1094" t="s">
        <v>50</v>
      </c>
      <c r="M1094" t="s">
        <v>51</v>
      </c>
    </row>
    <row r="1095" spans="1:13" x14ac:dyDescent="0.2">
      <c r="A1095" s="1">
        <v>46024</v>
      </c>
      <c r="B1095" t="s">
        <v>52</v>
      </c>
      <c r="C1095" t="s">
        <v>53</v>
      </c>
      <c r="E1095">
        <v>106142</v>
      </c>
      <c r="F1095">
        <v>1480</v>
      </c>
      <c r="G1095">
        <v>323.24</v>
      </c>
      <c r="I1095">
        <v>138</v>
      </c>
      <c r="J1095" t="s">
        <v>40</v>
      </c>
      <c r="K1095" t="s">
        <v>54</v>
      </c>
      <c r="L1095" t="s">
        <v>54</v>
      </c>
      <c r="M1095" t="s">
        <v>54</v>
      </c>
    </row>
    <row r="1096" spans="1:13" x14ac:dyDescent="0.2">
      <c r="A1096" s="1">
        <v>46024</v>
      </c>
      <c r="B1096" t="s">
        <v>52</v>
      </c>
      <c r="C1096" t="s">
        <v>55</v>
      </c>
      <c r="E1096">
        <v>131222</v>
      </c>
      <c r="F1096">
        <v>1962</v>
      </c>
      <c r="G1096">
        <v>401.78</v>
      </c>
      <c r="I1096">
        <v>158</v>
      </c>
      <c r="J1096" t="s">
        <v>40</v>
      </c>
      <c r="K1096" t="s">
        <v>54</v>
      </c>
      <c r="L1096" t="s">
        <v>54</v>
      </c>
      <c r="M1096" t="s">
        <v>54</v>
      </c>
    </row>
    <row r="1097" spans="1:13" x14ac:dyDescent="0.2">
      <c r="A1097" s="1">
        <v>46024</v>
      </c>
      <c r="B1097" t="s">
        <v>56</v>
      </c>
      <c r="C1097" t="s">
        <v>57</v>
      </c>
      <c r="E1097">
        <v>26263</v>
      </c>
      <c r="F1097">
        <v>1609</v>
      </c>
      <c r="G1097">
        <v>386.16</v>
      </c>
      <c r="I1097">
        <v>127</v>
      </c>
      <c r="J1097" t="s">
        <v>40</v>
      </c>
      <c r="K1097" t="s">
        <v>58</v>
      </c>
      <c r="L1097" t="s">
        <v>42</v>
      </c>
      <c r="M1097" t="s">
        <v>43</v>
      </c>
    </row>
    <row r="1098" spans="1:13" x14ac:dyDescent="0.2">
      <c r="A1098" s="1">
        <v>46024</v>
      </c>
      <c r="B1098" t="s">
        <v>56</v>
      </c>
      <c r="C1098" t="s">
        <v>57</v>
      </c>
      <c r="E1098">
        <v>11757</v>
      </c>
      <c r="F1098">
        <v>803</v>
      </c>
      <c r="G1098">
        <v>197.41</v>
      </c>
      <c r="I1098">
        <v>53</v>
      </c>
      <c r="J1098" t="s">
        <v>40</v>
      </c>
      <c r="K1098" t="s">
        <v>59</v>
      </c>
      <c r="L1098" t="s">
        <v>38</v>
      </c>
      <c r="M1098" t="s">
        <v>43</v>
      </c>
    </row>
    <row r="1099" spans="1:13" x14ac:dyDescent="0.2">
      <c r="A1099" s="1">
        <v>46024</v>
      </c>
      <c r="B1099" t="s">
        <v>60</v>
      </c>
      <c r="C1099" t="s">
        <v>61</v>
      </c>
      <c r="E1099">
        <v>43931</v>
      </c>
      <c r="F1099">
        <v>2748</v>
      </c>
      <c r="G1099">
        <v>546.48</v>
      </c>
      <c r="I1099">
        <v>194</v>
      </c>
      <c r="J1099" t="s">
        <v>40</v>
      </c>
      <c r="K1099" t="s">
        <v>62</v>
      </c>
      <c r="L1099" t="s">
        <v>42</v>
      </c>
      <c r="M1099" t="s">
        <v>47</v>
      </c>
    </row>
    <row r="1100" spans="1:13" x14ac:dyDescent="0.2">
      <c r="A1100" s="1">
        <v>46025</v>
      </c>
      <c r="B1100" t="s">
        <v>35</v>
      </c>
      <c r="C1100" t="s">
        <v>36</v>
      </c>
      <c r="E1100">
        <v>19006</v>
      </c>
      <c r="F1100">
        <v>1269</v>
      </c>
      <c r="G1100">
        <v>329.15</v>
      </c>
      <c r="I1100">
        <v>81</v>
      </c>
      <c r="J1100" t="s">
        <v>40</v>
      </c>
      <c r="K1100" t="s">
        <v>37</v>
      </c>
      <c r="L1100" t="s">
        <v>38</v>
      </c>
      <c r="M1100" t="s">
        <v>39</v>
      </c>
    </row>
    <row r="1101" spans="1:13" x14ac:dyDescent="0.2">
      <c r="A1101" s="1">
        <v>46025</v>
      </c>
      <c r="B1101" t="s">
        <v>35</v>
      </c>
      <c r="C1101" t="s">
        <v>36</v>
      </c>
      <c r="E1101">
        <v>49404</v>
      </c>
      <c r="F1101">
        <v>2505</v>
      </c>
      <c r="G1101">
        <v>576.04999999999995</v>
      </c>
      <c r="I1101">
        <v>197</v>
      </c>
      <c r="J1101" t="s">
        <v>40</v>
      </c>
      <c r="K1101" t="s">
        <v>41</v>
      </c>
      <c r="L1101" t="s">
        <v>42</v>
      </c>
      <c r="M1101" t="s">
        <v>43</v>
      </c>
    </row>
    <row r="1102" spans="1:13" x14ac:dyDescent="0.2">
      <c r="A1102" s="1">
        <v>46025</v>
      </c>
      <c r="B1102" t="s">
        <v>44</v>
      </c>
      <c r="C1102" t="s">
        <v>45</v>
      </c>
      <c r="E1102">
        <v>62469</v>
      </c>
      <c r="F1102">
        <v>4330</v>
      </c>
      <c r="G1102">
        <v>784.63</v>
      </c>
      <c r="I1102">
        <v>300</v>
      </c>
      <c r="J1102" t="s">
        <v>40</v>
      </c>
      <c r="K1102" t="s">
        <v>46</v>
      </c>
      <c r="L1102" t="s">
        <v>42</v>
      </c>
      <c r="M1102" t="s">
        <v>47</v>
      </c>
    </row>
    <row r="1103" spans="1:13" x14ac:dyDescent="0.2">
      <c r="A1103" s="1">
        <v>46025</v>
      </c>
      <c r="B1103" t="s">
        <v>44</v>
      </c>
      <c r="C1103" t="s">
        <v>48</v>
      </c>
      <c r="E1103">
        <v>43036</v>
      </c>
      <c r="F1103">
        <v>2202</v>
      </c>
      <c r="G1103">
        <v>585.91</v>
      </c>
      <c r="I1103">
        <v>171</v>
      </c>
      <c r="J1103" t="s">
        <v>40</v>
      </c>
      <c r="K1103" t="s">
        <v>49</v>
      </c>
      <c r="L1103" t="s">
        <v>50</v>
      </c>
      <c r="M1103" t="s">
        <v>51</v>
      </c>
    </row>
    <row r="1104" spans="1:13" x14ac:dyDescent="0.2">
      <c r="A1104" s="1">
        <v>46025</v>
      </c>
      <c r="B1104" t="s">
        <v>52</v>
      </c>
      <c r="C1104" t="s">
        <v>53</v>
      </c>
      <c r="E1104">
        <v>193053</v>
      </c>
      <c r="F1104">
        <v>2650</v>
      </c>
      <c r="G1104">
        <v>522.78</v>
      </c>
      <c r="I1104">
        <v>195</v>
      </c>
      <c r="J1104" t="s">
        <v>40</v>
      </c>
      <c r="K1104" t="s">
        <v>54</v>
      </c>
      <c r="L1104" t="s">
        <v>54</v>
      </c>
      <c r="M1104" t="s">
        <v>54</v>
      </c>
    </row>
    <row r="1105" spans="1:13" x14ac:dyDescent="0.2">
      <c r="A1105" s="1">
        <v>46025</v>
      </c>
      <c r="B1105" t="s">
        <v>52</v>
      </c>
      <c r="C1105" t="s">
        <v>55</v>
      </c>
      <c r="E1105">
        <v>139393</v>
      </c>
      <c r="F1105">
        <v>1544</v>
      </c>
      <c r="G1105">
        <v>288.35000000000002</v>
      </c>
      <c r="I1105">
        <v>101</v>
      </c>
      <c r="J1105" t="s">
        <v>40</v>
      </c>
      <c r="K1105" t="s">
        <v>54</v>
      </c>
      <c r="L1105" t="s">
        <v>54</v>
      </c>
      <c r="M1105" t="s">
        <v>54</v>
      </c>
    </row>
    <row r="1106" spans="1:13" x14ac:dyDescent="0.2">
      <c r="A1106" s="1">
        <v>46025</v>
      </c>
      <c r="B1106" t="s">
        <v>56</v>
      </c>
      <c r="C1106" t="s">
        <v>57</v>
      </c>
      <c r="E1106">
        <v>17654</v>
      </c>
      <c r="F1106">
        <v>1238</v>
      </c>
      <c r="G1106">
        <v>340.29</v>
      </c>
      <c r="I1106">
        <v>87</v>
      </c>
      <c r="J1106" t="s">
        <v>40</v>
      </c>
      <c r="K1106" t="s">
        <v>58</v>
      </c>
      <c r="L1106" t="s">
        <v>42</v>
      </c>
      <c r="M1106" t="s">
        <v>43</v>
      </c>
    </row>
    <row r="1107" spans="1:13" x14ac:dyDescent="0.2">
      <c r="A1107" s="1">
        <v>46025</v>
      </c>
      <c r="B1107" t="s">
        <v>56</v>
      </c>
      <c r="C1107" t="s">
        <v>57</v>
      </c>
      <c r="E1107">
        <v>40285</v>
      </c>
      <c r="F1107">
        <v>2541</v>
      </c>
      <c r="G1107">
        <v>584.70000000000005</v>
      </c>
      <c r="I1107">
        <v>181</v>
      </c>
      <c r="J1107" t="s">
        <v>40</v>
      </c>
      <c r="K1107" t="s">
        <v>59</v>
      </c>
      <c r="L1107" t="s">
        <v>38</v>
      </c>
      <c r="M1107" t="s">
        <v>43</v>
      </c>
    </row>
    <row r="1108" spans="1:13" x14ac:dyDescent="0.2">
      <c r="A1108" s="1">
        <v>46025</v>
      </c>
      <c r="B1108" t="s">
        <v>60</v>
      </c>
      <c r="C1108" t="s">
        <v>61</v>
      </c>
      <c r="E1108">
        <v>50908</v>
      </c>
      <c r="F1108">
        <v>2544</v>
      </c>
      <c r="G1108">
        <v>594.41999999999996</v>
      </c>
      <c r="I1108">
        <v>202</v>
      </c>
      <c r="J1108" t="s">
        <v>40</v>
      </c>
      <c r="K1108" t="s">
        <v>62</v>
      </c>
      <c r="L1108" t="s">
        <v>42</v>
      </c>
      <c r="M1108" t="s">
        <v>47</v>
      </c>
    </row>
    <row r="1109" spans="1:13" x14ac:dyDescent="0.2">
      <c r="A1109" s="1">
        <v>46026</v>
      </c>
      <c r="B1109" t="s">
        <v>35</v>
      </c>
      <c r="C1109" t="s">
        <v>36</v>
      </c>
      <c r="E1109">
        <v>39457</v>
      </c>
      <c r="F1109">
        <v>1973</v>
      </c>
      <c r="G1109">
        <v>370.73</v>
      </c>
      <c r="I1109">
        <v>181</v>
      </c>
      <c r="J1109" t="s">
        <v>40</v>
      </c>
      <c r="K1109" t="s">
        <v>37</v>
      </c>
      <c r="L1109" t="s">
        <v>38</v>
      </c>
      <c r="M1109" t="s">
        <v>39</v>
      </c>
    </row>
    <row r="1110" spans="1:13" x14ac:dyDescent="0.2">
      <c r="A1110" s="1">
        <v>46026</v>
      </c>
      <c r="B1110" t="s">
        <v>35</v>
      </c>
      <c r="C1110" t="s">
        <v>36</v>
      </c>
      <c r="E1110">
        <v>28254</v>
      </c>
      <c r="F1110">
        <v>1719</v>
      </c>
      <c r="G1110">
        <v>376.59</v>
      </c>
      <c r="I1110">
        <v>138</v>
      </c>
      <c r="J1110" t="s">
        <v>40</v>
      </c>
      <c r="K1110" t="s">
        <v>41</v>
      </c>
      <c r="L1110" t="s">
        <v>42</v>
      </c>
      <c r="M1110" t="s">
        <v>43</v>
      </c>
    </row>
    <row r="1111" spans="1:13" x14ac:dyDescent="0.2">
      <c r="A1111" s="1">
        <v>46026</v>
      </c>
      <c r="B1111" t="s">
        <v>44</v>
      </c>
      <c r="C1111" t="s">
        <v>45</v>
      </c>
      <c r="E1111">
        <v>20064</v>
      </c>
      <c r="F1111">
        <v>1112</v>
      </c>
      <c r="G1111">
        <v>248.81</v>
      </c>
      <c r="I1111">
        <v>103</v>
      </c>
      <c r="J1111" t="s">
        <v>40</v>
      </c>
      <c r="K1111" t="s">
        <v>46</v>
      </c>
      <c r="L1111" t="s">
        <v>42</v>
      </c>
      <c r="M1111" t="s">
        <v>47</v>
      </c>
    </row>
    <row r="1112" spans="1:13" x14ac:dyDescent="0.2">
      <c r="A1112" s="1">
        <v>46026</v>
      </c>
      <c r="B1112" t="s">
        <v>44</v>
      </c>
      <c r="C1112" t="s">
        <v>48</v>
      </c>
      <c r="E1112">
        <v>35894</v>
      </c>
      <c r="F1112">
        <v>1772</v>
      </c>
      <c r="G1112">
        <v>334.24</v>
      </c>
      <c r="I1112">
        <v>128</v>
      </c>
      <c r="J1112" t="s">
        <v>40</v>
      </c>
      <c r="K1112" t="s">
        <v>49</v>
      </c>
      <c r="L1112" t="s">
        <v>50</v>
      </c>
      <c r="M1112" t="s">
        <v>51</v>
      </c>
    </row>
    <row r="1113" spans="1:13" x14ac:dyDescent="0.2">
      <c r="A1113" s="1">
        <v>46026</v>
      </c>
      <c r="B1113" t="s">
        <v>52</v>
      </c>
      <c r="C1113" t="s">
        <v>53</v>
      </c>
      <c r="E1113">
        <v>209193</v>
      </c>
      <c r="F1113">
        <v>2941</v>
      </c>
      <c r="G1113">
        <v>545.55999999999995</v>
      </c>
      <c r="I1113">
        <v>240</v>
      </c>
      <c r="J1113" t="s">
        <v>40</v>
      </c>
      <c r="K1113" t="s">
        <v>54</v>
      </c>
      <c r="L1113" t="s">
        <v>54</v>
      </c>
      <c r="M1113" t="s">
        <v>54</v>
      </c>
    </row>
    <row r="1114" spans="1:13" x14ac:dyDescent="0.2">
      <c r="A1114" s="1">
        <v>46026</v>
      </c>
      <c r="B1114" t="s">
        <v>52</v>
      </c>
      <c r="C1114" t="s">
        <v>55</v>
      </c>
      <c r="E1114">
        <v>158230</v>
      </c>
      <c r="F1114">
        <v>1835</v>
      </c>
      <c r="G1114">
        <v>460.2</v>
      </c>
      <c r="I1114">
        <v>152</v>
      </c>
      <c r="J1114" t="s">
        <v>40</v>
      </c>
      <c r="K1114" t="s">
        <v>54</v>
      </c>
      <c r="L1114" t="s">
        <v>54</v>
      </c>
      <c r="M1114" t="s">
        <v>54</v>
      </c>
    </row>
    <row r="1115" spans="1:13" x14ac:dyDescent="0.2">
      <c r="A1115" s="1">
        <v>46026</v>
      </c>
      <c r="B1115" t="s">
        <v>56</v>
      </c>
      <c r="C1115" t="s">
        <v>57</v>
      </c>
      <c r="E1115">
        <v>29030</v>
      </c>
      <c r="F1115">
        <v>1739</v>
      </c>
      <c r="G1115">
        <v>373.31</v>
      </c>
      <c r="I1115">
        <v>131</v>
      </c>
      <c r="J1115" t="s">
        <v>40</v>
      </c>
      <c r="K1115" t="s">
        <v>58</v>
      </c>
      <c r="L1115" t="s">
        <v>42</v>
      </c>
      <c r="M1115" t="s">
        <v>43</v>
      </c>
    </row>
    <row r="1116" spans="1:13" x14ac:dyDescent="0.2">
      <c r="A1116" s="1">
        <v>46026</v>
      </c>
      <c r="B1116" t="s">
        <v>56</v>
      </c>
      <c r="C1116" t="s">
        <v>57</v>
      </c>
      <c r="E1116">
        <v>37786</v>
      </c>
      <c r="F1116">
        <v>1965</v>
      </c>
      <c r="G1116">
        <v>378.64</v>
      </c>
      <c r="I1116">
        <v>169</v>
      </c>
      <c r="J1116" t="s">
        <v>40</v>
      </c>
      <c r="K1116" t="s">
        <v>59</v>
      </c>
      <c r="L1116" t="s">
        <v>38</v>
      </c>
      <c r="M1116" t="s">
        <v>43</v>
      </c>
    </row>
    <row r="1117" spans="1:13" x14ac:dyDescent="0.2">
      <c r="A1117" s="1">
        <v>46026</v>
      </c>
      <c r="B1117" t="s">
        <v>60</v>
      </c>
      <c r="C1117" t="s">
        <v>61</v>
      </c>
      <c r="E1117">
        <v>38658</v>
      </c>
      <c r="F1117">
        <v>2535</v>
      </c>
      <c r="G1117">
        <v>486.23</v>
      </c>
      <c r="I1117">
        <v>230</v>
      </c>
      <c r="J1117" t="s">
        <v>40</v>
      </c>
      <c r="K1117" t="s">
        <v>62</v>
      </c>
      <c r="L1117" t="s">
        <v>42</v>
      </c>
      <c r="M1117" t="s">
        <v>47</v>
      </c>
    </row>
    <row r="1118" spans="1:13" x14ac:dyDescent="0.2">
      <c r="A1118" s="1">
        <v>46027</v>
      </c>
      <c r="B1118" t="s">
        <v>35</v>
      </c>
      <c r="C1118" t="s">
        <v>36</v>
      </c>
      <c r="E1118">
        <v>31955</v>
      </c>
      <c r="F1118">
        <v>2152</v>
      </c>
      <c r="G1118">
        <v>445.89</v>
      </c>
      <c r="I1118">
        <v>123</v>
      </c>
      <c r="J1118" t="s">
        <v>40</v>
      </c>
      <c r="K1118" t="s">
        <v>37</v>
      </c>
      <c r="L1118" t="s">
        <v>38</v>
      </c>
      <c r="M1118" t="s">
        <v>39</v>
      </c>
    </row>
    <row r="1119" spans="1:13" x14ac:dyDescent="0.2">
      <c r="A1119" s="1">
        <v>46027</v>
      </c>
      <c r="B1119" t="s">
        <v>35</v>
      </c>
      <c r="C1119" t="s">
        <v>36</v>
      </c>
      <c r="E1119">
        <v>15050</v>
      </c>
      <c r="F1119">
        <v>901</v>
      </c>
      <c r="G1119">
        <v>208.2</v>
      </c>
      <c r="I1119">
        <v>51</v>
      </c>
      <c r="J1119" t="s">
        <v>40</v>
      </c>
      <c r="K1119" t="s">
        <v>41</v>
      </c>
      <c r="L1119" t="s">
        <v>42</v>
      </c>
      <c r="M1119" t="s">
        <v>43</v>
      </c>
    </row>
    <row r="1120" spans="1:13" x14ac:dyDescent="0.2">
      <c r="A1120" s="1">
        <v>46027</v>
      </c>
      <c r="B1120" t="s">
        <v>44</v>
      </c>
      <c r="C1120" t="s">
        <v>45</v>
      </c>
      <c r="E1120">
        <v>20936</v>
      </c>
      <c r="F1120">
        <v>1189</v>
      </c>
      <c r="G1120">
        <v>244.35</v>
      </c>
      <c r="I1120">
        <v>70</v>
      </c>
      <c r="J1120" t="s">
        <v>40</v>
      </c>
      <c r="K1120" t="s">
        <v>46</v>
      </c>
      <c r="L1120" t="s">
        <v>42</v>
      </c>
      <c r="M1120" t="s">
        <v>47</v>
      </c>
    </row>
    <row r="1121" spans="1:13" x14ac:dyDescent="0.2">
      <c r="A1121" s="1">
        <v>46027</v>
      </c>
      <c r="B1121" t="s">
        <v>44</v>
      </c>
      <c r="C1121" t="s">
        <v>48</v>
      </c>
      <c r="E1121">
        <v>17558</v>
      </c>
      <c r="F1121">
        <v>939</v>
      </c>
      <c r="G1121">
        <v>216.8</v>
      </c>
      <c r="I1121">
        <v>53</v>
      </c>
      <c r="J1121" t="s">
        <v>40</v>
      </c>
      <c r="K1121" t="s">
        <v>49</v>
      </c>
      <c r="L1121" t="s">
        <v>50</v>
      </c>
      <c r="M1121" t="s">
        <v>51</v>
      </c>
    </row>
    <row r="1122" spans="1:13" x14ac:dyDescent="0.2">
      <c r="A1122" s="1">
        <v>46027</v>
      </c>
      <c r="B1122" t="s">
        <v>52</v>
      </c>
      <c r="C1122" t="s">
        <v>53</v>
      </c>
      <c r="E1122">
        <v>91610</v>
      </c>
      <c r="F1122">
        <v>1119</v>
      </c>
      <c r="G1122">
        <v>254.21</v>
      </c>
      <c r="I1122">
        <v>78</v>
      </c>
      <c r="J1122" t="s">
        <v>40</v>
      </c>
      <c r="K1122" t="s">
        <v>54</v>
      </c>
      <c r="L1122" t="s">
        <v>54</v>
      </c>
      <c r="M1122" t="s">
        <v>54</v>
      </c>
    </row>
    <row r="1123" spans="1:13" x14ac:dyDescent="0.2">
      <c r="A1123" s="1">
        <v>46027</v>
      </c>
      <c r="B1123" t="s">
        <v>52</v>
      </c>
      <c r="C1123" t="s">
        <v>55</v>
      </c>
      <c r="E1123">
        <v>109671</v>
      </c>
      <c r="F1123">
        <v>1304</v>
      </c>
      <c r="G1123">
        <v>359.95</v>
      </c>
      <c r="I1123">
        <v>73</v>
      </c>
      <c r="J1123" t="s">
        <v>40</v>
      </c>
      <c r="K1123" t="s">
        <v>54</v>
      </c>
      <c r="L1123" t="s">
        <v>54</v>
      </c>
      <c r="M1123" t="s">
        <v>54</v>
      </c>
    </row>
    <row r="1124" spans="1:13" x14ac:dyDescent="0.2">
      <c r="A1124" s="1">
        <v>46027</v>
      </c>
      <c r="B1124" t="s">
        <v>56</v>
      </c>
      <c r="C1124" t="s">
        <v>57</v>
      </c>
      <c r="E1124">
        <v>37483</v>
      </c>
      <c r="F1124">
        <v>2001</v>
      </c>
      <c r="G1124">
        <v>409.86</v>
      </c>
      <c r="I1124">
        <v>183</v>
      </c>
      <c r="J1124" t="s">
        <v>40</v>
      </c>
      <c r="K1124" t="s">
        <v>58</v>
      </c>
      <c r="L1124" t="s">
        <v>42</v>
      </c>
      <c r="M1124" t="s">
        <v>43</v>
      </c>
    </row>
    <row r="1125" spans="1:13" x14ac:dyDescent="0.2">
      <c r="A1125" s="1">
        <v>46027</v>
      </c>
      <c r="B1125" t="s">
        <v>56</v>
      </c>
      <c r="C1125" t="s">
        <v>57</v>
      </c>
      <c r="E1125">
        <v>30967</v>
      </c>
      <c r="F1125">
        <v>1688</v>
      </c>
      <c r="G1125">
        <v>316.99</v>
      </c>
      <c r="I1125">
        <v>118</v>
      </c>
      <c r="J1125" t="s">
        <v>40</v>
      </c>
      <c r="K1125" t="s">
        <v>59</v>
      </c>
      <c r="L1125" t="s">
        <v>38</v>
      </c>
      <c r="M1125" t="s">
        <v>43</v>
      </c>
    </row>
    <row r="1126" spans="1:13" x14ac:dyDescent="0.2">
      <c r="A1126" s="1">
        <v>46027</v>
      </c>
      <c r="B1126" t="s">
        <v>60</v>
      </c>
      <c r="C1126" t="s">
        <v>61</v>
      </c>
      <c r="E1126">
        <v>42901</v>
      </c>
      <c r="F1126">
        <v>2752</v>
      </c>
      <c r="G1126">
        <v>509.86</v>
      </c>
      <c r="I1126">
        <v>175</v>
      </c>
      <c r="J1126" t="s">
        <v>40</v>
      </c>
      <c r="K1126" t="s">
        <v>62</v>
      </c>
      <c r="L1126" t="s">
        <v>42</v>
      </c>
      <c r="M1126" t="s">
        <v>47</v>
      </c>
    </row>
    <row r="1127" spans="1:13" x14ac:dyDescent="0.2">
      <c r="A1127" s="1">
        <v>46028</v>
      </c>
      <c r="B1127" t="s">
        <v>35</v>
      </c>
      <c r="C1127" t="s">
        <v>36</v>
      </c>
      <c r="E1127">
        <v>43801</v>
      </c>
      <c r="F1127">
        <v>3134</v>
      </c>
      <c r="G1127">
        <v>863.13</v>
      </c>
      <c r="I1127">
        <v>181</v>
      </c>
      <c r="J1127" t="s">
        <v>40</v>
      </c>
      <c r="K1127" t="s">
        <v>37</v>
      </c>
      <c r="L1127" t="s">
        <v>38</v>
      </c>
      <c r="M1127" t="s">
        <v>39</v>
      </c>
    </row>
    <row r="1128" spans="1:13" x14ac:dyDescent="0.2">
      <c r="A1128" s="1">
        <v>46028</v>
      </c>
      <c r="B1128" t="s">
        <v>35</v>
      </c>
      <c r="C1128" t="s">
        <v>36</v>
      </c>
      <c r="E1128">
        <v>40480</v>
      </c>
      <c r="F1128">
        <v>2784</v>
      </c>
      <c r="G1128">
        <v>716.47</v>
      </c>
      <c r="I1128">
        <v>187</v>
      </c>
      <c r="J1128" t="s">
        <v>40</v>
      </c>
      <c r="K1128" t="s">
        <v>41</v>
      </c>
      <c r="L1128" t="s">
        <v>42</v>
      </c>
      <c r="M1128" t="s">
        <v>43</v>
      </c>
    </row>
    <row r="1129" spans="1:13" x14ac:dyDescent="0.2">
      <c r="A1129" s="1">
        <v>46028</v>
      </c>
      <c r="B1129" t="s">
        <v>44</v>
      </c>
      <c r="C1129" t="s">
        <v>45</v>
      </c>
      <c r="E1129">
        <v>15661</v>
      </c>
      <c r="F1129">
        <v>959</v>
      </c>
      <c r="G1129">
        <v>173.38</v>
      </c>
      <c r="I1129">
        <v>60</v>
      </c>
      <c r="J1129" t="s">
        <v>40</v>
      </c>
      <c r="K1129" t="s">
        <v>46</v>
      </c>
      <c r="L1129" t="s">
        <v>42</v>
      </c>
      <c r="M1129" t="s">
        <v>47</v>
      </c>
    </row>
    <row r="1130" spans="1:13" x14ac:dyDescent="0.2">
      <c r="A1130" s="1">
        <v>46028</v>
      </c>
      <c r="B1130" t="s">
        <v>44</v>
      </c>
      <c r="C1130" t="s">
        <v>48</v>
      </c>
      <c r="E1130">
        <v>29917</v>
      </c>
      <c r="F1130">
        <v>1967</v>
      </c>
      <c r="G1130">
        <v>401.78</v>
      </c>
      <c r="I1130">
        <v>137</v>
      </c>
      <c r="J1130" t="s">
        <v>40</v>
      </c>
      <c r="K1130" t="s">
        <v>49</v>
      </c>
      <c r="L1130" t="s">
        <v>50</v>
      </c>
      <c r="M1130" t="s">
        <v>51</v>
      </c>
    </row>
    <row r="1131" spans="1:13" x14ac:dyDescent="0.2">
      <c r="A1131" s="1">
        <v>46028</v>
      </c>
      <c r="B1131" t="s">
        <v>52</v>
      </c>
      <c r="C1131" t="s">
        <v>53</v>
      </c>
      <c r="E1131">
        <v>154665</v>
      </c>
      <c r="F1131">
        <v>2472</v>
      </c>
      <c r="G1131">
        <v>636.76</v>
      </c>
      <c r="I1131">
        <v>208</v>
      </c>
      <c r="J1131" t="s">
        <v>40</v>
      </c>
      <c r="K1131" t="s">
        <v>54</v>
      </c>
      <c r="L1131" t="s">
        <v>54</v>
      </c>
      <c r="M1131" t="s">
        <v>54</v>
      </c>
    </row>
    <row r="1132" spans="1:13" x14ac:dyDescent="0.2">
      <c r="A1132" s="1">
        <v>46028</v>
      </c>
      <c r="B1132" t="s">
        <v>52</v>
      </c>
      <c r="C1132" t="s">
        <v>55</v>
      </c>
      <c r="E1132">
        <v>161638</v>
      </c>
      <c r="F1132">
        <v>2392</v>
      </c>
      <c r="G1132">
        <v>489.19</v>
      </c>
      <c r="I1132">
        <v>132</v>
      </c>
      <c r="J1132" t="s">
        <v>40</v>
      </c>
      <c r="K1132" t="s">
        <v>54</v>
      </c>
      <c r="L1132" t="s">
        <v>54</v>
      </c>
      <c r="M1132" t="s">
        <v>54</v>
      </c>
    </row>
    <row r="1133" spans="1:13" x14ac:dyDescent="0.2">
      <c r="A1133" s="1">
        <v>46028</v>
      </c>
      <c r="B1133" t="s">
        <v>56</v>
      </c>
      <c r="C1133" t="s">
        <v>57</v>
      </c>
      <c r="E1133">
        <v>36872</v>
      </c>
      <c r="F1133">
        <v>1791</v>
      </c>
      <c r="G1133">
        <v>419.37</v>
      </c>
      <c r="I1133">
        <v>144</v>
      </c>
      <c r="J1133" t="s">
        <v>40</v>
      </c>
      <c r="K1133" t="s">
        <v>58</v>
      </c>
      <c r="L1133" t="s">
        <v>42</v>
      </c>
      <c r="M1133" t="s">
        <v>43</v>
      </c>
    </row>
    <row r="1134" spans="1:13" x14ac:dyDescent="0.2">
      <c r="A1134" s="1">
        <v>46028</v>
      </c>
      <c r="B1134" t="s">
        <v>56</v>
      </c>
      <c r="C1134" t="s">
        <v>57</v>
      </c>
      <c r="E1134">
        <v>10628</v>
      </c>
      <c r="F1134">
        <v>752</v>
      </c>
      <c r="G1134">
        <v>135.47</v>
      </c>
      <c r="I1134">
        <v>61</v>
      </c>
      <c r="J1134" t="s">
        <v>40</v>
      </c>
      <c r="K1134" t="s">
        <v>59</v>
      </c>
      <c r="L1134" t="s">
        <v>38</v>
      </c>
      <c r="M1134" t="s">
        <v>43</v>
      </c>
    </row>
    <row r="1135" spans="1:13" x14ac:dyDescent="0.2">
      <c r="A1135" s="1">
        <v>46028</v>
      </c>
      <c r="B1135" t="s">
        <v>60</v>
      </c>
      <c r="C1135" t="s">
        <v>61</v>
      </c>
      <c r="E1135">
        <v>30153</v>
      </c>
      <c r="F1135">
        <v>1522</v>
      </c>
      <c r="G1135">
        <v>354.6</v>
      </c>
      <c r="I1135">
        <v>98</v>
      </c>
      <c r="J1135" t="s">
        <v>40</v>
      </c>
      <c r="K1135" t="s">
        <v>62</v>
      </c>
      <c r="L1135" t="s">
        <v>42</v>
      </c>
      <c r="M1135" t="s">
        <v>47</v>
      </c>
    </row>
    <row r="1136" spans="1:13" x14ac:dyDescent="0.2">
      <c r="A1136" s="1">
        <v>46029</v>
      </c>
      <c r="B1136" t="s">
        <v>35</v>
      </c>
      <c r="C1136" t="s">
        <v>36</v>
      </c>
      <c r="E1136">
        <v>42245</v>
      </c>
      <c r="F1136">
        <v>3002</v>
      </c>
      <c r="G1136">
        <v>832.32</v>
      </c>
      <c r="I1136">
        <v>182</v>
      </c>
      <c r="J1136" t="s">
        <v>40</v>
      </c>
      <c r="K1136" t="s">
        <v>37</v>
      </c>
      <c r="L1136" t="s">
        <v>38</v>
      </c>
      <c r="M1136" t="s">
        <v>39</v>
      </c>
    </row>
    <row r="1137" spans="1:13" x14ac:dyDescent="0.2">
      <c r="A1137" s="1">
        <v>46029</v>
      </c>
      <c r="B1137" t="s">
        <v>35</v>
      </c>
      <c r="C1137" t="s">
        <v>36</v>
      </c>
      <c r="E1137">
        <v>28338</v>
      </c>
      <c r="F1137">
        <v>1423</v>
      </c>
      <c r="G1137">
        <v>387.24</v>
      </c>
      <c r="I1137">
        <v>129</v>
      </c>
      <c r="J1137" t="s">
        <v>40</v>
      </c>
      <c r="K1137" t="s">
        <v>41</v>
      </c>
      <c r="L1137" t="s">
        <v>42</v>
      </c>
      <c r="M1137" t="s">
        <v>43</v>
      </c>
    </row>
    <row r="1138" spans="1:13" x14ac:dyDescent="0.2">
      <c r="A1138" s="1">
        <v>46029</v>
      </c>
      <c r="B1138" t="s">
        <v>44</v>
      </c>
      <c r="C1138" t="s">
        <v>45</v>
      </c>
      <c r="E1138">
        <v>44062</v>
      </c>
      <c r="F1138">
        <v>2551</v>
      </c>
      <c r="G1138">
        <v>687.64</v>
      </c>
      <c r="I1138">
        <v>187</v>
      </c>
      <c r="J1138" t="s">
        <v>40</v>
      </c>
      <c r="K1138" t="s">
        <v>46</v>
      </c>
      <c r="L1138" t="s">
        <v>42</v>
      </c>
      <c r="M1138" t="s">
        <v>47</v>
      </c>
    </row>
    <row r="1139" spans="1:13" x14ac:dyDescent="0.2">
      <c r="A1139" s="1">
        <v>46029</v>
      </c>
      <c r="B1139" t="s">
        <v>44</v>
      </c>
      <c r="C1139" t="s">
        <v>48</v>
      </c>
      <c r="E1139">
        <v>15564</v>
      </c>
      <c r="F1139">
        <v>964</v>
      </c>
      <c r="G1139">
        <v>222.24</v>
      </c>
      <c r="I1139">
        <v>77</v>
      </c>
      <c r="J1139" t="s">
        <v>40</v>
      </c>
      <c r="K1139" t="s">
        <v>49</v>
      </c>
      <c r="L1139" t="s">
        <v>50</v>
      </c>
      <c r="M1139" t="s">
        <v>51</v>
      </c>
    </row>
    <row r="1140" spans="1:13" x14ac:dyDescent="0.2">
      <c r="A1140" s="1">
        <v>46029</v>
      </c>
      <c r="B1140" t="s">
        <v>52</v>
      </c>
      <c r="C1140" t="s">
        <v>53</v>
      </c>
      <c r="E1140">
        <v>141688</v>
      </c>
      <c r="F1140">
        <v>1611</v>
      </c>
      <c r="G1140">
        <v>381.46</v>
      </c>
      <c r="I1140">
        <v>116</v>
      </c>
      <c r="J1140" t="s">
        <v>40</v>
      </c>
      <c r="K1140" t="s">
        <v>54</v>
      </c>
      <c r="L1140" t="s">
        <v>54</v>
      </c>
      <c r="M1140" t="s">
        <v>54</v>
      </c>
    </row>
    <row r="1141" spans="1:13" x14ac:dyDescent="0.2">
      <c r="A1141" s="1">
        <v>46029</v>
      </c>
      <c r="B1141" t="s">
        <v>52</v>
      </c>
      <c r="C1141" t="s">
        <v>55</v>
      </c>
      <c r="E1141">
        <v>107132</v>
      </c>
      <c r="F1141">
        <v>1305</v>
      </c>
      <c r="G1141">
        <v>268.95999999999998</v>
      </c>
      <c r="I1141">
        <v>88</v>
      </c>
      <c r="J1141" t="s">
        <v>40</v>
      </c>
      <c r="K1141" t="s">
        <v>54</v>
      </c>
      <c r="L1141" t="s">
        <v>54</v>
      </c>
      <c r="M1141" t="s">
        <v>54</v>
      </c>
    </row>
    <row r="1142" spans="1:13" x14ac:dyDescent="0.2">
      <c r="A1142" s="1">
        <v>46029</v>
      </c>
      <c r="B1142" t="s">
        <v>56</v>
      </c>
      <c r="C1142" t="s">
        <v>57</v>
      </c>
      <c r="E1142">
        <v>35752</v>
      </c>
      <c r="F1142">
        <v>2317</v>
      </c>
      <c r="G1142">
        <v>587.44000000000005</v>
      </c>
      <c r="I1142">
        <v>156</v>
      </c>
      <c r="J1142" t="s">
        <v>40</v>
      </c>
      <c r="K1142" t="s">
        <v>58</v>
      </c>
      <c r="L1142" t="s">
        <v>42</v>
      </c>
      <c r="M1142" t="s">
        <v>43</v>
      </c>
    </row>
    <row r="1143" spans="1:13" x14ac:dyDescent="0.2">
      <c r="A1143" s="1">
        <v>46029</v>
      </c>
      <c r="B1143" t="s">
        <v>56</v>
      </c>
      <c r="C1143" t="s">
        <v>57</v>
      </c>
      <c r="E1143">
        <v>27822</v>
      </c>
      <c r="F1143">
        <v>1491</v>
      </c>
      <c r="G1143">
        <v>409.06</v>
      </c>
      <c r="I1143">
        <v>90</v>
      </c>
      <c r="J1143" t="s">
        <v>40</v>
      </c>
      <c r="K1143" t="s">
        <v>59</v>
      </c>
      <c r="L1143" t="s">
        <v>38</v>
      </c>
      <c r="M1143" t="s">
        <v>43</v>
      </c>
    </row>
    <row r="1144" spans="1:13" x14ac:dyDescent="0.2">
      <c r="A1144" s="1">
        <v>46029</v>
      </c>
      <c r="B1144" t="s">
        <v>60</v>
      </c>
      <c r="C1144" t="s">
        <v>61</v>
      </c>
      <c r="E1144">
        <v>17141</v>
      </c>
      <c r="F1144">
        <v>886</v>
      </c>
      <c r="G1144">
        <v>174.04</v>
      </c>
      <c r="I1144">
        <v>65</v>
      </c>
      <c r="J1144" t="s">
        <v>40</v>
      </c>
      <c r="K1144" t="s">
        <v>62</v>
      </c>
      <c r="L1144" t="s">
        <v>42</v>
      </c>
      <c r="M1144" t="s">
        <v>47</v>
      </c>
    </row>
    <row r="1145" spans="1:13" x14ac:dyDescent="0.2">
      <c r="A1145" s="1">
        <v>46030</v>
      </c>
      <c r="B1145" t="s">
        <v>35</v>
      </c>
      <c r="C1145" t="s">
        <v>36</v>
      </c>
      <c r="E1145">
        <v>36641</v>
      </c>
      <c r="F1145">
        <v>1864</v>
      </c>
      <c r="G1145">
        <v>402.3</v>
      </c>
      <c r="I1145">
        <v>159</v>
      </c>
      <c r="J1145" t="s">
        <v>40</v>
      </c>
      <c r="K1145" t="s">
        <v>37</v>
      </c>
      <c r="L1145" t="s">
        <v>38</v>
      </c>
      <c r="M1145" t="s">
        <v>39</v>
      </c>
    </row>
    <row r="1146" spans="1:13" x14ac:dyDescent="0.2">
      <c r="A1146" s="1">
        <v>46030</v>
      </c>
      <c r="B1146" t="s">
        <v>35</v>
      </c>
      <c r="C1146" t="s">
        <v>36</v>
      </c>
      <c r="E1146">
        <v>39616</v>
      </c>
      <c r="F1146">
        <v>2194</v>
      </c>
      <c r="G1146">
        <v>453.06</v>
      </c>
      <c r="I1146">
        <v>131</v>
      </c>
      <c r="J1146" t="s">
        <v>40</v>
      </c>
      <c r="K1146" t="s">
        <v>41</v>
      </c>
      <c r="L1146" t="s">
        <v>42</v>
      </c>
      <c r="M1146" t="s">
        <v>43</v>
      </c>
    </row>
    <row r="1147" spans="1:13" x14ac:dyDescent="0.2">
      <c r="A1147" s="1">
        <v>46030</v>
      </c>
      <c r="B1147" t="s">
        <v>44</v>
      </c>
      <c r="C1147" t="s">
        <v>45</v>
      </c>
      <c r="E1147">
        <v>20329</v>
      </c>
      <c r="F1147">
        <v>1369</v>
      </c>
      <c r="G1147">
        <v>288.07</v>
      </c>
      <c r="I1147">
        <v>113</v>
      </c>
      <c r="J1147" t="s">
        <v>40</v>
      </c>
      <c r="K1147" t="s">
        <v>46</v>
      </c>
      <c r="L1147" t="s">
        <v>42</v>
      </c>
      <c r="M1147" t="s">
        <v>47</v>
      </c>
    </row>
    <row r="1148" spans="1:13" x14ac:dyDescent="0.2">
      <c r="A1148" s="1">
        <v>46030</v>
      </c>
      <c r="B1148" t="s">
        <v>44</v>
      </c>
      <c r="C1148" t="s">
        <v>48</v>
      </c>
      <c r="E1148">
        <v>12643</v>
      </c>
      <c r="F1148">
        <v>672</v>
      </c>
      <c r="G1148">
        <v>178.52</v>
      </c>
      <c r="I1148">
        <v>40</v>
      </c>
      <c r="J1148" t="s">
        <v>40</v>
      </c>
      <c r="K1148" t="s">
        <v>49</v>
      </c>
      <c r="L1148" t="s">
        <v>50</v>
      </c>
      <c r="M1148" t="s">
        <v>51</v>
      </c>
    </row>
    <row r="1149" spans="1:13" x14ac:dyDescent="0.2">
      <c r="A1149" s="1">
        <v>46030</v>
      </c>
      <c r="B1149" t="s">
        <v>52</v>
      </c>
      <c r="C1149" t="s">
        <v>53</v>
      </c>
      <c r="E1149">
        <v>122534</v>
      </c>
      <c r="F1149">
        <v>1941</v>
      </c>
      <c r="G1149">
        <v>426.29</v>
      </c>
      <c r="I1149">
        <v>110</v>
      </c>
      <c r="J1149" t="s">
        <v>40</v>
      </c>
      <c r="K1149" t="s">
        <v>54</v>
      </c>
      <c r="L1149" t="s">
        <v>54</v>
      </c>
      <c r="M1149" t="s">
        <v>54</v>
      </c>
    </row>
    <row r="1150" spans="1:13" x14ac:dyDescent="0.2">
      <c r="A1150" s="1">
        <v>46030</v>
      </c>
      <c r="B1150" t="s">
        <v>52</v>
      </c>
      <c r="C1150" t="s">
        <v>55</v>
      </c>
      <c r="E1150">
        <v>129169</v>
      </c>
      <c r="F1150">
        <v>1588</v>
      </c>
      <c r="G1150">
        <v>443.16</v>
      </c>
      <c r="I1150">
        <v>89</v>
      </c>
      <c r="J1150" t="s">
        <v>40</v>
      </c>
      <c r="K1150" t="s">
        <v>54</v>
      </c>
      <c r="L1150" t="s">
        <v>54</v>
      </c>
      <c r="M1150" t="s">
        <v>54</v>
      </c>
    </row>
    <row r="1151" spans="1:13" x14ac:dyDescent="0.2">
      <c r="A1151" s="1">
        <v>46030</v>
      </c>
      <c r="B1151" t="s">
        <v>56</v>
      </c>
      <c r="C1151" t="s">
        <v>57</v>
      </c>
      <c r="E1151">
        <v>36502</v>
      </c>
      <c r="F1151">
        <v>2500</v>
      </c>
      <c r="G1151">
        <v>588.99</v>
      </c>
      <c r="I1151">
        <v>192</v>
      </c>
      <c r="J1151" t="s">
        <v>40</v>
      </c>
      <c r="K1151" t="s">
        <v>58</v>
      </c>
      <c r="L1151" t="s">
        <v>42</v>
      </c>
      <c r="M1151" t="s">
        <v>43</v>
      </c>
    </row>
    <row r="1152" spans="1:13" x14ac:dyDescent="0.2">
      <c r="A1152" s="1">
        <v>46030</v>
      </c>
      <c r="B1152" t="s">
        <v>56</v>
      </c>
      <c r="C1152" t="s">
        <v>57</v>
      </c>
      <c r="E1152">
        <v>16207</v>
      </c>
      <c r="F1152">
        <v>957</v>
      </c>
      <c r="G1152">
        <v>249.19</v>
      </c>
      <c r="I1152">
        <v>57</v>
      </c>
      <c r="J1152" t="s">
        <v>40</v>
      </c>
      <c r="K1152" t="s">
        <v>59</v>
      </c>
      <c r="L1152" t="s">
        <v>38</v>
      </c>
      <c r="M1152" t="s">
        <v>43</v>
      </c>
    </row>
    <row r="1153" spans="1:13" x14ac:dyDescent="0.2">
      <c r="A1153" s="1">
        <v>46030</v>
      </c>
      <c r="B1153" t="s">
        <v>60</v>
      </c>
      <c r="C1153" t="s">
        <v>61</v>
      </c>
      <c r="E1153">
        <v>10783</v>
      </c>
      <c r="F1153">
        <v>533</v>
      </c>
      <c r="G1153">
        <v>137.57</v>
      </c>
      <c r="I1153">
        <v>34</v>
      </c>
      <c r="J1153" t="s">
        <v>40</v>
      </c>
      <c r="K1153" t="s">
        <v>62</v>
      </c>
      <c r="L1153" t="s">
        <v>42</v>
      </c>
      <c r="M1153" t="s">
        <v>47</v>
      </c>
    </row>
    <row r="1154" spans="1:13" x14ac:dyDescent="0.2">
      <c r="A1154" s="1">
        <v>46031</v>
      </c>
      <c r="B1154" t="s">
        <v>35</v>
      </c>
      <c r="C1154" t="s">
        <v>36</v>
      </c>
      <c r="E1154">
        <v>22984</v>
      </c>
      <c r="F1154">
        <v>1557</v>
      </c>
      <c r="G1154">
        <v>338.22</v>
      </c>
      <c r="I1154">
        <v>124</v>
      </c>
      <c r="J1154" t="s">
        <v>40</v>
      </c>
      <c r="K1154" t="s">
        <v>37</v>
      </c>
      <c r="L1154" t="s">
        <v>38</v>
      </c>
      <c r="M1154" t="s">
        <v>39</v>
      </c>
    </row>
    <row r="1155" spans="1:13" x14ac:dyDescent="0.2">
      <c r="A1155" s="1">
        <v>46031</v>
      </c>
      <c r="B1155" t="s">
        <v>35</v>
      </c>
      <c r="C1155" t="s">
        <v>36</v>
      </c>
      <c r="E1155">
        <v>15507</v>
      </c>
      <c r="F1155">
        <v>961</v>
      </c>
      <c r="G1155">
        <v>197.85</v>
      </c>
      <c r="I1155">
        <v>84</v>
      </c>
      <c r="J1155" t="s">
        <v>40</v>
      </c>
      <c r="K1155" t="s">
        <v>41</v>
      </c>
      <c r="L1155" t="s">
        <v>42</v>
      </c>
      <c r="M1155" t="s">
        <v>43</v>
      </c>
    </row>
    <row r="1156" spans="1:13" x14ac:dyDescent="0.2">
      <c r="A1156" s="1">
        <v>46031</v>
      </c>
      <c r="B1156" t="s">
        <v>44</v>
      </c>
      <c r="C1156" t="s">
        <v>45</v>
      </c>
      <c r="E1156">
        <v>11428</v>
      </c>
      <c r="F1156">
        <v>822</v>
      </c>
      <c r="G1156">
        <v>164.22</v>
      </c>
      <c r="I1156">
        <v>66</v>
      </c>
      <c r="J1156" t="s">
        <v>40</v>
      </c>
      <c r="K1156" t="s">
        <v>46</v>
      </c>
      <c r="L1156" t="s">
        <v>42</v>
      </c>
      <c r="M1156" t="s">
        <v>47</v>
      </c>
    </row>
    <row r="1157" spans="1:13" x14ac:dyDescent="0.2">
      <c r="A1157" s="1">
        <v>46031</v>
      </c>
      <c r="B1157" t="s">
        <v>44</v>
      </c>
      <c r="C1157" t="s">
        <v>48</v>
      </c>
      <c r="E1157">
        <v>18440</v>
      </c>
      <c r="F1157">
        <v>925</v>
      </c>
      <c r="G1157">
        <v>244.87</v>
      </c>
      <c r="I1157">
        <v>80</v>
      </c>
      <c r="J1157" t="s">
        <v>40</v>
      </c>
      <c r="K1157" t="s">
        <v>49</v>
      </c>
      <c r="L1157" t="s">
        <v>50</v>
      </c>
      <c r="M1157" t="s">
        <v>51</v>
      </c>
    </row>
    <row r="1158" spans="1:13" x14ac:dyDescent="0.2">
      <c r="A1158" s="1">
        <v>46031</v>
      </c>
      <c r="B1158" t="s">
        <v>52</v>
      </c>
      <c r="C1158" t="s">
        <v>53</v>
      </c>
      <c r="E1158">
        <v>106059</v>
      </c>
      <c r="F1158">
        <v>1189</v>
      </c>
      <c r="G1158">
        <v>268.83</v>
      </c>
      <c r="I1158">
        <v>73</v>
      </c>
      <c r="J1158" t="s">
        <v>40</v>
      </c>
      <c r="K1158" t="s">
        <v>54</v>
      </c>
      <c r="L1158" t="s">
        <v>54</v>
      </c>
      <c r="M1158" t="s">
        <v>54</v>
      </c>
    </row>
    <row r="1159" spans="1:13" x14ac:dyDescent="0.2">
      <c r="A1159" s="1">
        <v>46031</v>
      </c>
      <c r="B1159" t="s">
        <v>52</v>
      </c>
      <c r="C1159" t="s">
        <v>55</v>
      </c>
      <c r="E1159">
        <v>165220</v>
      </c>
      <c r="F1159">
        <v>2175</v>
      </c>
      <c r="G1159">
        <v>549.05999999999995</v>
      </c>
      <c r="I1159">
        <v>162</v>
      </c>
      <c r="J1159" t="s">
        <v>40</v>
      </c>
      <c r="K1159" t="s">
        <v>54</v>
      </c>
      <c r="L1159" t="s">
        <v>54</v>
      </c>
      <c r="M1159" t="s">
        <v>54</v>
      </c>
    </row>
    <row r="1160" spans="1:13" x14ac:dyDescent="0.2">
      <c r="A1160" s="1">
        <v>46031</v>
      </c>
      <c r="B1160" t="s">
        <v>56</v>
      </c>
      <c r="C1160" t="s">
        <v>57</v>
      </c>
      <c r="E1160">
        <v>35082</v>
      </c>
      <c r="F1160">
        <v>2259</v>
      </c>
      <c r="G1160">
        <v>445.66</v>
      </c>
      <c r="I1160">
        <v>143</v>
      </c>
      <c r="J1160" t="s">
        <v>40</v>
      </c>
      <c r="K1160" t="s">
        <v>58</v>
      </c>
      <c r="L1160" t="s">
        <v>42</v>
      </c>
      <c r="M1160" t="s">
        <v>43</v>
      </c>
    </row>
    <row r="1161" spans="1:13" x14ac:dyDescent="0.2">
      <c r="A1161" s="1">
        <v>46031</v>
      </c>
      <c r="B1161" t="s">
        <v>56</v>
      </c>
      <c r="C1161" t="s">
        <v>57</v>
      </c>
      <c r="E1161">
        <v>22265</v>
      </c>
      <c r="F1161">
        <v>1215</v>
      </c>
      <c r="G1161">
        <v>272.89</v>
      </c>
      <c r="I1161">
        <v>74</v>
      </c>
      <c r="J1161" t="s">
        <v>40</v>
      </c>
      <c r="K1161" t="s">
        <v>59</v>
      </c>
      <c r="L1161" t="s">
        <v>38</v>
      </c>
      <c r="M1161" t="s">
        <v>43</v>
      </c>
    </row>
    <row r="1162" spans="1:13" x14ac:dyDescent="0.2">
      <c r="A1162" s="1">
        <v>46031</v>
      </c>
      <c r="B1162" t="s">
        <v>60</v>
      </c>
      <c r="C1162" t="s">
        <v>61</v>
      </c>
      <c r="E1162">
        <v>26107</v>
      </c>
      <c r="F1162">
        <v>1658</v>
      </c>
      <c r="G1162">
        <v>381.16</v>
      </c>
      <c r="I1162">
        <v>149</v>
      </c>
      <c r="J1162" t="s">
        <v>40</v>
      </c>
      <c r="K1162" t="s">
        <v>62</v>
      </c>
      <c r="L1162" t="s">
        <v>42</v>
      </c>
      <c r="M1162" t="s">
        <v>47</v>
      </c>
    </row>
    <row r="1163" spans="1:13" x14ac:dyDescent="0.2">
      <c r="A1163" s="1">
        <v>46032</v>
      </c>
      <c r="B1163" t="s">
        <v>35</v>
      </c>
      <c r="C1163" t="s">
        <v>36</v>
      </c>
      <c r="E1163">
        <v>57950</v>
      </c>
      <c r="F1163">
        <v>2866</v>
      </c>
      <c r="G1163">
        <v>596.05999999999995</v>
      </c>
      <c r="I1163">
        <v>173</v>
      </c>
      <c r="J1163" t="s">
        <v>40</v>
      </c>
      <c r="K1163" t="s">
        <v>37</v>
      </c>
      <c r="L1163" t="s">
        <v>38</v>
      </c>
      <c r="M1163" t="s">
        <v>39</v>
      </c>
    </row>
    <row r="1164" spans="1:13" x14ac:dyDescent="0.2">
      <c r="A1164" s="1">
        <v>46032</v>
      </c>
      <c r="B1164" t="s">
        <v>35</v>
      </c>
      <c r="C1164" t="s">
        <v>36</v>
      </c>
      <c r="E1164">
        <v>32299</v>
      </c>
      <c r="F1164">
        <v>2048</v>
      </c>
      <c r="G1164">
        <v>531.91</v>
      </c>
      <c r="I1164">
        <v>133</v>
      </c>
      <c r="J1164" t="s">
        <v>40</v>
      </c>
      <c r="K1164" t="s">
        <v>41</v>
      </c>
      <c r="L1164" t="s">
        <v>42</v>
      </c>
      <c r="M1164" t="s">
        <v>43</v>
      </c>
    </row>
    <row r="1165" spans="1:13" x14ac:dyDescent="0.2">
      <c r="A1165" s="1">
        <v>46032</v>
      </c>
      <c r="B1165" t="s">
        <v>44</v>
      </c>
      <c r="C1165" t="s">
        <v>45</v>
      </c>
      <c r="E1165">
        <v>15790</v>
      </c>
      <c r="F1165">
        <v>1132</v>
      </c>
      <c r="G1165">
        <v>292.27</v>
      </c>
      <c r="I1165">
        <v>78</v>
      </c>
      <c r="J1165" t="s">
        <v>40</v>
      </c>
      <c r="K1165" t="s">
        <v>46</v>
      </c>
      <c r="L1165" t="s">
        <v>42</v>
      </c>
      <c r="M1165" t="s">
        <v>47</v>
      </c>
    </row>
    <row r="1166" spans="1:13" x14ac:dyDescent="0.2">
      <c r="A1166" s="1">
        <v>46032</v>
      </c>
      <c r="B1166" t="s">
        <v>44</v>
      </c>
      <c r="C1166" t="s">
        <v>48</v>
      </c>
      <c r="E1166">
        <v>58468</v>
      </c>
      <c r="F1166">
        <v>3289</v>
      </c>
      <c r="G1166">
        <v>778.06</v>
      </c>
      <c r="I1166">
        <v>223</v>
      </c>
      <c r="J1166" t="s">
        <v>40</v>
      </c>
      <c r="K1166" t="s">
        <v>49</v>
      </c>
      <c r="L1166" t="s">
        <v>50</v>
      </c>
      <c r="M1166" t="s">
        <v>51</v>
      </c>
    </row>
    <row r="1167" spans="1:13" x14ac:dyDescent="0.2">
      <c r="A1167" s="1">
        <v>46032</v>
      </c>
      <c r="B1167" t="s">
        <v>52</v>
      </c>
      <c r="C1167" t="s">
        <v>53</v>
      </c>
      <c r="E1167">
        <v>175624</v>
      </c>
      <c r="F1167">
        <v>2089</v>
      </c>
      <c r="G1167">
        <v>442.63</v>
      </c>
      <c r="I1167">
        <v>133</v>
      </c>
      <c r="J1167" t="s">
        <v>40</v>
      </c>
      <c r="K1167" t="s">
        <v>54</v>
      </c>
      <c r="L1167" t="s">
        <v>54</v>
      </c>
      <c r="M1167" t="s">
        <v>54</v>
      </c>
    </row>
    <row r="1168" spans="1:13" x14ac:dyDescent="0.2">
      <c r="A1168" s="1">
        <v>46032</v>
      </c>
      <c r="B1168" t="s">
        <v>52</v>
      </c>
      <c r="C1168" t="s">
        <v>55</v>
      </c>
      <c r="E1168">
        <v>177550</v>
      </c>
      <c r="F1168">
        <v>2005</v>
      </c>
      <c r="G1168">
        <v>559.70000000000005</v>
      </c>
      <c r="I1168">
        <v>152</v>
      </c>
      <c r="J1168" t="s">
        <v>40</v>
      </c>
      <c r="K1168" t="s">
        <v>54</v>
      </c>
      <c r="L1168" t="s">
        <v>54</v>
      </c>
      <c r="M1168" t="s">
        <v>54</v>
      </c>
    </row>
    <row r="1169" spans="1:13" x14ac:dyDescent="0.2">
      <c r="A1169" s="1">
        <v>46032</v>
      </c>
      <c r="B1169" t="s">
        <v>56</v>
      </c>
      <c r="C1169" t="s">
        <v>57</v>
      </c>
      <c r="E1169">
        <v>35355</v>
      </c>
      <c r="F1169">
        <v>2523</v>
      </c>
      <c r="G1169">
        <v>479.4</v>
      </c>
      <c r="I1169">
        <v>205</v>
      </c>
      <c r="J1169" t="s">
        <v>40</v>
      </c>
      <c r="K1169" t="s">
        <v>58</v>
      </c>
      <c r="L1169" t="s">
        <v>42</v>
      </c>
      <c r="M1169" t="s">
        <v>43</v>
      </c>
    </row>
    <row r="1170" spans="1:13" x14ac:dyDescent="0.2">
      <c r="A1170" s="1">
        <v>46032</v>
      </c>
      <c r="B1170" t="s">
        <v>56</v>
      </c>
      <c r="C1170" t="s">
        <v>57</v>
      </c>
      <c r="E1170">
        <v>38453</v>
      </c>
      <c r="F1170">
        <v>2338</v>
      </c>
      <c r="G1170">
        <v>605.83000000000004</v>
      </c>
      <c r="I1170">
        <v>197</v>
      </c>
      <c r="J1170" t="s">
        <v>40</v>
      </c>
      <c r="K1170" t="s">
        <v>59</v>
      </c>
      <c r="L1170" t="s">
        <v>38</v>
      </c>
      <c r="M1170" t="s">
        <v>43</v>
      </c>
    </row>
    <row r="1171" spans="1:13" x14ac:dyDescent="0.2">
      <c r="A1171" s="1">
        <v>46032</v>
      </c>
      <c r="B1171" t="s">
        <v>60</v>
      </c>
      <c r="C1171" t="s">
        <v>61</v>
      </c>
      <c r="E1171">
        <v>34130</v>
      </c>
      <c r="F1171">
        <v>2109</v>
      </c>
      <c r="G1171">
        <v>586.86</v>
      </c>
      <c r="I1171">
        <v>148</v>
      </c>
      <c r="J1171" t="s">
        <v>40</v>
      </c>
      <c r="K1171" t="s">
        <v>62</v>
      </c>
      <c r="L1171" t="s">
        <v>42</v>
      </c>
      <c r="M1171" t="s">
        <v>47</v>
      </c>
    </row>
    <row r="1172" spans="1:13" x14ac:dyDescent="0.2">
      <c r="A1172" s="1">
        <v>46033</v>
      </c>
      <c r="B1172" t="s">
        <v>35</v>
      </c>
      <c r="C1172" t="s">
        <v>36</v>
      </c>
      <c r="E1172">
        <v>29937</v>
      </c>
      <c r="F1172">
        <v>1563</v>
      </c>
      <c r="G1172">
        <v>373.95</v>
      </c>
      <c r="I1172">
        <v>136</v>
      </c>
      <c r="J1172" t="s">
        <v>40</v>
      </c>
      <c r="K1172" t="s">
        <v>37</v>
      </c>
      <c r="L1172" t="s">
        <v>38</v>
      </c>
      <c r="M1172" t="s">
        <v>39</v>
      </c>
    </row>
    <row r="1173" spans="1:13" x14ac:dyDescent="0.2">
      <c r="A1173" s="1">
        <v>46033</v>
      </c>
      <c r="B1173" t="s">
        <v>35</v>
      </c>
      <c r="C1173" t="s">
        <v>36</v>
      </c>
      <c r="E1173">
        <v>46918</v>
      </c>
      <c r="F1173">
        <v>3281</v>
      </c>
      <c r="G1173">
        <v>599.83000000000004</v>
      </c>
      <c r="I1173">
        <v>272</v>
      </c>
      <c r="J1173" t="s">
        <v>40</v>
      </c>
      <c r="K1173" t="s">
        <v>41</v>
      </c>
      <c r="L1173" t="s">
        <v>42</v>
      </c>
      <c r="M1173" t="s">
        <v>43</v>
      </c>
    </row>
    <row r="1174" spans="1:13" x14ac:dyDescent="0.2">
      <c r="A1174" s="1">
        <v>46033</v>
      </c>
      <c r="B1174" t="s">
        <v>44</v>
      </c>
      <c r="C1174" t="s">
        <v>45</v>
      </c>
      <c r="E1174">
        <v>27036</v>
      </c>
      <c r="F1174">
        <v>1663</v>
      </c>
      <c r="G1174">
        <v>330.64</v>
      </c>
      <c r="I1174">
        <v>157</v>
      </c>
      <c r="J1174" t="s">
        <v>40</v>
      </c>
      <c r="K1174" t="s">
        <v>46</v>
      </c>
      <c r="L1174" t="s">
        <v>42</v>
      </c>
      <c r="M1174" t="s">
        <v>47</v>
      </c>
    </row>
    <row r="1175" spans="1:13" x14ac:dyDescent="0.2">
      <c r="A1175" s="1">
        <v>46033</v>
      </c>
      <c r="B1175" t="s">
        <v>44</v>
      </c>
      <c r="C1175" t="s">
        <v>48</v>
      </c>
      <c r="E1175">
        <v>59161</v>
      </c>
      <c r="F1175">
        <v>3609</v>
      </c>
      <c r="G1175">
        <v>712.98</v>
      </c>
      <c r="I1175">
        <v>203</v>
      </c>
      <c r="J1175" t="s">
        <v>40</v>
      </c>
      <c r="K1175" t="s">
        <v>49</v>
      </c>
      <c r="L1175" t="s">
        <v>50</v>
      </c>
      <c r="M1175" t="s">
        <v>51</v>
      </c>
    </row>
    <row r="1176" spans="1:13" x14ac:dyDescent="0.2">
      <c r="A1176" s="1">
        <v>46033</v>
      </c>
      <c r="B1176" t="s">
        <v>52</v>
      </c>
      <c r="C1176" t="s">
        <v>53</v>
      </c>
      <c r="E1176">
        <v>136306</v>
      </c>
      <c r="F1176">
        <v>1657</v>
      </c>
      <c r="G1176">
        <v>334.52</v>
      </c>
      <c r="I1176">
        <v>126</v>
      </c>
      <c r="J1176" t="s">
        <v>40</v>
      </c>
      <c r="K1176" t="s">
        <v>54</v>
      </c>
      <c r="L1176" t="s">
        <v>54</v>
      </c>
      <c r="M1176" t="s">
        <v>54</v>
      </c>
    </row>
    <row r="1177" spans="1:13" x14ac:dyDescent="0.2">
      <c r="A1177" s="1">
        <v>46033</v>
      </c>
      <c r="B1177" t="s">
        <v>52</v>
      </c>
      <c r="C1177" t="s">
        <v>55</v>
      </c>
      <c r="E1177">
        <v>126124</v>
      </c>
      <c r="F1177">
        <v>1596</v>
      </c>
      <c r="G1177">
        <v>385.3</v>
      </c>
      <c r="I1177">
        <v>139</v>
      </c>
      <c r="J1177" t="s">
        <v>40</v>
      </c>
      <c r="K1177" t="s">
        <v>54</v>
      </c>
      <c r="L1177" t="s">
        <v>54</v>
      </c>
      <c r="M1177" t="s">
        <v>54</v>
      </c>
    </row>
    <row r="1178" spans="1:13" x14ac:dyDescent="0.2">
      <c r="A1178" s="1">
        <v>46033</v>
      </c>
      <c r="B1178" t="s">
        <v>56</v>
      </c>
      <c r="C1178" t="s">
        <v>57</v>
      </c>
      <c r="E1178">
        <v>45263</v>
      </c>
      <c r="F1178">
        <v>2951</v>
      </c>
      <c r="G1178">
        <v>802.31</v>
      </c>
      <c r="I1178">
        <v>261</v>
      </c>
      <c r="J1178" t="s">
        <v>40</v>
      </c>
      <c r="K1178" t="s">
        <v>58</v>
      </c>
      <c r="L1178" t="s">
        <v>42</v>
      </c>
      <c r="M1178" t="s">
        <v>43</v>
      </c>
    </row>
    <row r="1179" spans="1:13" x14ac:dyDescent="0.2">
      <c r="A1179" s="1">
        <v>46033</v>
      </c>
      <c r="B1179" t="s">
        <v>56</v>
      </c>
      <c r="C1179" t="s">
        <v>57</v>
      </c>
      <c r="E1179">
        <v>43688</v>
      </c>
      <c r="F1179">
        <v>2159</v>
      </c>
      <c r="G1179">
        <v>420.51</v>
      </c>
      <c r="I1179">
        <v>179</v>
      </c>
      <c r="J1179" t="s">
        <v>40</v>
      </c>
      <c r="K1179" t="s">
        <v>59</v>
      </c>
      <c r="L1179" t="s">
        <v>38</v>
      </c>
      <c r="M1179" t="s">
        <v>43</v>
      </c>
    </row>
    <row r="1180" spans="1:13" x14ac:dyDescent="0.2">
      <c r="A1180" s="1">
        <v>46033</v>
      </c>
      <c r="B1180" t="s">
        <v>60</v>
      </c>
      <c r="C1180" t="s">
        <v>61</v>
      </c>
      <c r="E1180">
        <v>26996</v>
      </c>
      <c r="F1180">
        <v>1797</v>
      </c>
      <c r="G1180">
        <v>475.57</v>
      </c>
      <c r="I1180">
        <v>160</v>
      </c>
      <c r="J1180" t="s">
        <v>40</v>
      </c>
      <c r="K1180" t="s">
        <v>62</v>
      </c>
      <c r="L1180" t="s">
        <v>42</v>
      </c>
      <c r="M1180" t="s">
        <v>47</v>
      </c>
    </row>
    <row r="1181" spans="1:13" x14ac:dyDescent="0.2">
      <c r="A1181" s="1">
        <v>46034</v>
      </c>
      <c r="B1181" t="s">
        <v>35</v>
      </c>
      <c r="C1181" t="s">
        <v>36</v>
      </c>
      <c r="E1181">
        <v>14753</v>
      </c>
      <c r="F1181">
        <v>840</v>
      </c>
      <c r="G1181">
        <v>230.32</v>
      </c>
      <c r="I1181">
        <v>59</v>
      </c>
      <c r="J1181" t="s">
        <v>40</v>
      </c>
      <c r="K1181" t="s">
        <v>37</v>
      </c>
      <c r="L1181" t="s">
        <v>38</v>
      </c>
      <c r="M1181" t="s">
        <v>39</v>
      </c>
    </row>
    <row r="1182" spans="1:13" x14ac:dyDescent="0.2">
      <c r="A1182" s="1">
        <v>46034</v>
      </c>
      <c r="B1182" t="s">
        <v>35</v>
      </c>
      <c r="C1182" t="s">
        <v>36</v>
      </c>
      <c r="E1182">
        <v>16621</v>
      </c>
      <c r="F1182">
        <v>932</v>
      </c>
      <c r="G1182">
        <v>197.83</v>
      </c>
      <c r="I1182">
        <v>87</v>
      </c>
      <c r="J1182" t="s">
        <v>40</v>
      </c>
      <c r="K1182" t="s">
        <v>41</v>
      </c>
      <c r="L1182" t="s">
        <v>42</v>
      </c>
      <c r="M1182" t="s">
        <v>43</v>
      </c>
    </row>
    <row r="1183" spans="1:13" x14ac:dyDescent="0.2">
      <c r="A1183" s="1">
        <v>46034</v>
      </c>
      <c r="B1183" t="s">
        <v>44</v>
      </c>
      <c r="C1183" t="s">
        <v>45</v>
      </c>
      <c r="E1183">
        <v>38630</v>
      </c>
      <c r="F1183">
        <v>2588</v>
      </c>
      <c r="G1183">
        <v>714.46</v>
      </c>
      <c r="I1183">
        <v>209</v>
      </c>
      <c r="J1183" t="s">
        <v>40</v>
      </c>
      <c r="K1183" t="s">
        <v>46</v>
      </c>
      <c r="L1183" t="s">
        <v>42</v>
      </c>
      <c r="M1183" t="s">
        <v>47</v>
      </c>
    </row>
    <row r="1184" spans="1:13" x14ac:dyDescent="0.2">
      <c r="A1184" s="1">
        <v>46034</v>
      </c>
      <c r="B1184" t="s">
        <v>44</v>
      </c>
      <c r="C1184" t="s">
        <v>48</v>
      </c>
      <c r="E1184">
        <v>21416</v>
      </c>
      <c r="F1184">
        <v>1391</v>
      </c>
      <c r="G1184">
        <v>328.55</v>
      </c>
      <c r="I1184">
        <v>126</v>
      </c>
      <c r="J1184" t="s">
        <v>40</v>
      </c>
      <c r="K1184" t="s">
        <v>49</v>
      </c>
      <c r="L1184" t="s">
        <v>50</v>
      </c>
      <c r="M1184" t="s">
        <v>51</v>
      </c>
    </row>
    <row r="1185" spans="1:13" x14ac:dyDescent="0.2">
      <c r="A1185" s="1">
        <v>46034</v>
      </c>
      <c r="B1185" t="s">
        <v>52</v>
      </c>
      <c r="C1185" t="s">
        <v>53</v>
      </c>
      <c r="E1185">
        <v>136769</v>
      </c>
      <c r="F1185">
        <v>1657</v>
      </c>
      <c r="G1185">
        <v>395.85</v>
      </c>
      <c r="I1185">
        <v>102</v>
      </c>
      <c r="J1185" t="s">
        <v>40</v>
      </c>
      <c r="K1185" t="s">
        <v>54</v>
      </c>
      <c r="L1185" t="s">
        <v>54</v>
      </c>
      <c r="M1185" t="s">
        <v>54</v>
      </c>
    </row>
    <row r="1186" spans="1:13" x14ac:dyDescent="0.2">
      <c r="A1186" s="1">
        <v>46034</v>
      </c>
      <c r="B1186" t="s">
        <v>52</v>
      </c>
      <c r="C1186" t="s">
        <v>55</v>
      </c>
      <c r="E1186">
        <v>130215</v>
      </c>
      <c r="F1186">
        <v>1910</v>
      </c>
      <c r="G1186">
        <v>400.05</v>
      </c>
      <c r="I1186">
        <v>118</v>
      </c>
      <c r="J1186" t="s">
        <v>40</v>
      </c>
      <c r="K1186" t="s">
        <v>54</v>
      </c>
      <c r="L1186" t="s">
        <v>54</v>
      </c>
      <c r="M1186" t="s">
        <v>54</v>
      </c>
    </row>
    <row r="1187" spans="1:13" x14ac:dyDescent="0.2">
      <c r="A1187" s="1">
        <v>46034</v>
      </c>
      <c r="B1187" t="s">
        <v>56</v>
      </c>
      <c r="C1187" t="s">
        <v>57</v>
      </c>
      <c r="E1187">
        <v>10117</v>
      </c>
      <c r="F1187">
        <v>715</v>
      </c>
      <c r="G1187">
        <v>196.53</v>
      </c>
      <c r="I1187">
        <v>50</v>
      </c>
      <c r="J1187" t="s">
        <v>40</v>
      </c>
      <c r="K1187" t="s">
        <v>58</v>
      </c>
      <c r="L1187" t="s">
        <v>42</v>
      </c>
      <c r="M1187" t="s">
        <v>43</v>
      </c>
    </row>
    <row r="1188" spans="1:13" x14ac:dyDescent="0.2">
      <c r="A1188" s="1">
        <v>46034</v>
      </c>
      <c r="B1188" t="s">
        <v>56</v>
      </c>
      <c r="C1188" t="s">
        <v>57</v>
      </c>
      <c r="E1188">
        <v>12122</v>
      </c>
      <c r="F1188">
        <v>634</v>
      </c>
      <c r="G1188">
        <v>134.29</v>
      </c>
      <c r="I1188">
        <v>55</v>
      </c>
      <c r="J1188" t="s">
        <v>40</v>
      </c>
      <c r="K1188" t="s">
        <v>59</v>
      </c>
      <c r="L1188" t="s">
        <v>38</v>
      </c>
      <c r="M1188" t="s">
        <v>43</v>
      </c>
    </row>
    <row r="1189" spans="1:13" x14ac:dyDescent="0.2">
      <c r="A1189" s="1">
        <v>46034</v>
      </c>
      <c r="B1189" t="s">
        <v>60</v>
      </c>
      <c r="C1189" t="s">
        <v>61</v>
      </c>
      <c r="E1189">
        <v>24476</v>
      </c>
      <c r="F1189">
        <v>1550</v>
      </c>
      <c r="G1189">
        <v>295.14</v>
      </c>
      <c r="I1189">
        <v>116</v>
      </c>
      <c r="J1189" t="s">
        <v>40</v>
      </c>
      <c r="K1189" t="s">
        <v>62</v>
      </c>
      <c r="L1189" t="s">
        <v>42</v>
      </c>
      <c r="M1189" t="s">
        <v>47</v>
      </c>
    </row>
    <row r="1190" spans="1:13" x14ac:dyDescent="0.2">
      <c r="A1190" s="1">
        <v>46035</v>
      </c>
      <c r="B1190" t="s">
        <v>35</v>
      </c>
      <c r="C1190" t="s">
        <v>36</v>
      </c>
      <c r="E1190">
        <v>31703</v>
      </c>
      <c r="F1190">
        <v>2088</v>
      </c>
      <c r="G1190">
        <v>425.53</v>
      </c>
      <c r="I1190">
        <v>196</v>
      </c>
      <c r="J1190" t="s">
        <v>40</v>
      </c>
      <c r="K1190" t="s">
        <v>37</v>
      </c>
      <c r="L1190" t="s">
        <v>38</v>
      </c>
      <c r="M1190" t="s">
        <v>39</v>
      </c>
    </row>
    <row r="1191" spans="1:13" x14ac:dyDescent="0.2">
      <c r="A1191" s="1">
        <v>46035</v>
      </c>
      <c r="B1191" t="s">
        <v>35</v>
      </c>
      <c r="C1191" t="s">
        <v>36</v>
      </c>
      <c r="E1191">
        <v>21002</v>
      </c>
      <c r="F1191">
        <v>1328</v>
      </c>
      <c r="G1191">
        <v>366.94</v>
      </c>
      <c r="I1191">
        <v>116</v>
      </c>
      <c r="J1191" t="s">
        <v>40</v>
      </c>
      <c r="K1191" t="s">
        <v>41</v>
      </c>
      <c r="L1191" t="s">
        <v>42</v>
      </c>
      <c r="M1191" t="s">
        <v>43</v>
      </c>
    </row>
    <row r="1192" spans="1:13" x14ac:dyDescent="0.2">
      <c r="A1192" s="1">
        <v>46035</v>
      </c>
      <c r="B1192" t="s">
        <v>44</v>
      </c>
      <c r="C1192" t="s">
        <v>45</v>
      </c>
      <c r="E1192">
        <v>32003</v>
      </c>
      <c r="F1192">
        <v>1879</v>
      </c>
      <c r="G1192">
        <v>388.05</v>
      </c>
      <c r="I1192">
        <v>122</v>
      </c>
      <c r="J1192" t="s">
        <v>40</v>
      </c>
      <c r="K1192" t="s">
        <v>46</v>
      </c>
      <c r="L1192" t="s">
        <v>42</v>
      </c>
      <c r="M1192" t="s">
        <v>47</v>
      </c>
    </row>
    <row r="1193" spans="1:13" x14ac:dyDescent="0.2">
      <c r="A1193" s="1">
        <v>46035</v>
      </c>
      <c r="B1193" t="s">
        <v>44</v>
      </c>
      <c r="C1193" t="s">
        <v>48</v>
      </c>
      <c r="E1193">
        <v>14442</v>
      </c>
      <c r="F1193">
        <v>814</v>
      </c>
      <c r="G1193">
        <v>210.58</v>
      </c>
      <c r="I1193">
        <v>68</v>
      </c>
      <c r="J1193" t="s">
        <v>40</v>
      </c>
      <c r="K1193" t="s">
        <v>49</v>
      </c>
      <c r="L1193" t="s">
        <v>50</v>
      </c>
      <c r="M1193" t="s">
        <v>51</v>
      </c>
    </row>
    <row r="1194" spans="1:13" x14ac:dyDescent="0.2">
      <c r="A1194" s="1">
        <v>46035</v>
      </c>
      <c r="B1194" t="s">
        <v>52</v>
      </c>
      <c r="C1194" t="s">
        <v>53</v>
      </c>
      <c r="E1194">
        <v>96310</v>
      </c>
      <c r="F1194">
        <v>1245</v>
      </c>
      <c r="G1194">
        <v>315.31</v>
      </c>
      <c r="I1194">
        <v>116</v>
      </c>
      <c r="J1194" t="s">
        <v>40</v>
      </c>
      <c r="K1194" t="s">
        <v>54</v>
      </c>
      <c r="L1194" t="s">
        <v>54</v>
      </c>
      <c r="M1194" t="s">
        <v>54</v>
      </c>
    </row>
    <row r="1195" spans="1:13" x14ac:dyDescent="0.2">
      <c r="A1195" s="1">
        <v>46035</v>
      </c>
      <c r="B1195" t="s">
        <v>52</v>
      </c>
      <c r="C1195" t="s">
        <v>55</v>
      </c>
      <c r="E1195">
        <v>144266</v>
      </c>
      <c r="F1195">
        <v>1942</v>
      </c>
      <c r="G1195">
        <v>423.11</v>
      </c>
      <c r="I1195">
        <v>149</v>
      </c>
      <c r="J1195" t="s">
        <v>40</v>
      </c>
      <c r="K1195" t="s">
        <v>54</v>
      </c>
      <c r="L1195" t="s">
        <v>54</v>
      </c>
      <c r="M1195" t="s">
        <v>54</v>
      </c>
    </row>
    <row r="1196" spans="1:13" x14ac:dyDescent="0.2">
      <c r="A1196" s="1">
        <v>46035</v>
      </c>
      <c r="B1196" t="s">
        <v>56</v>
      </c>
      <c r="C1196" t="s">
        <v>57</v>
      </c>
      <c r="E1196">
        <v>16647</v>
      </c>
      <c r="F1196">
        <v>1130</v>
      </c>
      <c r="G1196">
        <v>292.52999999999997</v>
      </c>
      <c r="I1196">
        <v>88</v>
      </c>
      <c r="J1196" t="s">
        <v>40</v>
      </c>
      <c r="K1196" t="s">
        <v>58</v>
      </c>
      <c r="L1196" t="s">
        <v>42</v>
      </c>
      <c r="M1196" t="s">
        <v>43</v>
      </c>
    </row>
    <row r="1197" spans="1:13" x14ac:dyDescent="0.2">
      <c r="A1197" s="1">
        <v>46035</v>
      </c>
      <c r="B1197" t="s">
        <v>56</v>
      </c>
      <c r="C1197" t="s">
        <v>57</v>
      </c>
      <c r="E1197">
        <v>24783</v>
      </c>
      <c r="F1197">
        <v>1286</v>
      </c>
      <c r="G1197">
        <v>240.96</v>
      </c>
      <c r="I1197">
        <v>114</v>
      </c>
      <c r="J1197" t="s">
        <v>40</v>
      </c>
      <c r="K1197" t="s">
        <v>59</v>
      </c>
      <c r="L1197" t="s">
        <v>38</v>
      </c>
      <c r="M1197" t="s">
        <v>43</v>
      </c>
    </row>
    <row r="1198" spans="1:13" x14ac:dyDescent="0.2">
      <c r="A1198" s="1">
        <v>46035</v>
      </c>
      <c r="B1198" t="s">
        <v>60</v>
      </c>
      <c r="C1198" t="s">
        <v>61</v>
      </c>
      <c r="E1198">
        <v>29327</v>
      </c>
      <c r="F1198">
        <v>1421</v>
      </c>
      <c r="G1198">
        <v>292.89</v>
      </c>
      <c r="I1198">
        <v>84</v>
      </c>
      <c r="J1198" t="s">
        <v>40</v>
      </c>
      <c r="K1198" t="s">
        <v>62</v>
      </c>
      <c r="L1198" t="s">
        <v>42</v>
      </c>
      <c r="M1198" t="s">
        <v>47</v>
      </c>
    </row>
    <row r="1199" spans="1:13" x14ac:dyDescent="0.2">
      <c r="A1199" s="1">
        <v>46036</v>
      </c>
      <c r="B1199" t="s">
        <v>35</v>
      </c>
      <c r="C1199" t="s">
        <v>36</v>
      </c>
      <c r="E1199">
        <v>32400</v>
      </c>
      <c r="F1199">
        <v>1687</v>
      </c>
      <c r="G1199">
        <v>367</v>
      </c>
      <c r="I1199">
        <v>142</v>
      </c>
      <c r="J1199" t="s">
        <v>40</v>
      </c>
      <c r="K1199" t="s">
        <v>37</v>
      </c>
      <c r="L1199" t="s">
        <v>38</v>
      </c>
      <c r="M1199" t="s">
        <v>39</v>
      </c>
    </row>
    <row r="1200" spans="1:13" x14ac:dyDescent="0.2">
      <c r="A1200" s="1">
        <v>46036</v>
      </c>
      <c r="B1200" t="s">
        <v>35</v>
      </c>
      <c r="C1200" t="s">
        <v>36</v>
      </c>
      <c r="E1200">
        <v>16101</v>
      </c>
      <c r="F1200">
        <v>903</v>
      </c>
      <c r="G1200">
        <v>251.51</v>
      </c>
      <c r="I1200">
        <v>81</v>
      </c>
      <c r="J1200" t="s">
        <v>40</v>
      </c>
      <c r="K1200" t="s">
        <v>41</v>
      </c>
      <c r="L1200" t="s">
        <v>42</v>
      </c>
      <c r="M1200" t="s">
        <v>43</v>
      </c>
    </row>
    <row r="1201" spans="1:13" x14ac:dyDescent="0.2">
      <c r="A1201" s="1">
        <v>46036</v>
      </c>
      <c r="B1201" t="s">
        <v>44</v>
      </c>
      <c r="C1201" t="s">
        <v>45</v>
      </c>
      <c r="E1201">
        <v>12031</v>
      </c>
      <c r="F1201">
        <v>702</v>
      </c>
      <c r="G1201">
        <v>172.25</v>
      </c>
      <c r="I1201">
        <v>55</v>
      </c>
      <c r="J1201" t="s">
        <v>40</v>
      </c>
      <c r="K1201" t="s">
        <v>46</v>
      </c>
      <c r="L1201" t="s">
        <v>42</v>
      </c>
      <c r="M1201" t="s">
        <v>47</v>
      </c>
    </row>
    <row r="1202" spans="1:13" x14ac:dyDescent="0.2">
      <c r="A1202" s="1">
        <v>46036</v>
      </c>
      <c r="B1202" t="s">
        <v>44</v>
      </c>
      <c r="C1202" t="s">
        <v>48</v>
      </c>
      <c r="E1202">
        <v>38455</v>
      </c>
      <c r="F1202">
        <v>1990</v>
      </c>
      <c r="G1202">
        <v>378.35</v>
      </c>
      <c r="I1202">
        <v>125</v>
      </c>
      <c r="J1202" t="s">
        <v>40</v>
      </c>
      <c r="K1202" t="s">
        <v>49</v>
      </c>
      <c r="L1202" t="s">
        <v>50</v>
      </c>
      <c r="M1202" t="s">
        <v>51</v>
      </c>
    </row>
    <row r="1203" spans="1:13" x14ac:dyDescent="0.2">
      <c r="A1203" s="1">
        <v>46036</v>
      </c>
      <c r="B1203" t="s">
        <v>52</v>
      </c>
      <c r="C1203" t="s">
        <v>53</v>
      </c>
      <c r="E1203">
        <v>114901</v>
      </c>
      <c r="F1203">
        <v>1499</v>
      </c>
      <c r="G1203">
        <v>352.88</v>
      </c>
      <c r="I1203">
        <v>137</v>
      </c>
      <c r="J1203" t="s">
        <v>40</v>
      </c>
      <c r="K1203" t="s">
        <v>54</v>
      </c>
      <c r="L1203" t="s">
        <v>54</v>
      </c>
      <c r="M1203" t="s">
        <v>54</v>
      </c>
    </row>
    <row r="1204" spans="1:13" x14ac:dyDescent="0.2">
      <c r="A1204" s="1">
        <v>46036</v>
      </c>
      <c r="B1204" t="s">
        <v>52</v>
      </c>
      <c r="C1204" t="s">
        <v>55</v>
      </c>
      <c r="E1204">
        <v>160795</v>
      </c>
      <c r="F1204">
        <v>1982</v>
      </c>
      <c r="G1204">
        <v>412.56</v>
      </c>
      <c r="I1204">
        <v>127</v>
      </c>
      <c r="J1204" t="s">
        <v>40</v>
      </c>
      <c r="K1204" t="s">
        <v>54</v>
      </c>
      <c r="L1204" t="s">
        <v>54</v>
      </c>
      <c r="M1204" t="s">
        <v>54</v>
      </c>
    </row>
    <row r="1205" spans="1:13" x14ac:dyDescent="0.2">
      <c r="A1205" s="1">
        <v>46036</v>
      </c>
      <c r="B1205" t="s">
        <v>56</v>
      </c>
      <c r="C1205" t="s">
        <v>57</v>
      </c>
      <c r="E1205">
        <v>13252</v>
      </c>
      <c r="F1205">
        <v>761</v>
      </c>
      <c r="G1205">
        <v>178.81</v>
      </c>
      <c r="I1205">
        <v>56</v>
      </c>
      <c r="J1205" t="s">
        <v>40</v>
      </c>
      <c r="K1205" t="s">
        <v>58</v>
      </c>
      <c r="L1205" t="s">
        <v>42</v>
      </c>
      <c r="M1205" t="s">
        <v>43</v>
      </c>
    </row>
    <row r="1206" spans="1:13" x14ac:dyDescent="0.2">
      <c r="A1206" s="1">
        <v>46036</v>
      </c>
      <c r="B1206" t="s">
        <v>56</v>
      </c>
      <c r="C1206" t="s">
        <v>57</v>
      </c>
      <c r="E1206">
        <v>13572</v>
      </c>
      <c r="F1206">
        <v>768</v>
      </c>
      <c r="G1206">
        <v>171.08</v>
      </c>
      <c r="I1206">
        <v>51</v>
      </c>
      <c r="J1206" t="s">
        <v>40</v>
      </c>
      <c r="K1206" t="s">
        <v>59</v>
      </c>
      <c r="L1206" t="s">
        <v>38</v>
      </c>
      <c r="M1206" t="s">
        <v>43</v>
      </c>
    </row>
    <row r="1207" spans="1:13" x14ac:dyDescent="0.2">
      <c r="A1207" s="1">
        <v>46036</v>
      </c>
      <c r="B1207" t="s">
        <v>60</v>
      </c>
      <c r="C1207" t="s">
        <v>61</v>
      </c>
      <c r="E1207">
        <v>41478</v>
      </c>
      <c r="F1207">
        <v>2189</v>
      </c>
      <c r="G1207">
        <v>399.65</v>
      </c>
      <c r="I1207">
        <v>135</v>
      </c>
      <c r="J1207" t="s">
        <v>40</v>
      </c>
      <c r="K1207" t="s">
        <v>62</v>
      </c>
      <c r="L1207" t="s">
        <v>42</v>
      </c>
      <c r="M1207" t="s">
        <v>47</v>
      </c>
    </row>
    <row r="1208" spans="1:13" x14ac:dyDescent="0.2">
      <c r="A1208" s="1">
        <v>46037</v>
      </c>
      <c r="B1208" t="s">
        <v>35</v>
      </c>
      <c r="C1208" t="s">
        <v>36</v>
      </c>
      <c r="E1208">
        <v>29124</v>
      </c>
      <c r="F1208">
        <v>2080</v>
      </c>
      <c r="G1208">
        <v>472.9</v>
      </c>
      <c r="I1208">
        <v>124</v>
      </c>
      <c r="J1208" t="s">
        <v>40</v>
      </c>
      <c r="K1208" t="s">
        <v>37</v>
      </c>
      <c r="L1208" t="s">
        <v>38</v>
      </c>
      <c r="M1208" t="s">
        <v>39</v>
      </c>
    </row>
    <row r="1209" spans="1:13" x14ac:dyDescent="0.2">
      <c r="A1209" s="1">
        <v>46037</v>
      </c>
      <c r="B1209" t="s">
        <v>35</v>
      </c>
      <c r="C1209" t="s">
        <v>36</v>
      </c>
      <c r="E1209">
        <v>36048</v>
      </c>
      <c r="F1209">
        <v>2137</v>
      </c>
      <c r="G1209">
        <v>575.9</v>
      </c>
      <c r="I1209">
        <v>140</v>
      </c>
      <c r="J1209" t="s">
        <v>40</v>
      </c>
      <c r="K1209" t="s">
        <v>41</v>
      </c>
      <c r="L1209" t="s">
        <v>42</v>
      </c>
      <c r="M1209" t="s">
        <v>43</v>
      </c>
    </row>
    <row r="1210" spans="1:13" x14ac:dyDescent="0.2">
      <c r="A1210" s="1">
        <v>46037</v>
      </c>
      <c r="B1210" t="s">
        <v>44</v>
      </c>
      <c r="C1210" t="s">
        <v>45</v>
      </c>
      <c r="E1210">
        <v>35396</v>
      </c>
      <c r="F1210">
        <v>1856</v>
      </c>
      <c r="G1210">
        <v>498.43</v>
      </c>
      <c r="I1210">
        <v>129</v>
      </c>
      <c r="J1210" t="s">
        <v>40</v>
      </c>
      <c r="K1210" t="s">
        <v>46</v>
      </c>
      <c r="L1210" t="s">
        <v>42</v>
      </c>
      <c r="M1210" t="s">
        <v>47</v>
      </c>
    </row>
    <row r="1211" spans="1:13" x14ac:dyDescent="0.2">
      <c r="A1211" s="1">
        <v>46037</v>
      </c>
      <c r="B1211" t="s">
        <v>44</v>
      </c>
      <c r="C1211" t="s">
        <v>48</v>
      </c>
      <c r="E1211">
        <v>39214</v>
      </c>
      <c r="F1211">
        <v>1924</v>
      </c>
      <c r="G1211">
        <v>430.93</v>
      </c>
      <c r="I1211">
        <v>126</v>
      </c>
      <c r="J1211" t="s">
        <v>40</v>
      </c>
      <c r="K1211" t="s">
        <v>49</v>
      </c>
      <c r="L1211" t="s">
        <v>50</v>
      </c>
      <c r="M1211" t="s">
        <v>51</v>
      </c>
    </row>
    <row r="1212" spans="1:13" x14ac:dyDescent="0.2">
      <c r="A1212" s="1">
        <v>46037</v>
      </c>
      <c r="B1212" t="s">
        <v>52</v>
      </c>
      <c r="C1212" t="s">
        <v>53</v>
      </c>
      <c r="E1212">
        <v>125200</v>
      </c>
      <c r="F1212">
        <v>1730</v>
      </c>
      <c r="G1212">
        <v>337.55</v>
      </c>
      <c r="I1212">
        <v>143</v>
      </c>
      <c r="J1212" t="s">
        <v>40</v>
      </c>
      <c r="K1212" t="s">
        <v>54</v>
      </c>
      <c r="L1212" t="s">
        <v>54</v>
      </c>
      <c r="M1212" t="s">
        <v>54</v>
      </c>
    </row>
    <row r="1213" spans="1:13" x14ac:dyDescent="0.2">
      <c r="A1213" s="1">
        <v>46037</v>
      </c>
      <c r="B1213" t="s">
        <v>52</v>
      </c>
      <c r="C1213" t="s">
        <v>55</v>
      </c>
      <c r="E1213">
        <v>102675</v>
      </c>
      <c r="F1213">
        <v>1173</v>
      </c>
      <c r="G1213">
        <v>251.47</v>
      </c>
      <c r="I1213">
        <v>89</v>
      </c>
      <c r="J1213" t="s">
        <v>40</v>
      </c>
      <c r="K1213" t="s">
        <v>54</v>
      </c>
      <c r="L1213" t="s">
        <v>54</v>
      </c>
      <c r="M1213" t="s">
        <v>54</v>
      </c>
    </row>
    <row r="1214" spans="1:13" x14ac:dyDescent="0.2">
      <c r="A1214" s="1">
        <v>46037</v>
      </c>
      <c r="B1214" t="s">
        <v>56</v>
      </c>
      <c r="C1214" t="s">
        <v>57</v>
      </c>
      <c r="E1214">
        <v>24910</v>
      </c>
      <c r="F1214">
        <v>1526</v>
      </c>
      <c r="G1214">
        <v>402.99</v>
      </c>
      <c r="I1214">
        <v>133</v>
      </c>
      <c r="J1214" t="s">
        <v>40</v>
      </c>
      <c r="K1214" t="s">
        <v>58</v>
      </c>
      <c r="L1214" t="s">
        <v>42</v>
      </c>
      <c r="M1214" t="s">
        <v>43</v>
      </c>
    </row>
    <row r="1215" spans="1:13" x14ac:dyDescent="0.2">
      <c r="A1215" s="1">
        <v>46037</v>
      </c>
      <c r="B1215" t="s">
        <v>56</v>
      </c>
      <c r="C1215" t="s">
        <v>57</v>
      </c>
      <c r="E1215">
        <v>37435</v>
      </c>
      <c r="F1215">
        <v>2664</v>
      </c>
      <c r="G1215">
        <v>662.55</v>
      </c>
      <c r="I1215">
        <v>246</v>
      </c>
      <c r="J1215" t="s">
        <v>40</v>
      </c>
      <c r="K1215" t="s">
        <v>59</v>
      </c>
      <c r="L1215" t="s">
        <v>38</v>
      </c>
      <c r="M1215" t="s">
        <v>43</v>
      </c>
    </row>
    <row r="1216" spans="1:13" x14ac:dyDescent="0.2">
      <c r="A1216" s="1">
        <v>46037</v>
      </c>
      <c r="B1216" t="s">
        <v>60</v>
      </c>
      <c r="C1216" t="s">
        <v>61</v>
      </c>
      <c r="E1216">
        <v>25443</v>
      </c>
      <c r="F1216">
        <v>1512</v>
      </c>
      <c r="G1216">
        <v>284.10000000000002</v>
      </c>
      <c r="I1216">
        <v>137</v>
      </c>
      <c r="J1216" t="s">
        <v>40</v>
      </c>
      <c r="K1216" t="s">
        <v>62</v>
      </c>
      <c r="L1216" t="s">
        <v>42</v>
      </c>
      <c r="M1216" t="s">
        <v>47</v>
      </c>
    </row>
    <row r="1217" spans="1:13" x14ac:dyDescent="0.2">
      <c r="A1217" s="1">
        <v>46038</v>
      </c>
      <c r="B1217" t="s">
        <v>35</v>
      </c>
      <c r="C1217" t="s">
        <v>36</v>
      </c>
      <c r="E1217">
        <v>12275</v>
      </c>
      <c r="F1217">
        <v>737</v>
      </c>
      <c r="G1217">
        <v>199.02</v>
      </c>
      <c r="I1217">
        <v>64</v>
      </c>
      <c r="J1217" t="s">
        <v>40</v>
      </c>
      <c r="K1217" t="s">
        <v>37</v>
      </c>
      <c r="L1217" t="s">
        <v>38</v>
      </c>
      <c r="M1217" t="s">
        <v>39</v>
      </c>
    </row>
    <row r="1218" spans="1:13" x14ac:dyDescent="0.2">
      <c r="A1218" s="1">
        <v>46038</v>
      </c>
      <c r="B1218" t="s">
        <v>35</v>
      </c>
      <c r="C1218" t="s">
        <v>36</v>
      </c>
      <c r="E1218">
        <v>19663</v>
      </c>
      <c r="F1218">
        <v>1000</v>
      </c>
      <c r="G1218">
        <v>255.72</v>
      </c>
      <c r="I1218">
        <v>61</v>
      </c>
      <c r="J1218" t="s">
        <v>40</v>
      </c>
      <c r="K1218" t="s">
        <v>41</v>
      </c>
      <c r="L1218" t="s">
        <v>42</v>
      </c>
      <c r="M1218" t="s">
        <v>43</v>
      </c>
    </row>
    <row r="1219" spans="1:13" x14ac:dyDescent="0.2">
      <c r="A1219" s="1">
        <v>46038</v>
      </c>
      <c r="B1219" t="s">
        <v>44</v>
      </c>
      <c r="C1219" t="s">
        <v>45</v>
      </c>
      <c r="E1219">
        <v>20955</v>
      </c>
      <c r="F1219">
        <v>1494</v>
      </c>
      <c r="G1219">
        <v>389.7</v>
      </c>
      <c r="I1219">
        <v>89</v>
      </c>
      <c r="J1219" t="s">
        <v>40</v>
      </c>
      <c r="K1219" t="s">
        <v>46</v>
      </c>
      <c r="L1219" t="s">
        <v>42</v>
      </c>
      <c r="M1219" t="s">
        <v>47</v>
      </c>
    </row>
    <row r="1220" spans="1:13" x14ac:dyDescent="0.2">
      <c r="A1220" s="1">
        <v>46038</v>
      </c>
      <c r="B1220" t="s">
        <v>44</v>
      </c>
      <c r="C1220" t="s">
        <v>48</v>
      </c>
      <c r="E1220">
        <v>37746</v>
      </c>
      <c r="F1220">
        <v>1882</v>
      </c>
      <c r="G1220">
        <v>467.32</v>
      </c>
      <c r="I1220">
        <v>118</v>
      </c>
      <c r="J1220" t="s">
        <v>40</v>
      </c>
      <c r="K1220" t="s">
        <v>49</v>
      </c>
      <c r="L1220" t="s">
        <v>50</v>
      </c>
      <c r="M1220" t="s">
        <v>51</v>
      </c>
    </row>
    <row r="1221" spans="1:13" x14ac:dyDescent="0.2">
      <c r="A1221" s="1">
        <v>46038</v>
      </c>
      <c r="B1221" t="s">
        <v>52</v>
      </c>
      <c r="C1221" t="s">
        <v>53</v>
      </c>
      <c r="E1221">
        <v>109382</v>
      </c>
      <c r="F1221">
        <v>1659</v>
      </c>
      <c r="G1221">
        <v>341.4</v>
      </c>
      <c r="I1221">
        <v>151</v>
      </c>
      <c r="J1221" t="s">
        <v>40</v>
      </c>
      <c r="K1221" t="s">
        <v>54</v>
      </c>
      <c r="L1221" t="s">
        <v>54</v>
      </c>
      <c r="M1221" t="s">
        <v>54</v>
      </c>
    </row>
    <row r="1222" spans="1:13" x14ac:dyDescent="0.2">
      <c r="A1222" s="1">
        <v>46038</v>
      </c>
      <c r="B1222" t="s">
        <v>52</v>
      </c>
      <c r="C1222" t="s">
        <v>55</v>
      </c>
      <c r="E1222">
        <v>98783</v>
      </c>
      <c r="F1222">
        <v>1129</v>
      </c>
      <c r="G1222">
        <v>266.02999999999997</v>
      </c>
      <c r="I1222">
        <v>87</v>
      </c>
      <c r="J1222" t="s">
        <v>40</v>
      </c>
      <c r="K1222" t="s">
        <v>54</v>
      </c>
      <c r="L1222" t="s">
        <v>54</v>
      </c>
      <c r="M1222" t="s">
        <v>54</v>
      </c>
    </row>
    <row r="1223" spans="1:13" x14ac:dyDescent="0.2">
      <c r="A1223" s="1">
        <v>46038</v>
      </c>
      <c r="B1223" t="s">
        <v>56</v>
      </c>
      <c r="C1223" t="s">
        <v>57</v>
      </c>
      <c r="E1223">
        <v>28101</v>
      </c>
      <c r="F1223">
        <v>1699</v>
      </c>
      <c r="G1223">
        <v>461.65</v>
      </c>
      <c r="I1223">
        <v>94</v>
      </c>
      <c r="J1223" t="s">
        <v>40</v>
      </c>
      <c r="K1223" t="s">
        <v>58</v>
      </c>
      <c r="L1223" t="s">
        <v>42</v>
      </c>
      <c r="M1223" t="s">
        <v>43</v>
      </c>
    </row>
    <row r="1224" spans="1:13" x14ac:dyDescent="0.2">
      <c r="A1224" s="1">
        <v>46038</v>
      </c>
      <c r="B1224" t="s">
        <v>56</v>
      </c>
      <c r="C1224" t="s">
        <v>57</v>
      </c>
      <c r="E1224">
        <v>44246</v>
      </c>
      <c r="F1224">
        <v>2953</v>
      </c>
      <c r="G1224">
        <v>564.77</v>
      </c>
      <c r="I1224">
        <v>180</v>
      </c>
      <c r="J1224" t="s">
        <v>40</v>
      </c>
      <c r="K1224" t="s">
        <v>59</v>
      </c>
      <c r="L1224" t="s">
        <v>38</v>
      </c>
      <c r="M1224" t="s">
        <v>43</v>
      </c>
    </row>
    <row r="1225" spans="1:13" x14ac:dyDescent="0.2">
      <c r="A1225" s="1">
        <v>46038</v>
      </c>
      <c r="B1225" t="s">
        <v>60</v>
      </c>
      <c r="C1225" t="s">
        <v>61</v>
      </c>
      <c r="E1225">
        <v>16566</v>
      </c>
      <c r="F1225">
        <v>1162</v>
      </c>
      <c r="G1225">
        <v>274.54000000000002</v>
      </c>
      <c r="I1225">
        <v>68</v>
      </c>
      <c r="J1225" t="s">
        <v>40</v>
      </c>
      <c r="K1225" t="s">
        <v>62</v>
      </c>
      <c r="L1225" t="s">
        <v>42</v>
      </c>
      <c r="M1225" t="s">
        <v>47</v>
      </c>
    </row>
    <row r="1226" spans="1:13" x14ac:dyDescent="0.2">
      <c r="A1226" s="1">
        <v>46039</v>
      </c>
      <c r="B1226" t="s">
        <v>35</v>
      </c>
      <c r="C1226" t="s">
        <v>36</v>
      </c>
      <c r="E1226">
        <v>40248</v>
      </c>
      <c r="F1226">
        <v>2769</v>
      </c>
      <c r="G1226">
        <v>742.13</v>
      </c>
      <c r="I1226">
        <v>249</v>
      </c>
      <c r="J1226" t="s">
        <v>40</v>
      </c>
      <c r="K1226" t="s">
        <v>37</v>
      </c>
      <c r="L1226" t="s">
        <v>38</v>
      </c>
      <c r="M1226" t="s">
        <v>39</v>
      </c>
    </row>
    <row r="1227" spans="1:13" x14ac:dyDescent="0.2">
      <c r="A1227" s="1">
        <v>46039</v>
      </c>
      <c r="B1227" t="s">
        <v>35</v>
      </c>
      <c r="C1227" t="s">
        <v>36</v>
      </c>
      <c r="E1227">
        <v>38234</v>
      </c>
      <c r="F1227">
        <v>2186</v>
      </c>
      <c r="G1227">
        <v>499.63</v>
      </c>
      <c r="I1227">
        <v>173</v>
      </c>
      <c r="J1227" t="s">
        <v>40</v>
      </c>
      <c r="K1227" t="s">
        <v>41</v>
      </c>
      <c r="L1227" t="s">
        <v>42</v>
      </c>
      <c r="M1227" t="s">
        <v>43</v>
      </c>
    </row>
    <row r="1228" spans="1:13" x14ac:dyDescent="0.2">
      <c r="A1228" s="1">
        <v>46039</v>
      </c>
      <c r="B1228" t="s">
        <v>44</v>
      </c>
      <c r="C1228" t="s">
        <v>45</v>
      </c>
      <c r="E1228">
        <v>17437</v>
      </c>
      <c r="F1228">
        <v>909</v>
      </c>
      <c r="G1228">
        <v>200.25</v>
      </c>
      <c r="I1228">
        <v>72</v>
      </c>
      <c r="J1228" t="s">
        <v>40</v>
      </c>
      <c r="K1228" t="s">
        <v>46</v>
      </c>
      <c r="L1228" t="s">
        <v>42</v>
      </c>
      <c r="M1228" t="s">
        <v>47</v>
      </c>
    </row>
    <row r="1229" spans="1:13" x14ac:dyDescent="0.2">
      <c r="A1229" s="1">
        <v>46039</v>
      </c>
      <c r="B1229" t="s">
        <v>44</v>
      </c>
      <c r="C1229" t="s">
        <v>48</v>
      </c>
      <c r="E1229">
        <v>50857</v>
      </c>
      <c r="F1229">
        <v>2488</v>
      </c>
      <c r="G1229">
        <v>669.17</v>
      </c>
      <c r="I1229">
        <v>169</v>
      </c>
      <c r="J1229" t="s">
        <v>40</v>
      </c>
      <c r="K1229" t="s">
        <v>49</v>
      </c>
      <c r="L1229" t="s">
        <v>50</v>
      </c>
      <c r="M1229" t="s">
        <v>51</v>
      </c>
    </row>
    <row r="1230" spans="1:13" x14ac:dyDescent="0.2">
      <c r="A1230" s="1">
        <v>46039</v>
      </c>
      <c r="B1230" t="s">
        <v>52</v>
      </c>
      <c r="C1230" t="s">
        <v>53</v>
      </c>
      <c r="E1230">
        <v>169594</v>
      </c>
      <c r="F1230">
        <v>1907</v>
      </c>
      <c r="G1230">
        <v>433.88</v>
      </c>
      <c r="I1230">
        <v>125</v>
      </c>
      <c r="J1230" t="s">
        <v>40</v>
      </c>
      <c r="K1230" t="s">
        <v>54</v>
      </c>
      <c r="L1230" t="s">
        <v>54</v>
      </c>
      <c r="M1230" t="s">
        <v>54</v>
      </c>
    </row>
    <row r="1231" spans="1:13" x14ac:dyDescent="0.2">
      <c r="A1231" s="1">
        <v>46039</v>
      </c>
      <c r="B1231" t="s">
        <v>52</v>
      </c>
      <c r="C1231" t="s">
        <v>55</v>
      </c>
      <c r="E1231">
        <v>194342</v>
      </c>
      <c r="F1231">
        <v>2157</v>
      </c>
      <c r="G1231">
        <v>564.57000000000005</v>
      </c>
      <c r="I1231">
        <v>144</v>
      </c>
      <c r="J1231" t="s">
        <v>40</v>
      </c>
      <c r="K1231" t="s">
        <v>54</v>
      </c>
      <c r="L1231" t="s">
        <v>54</v>
      </c>
      <c r="M1231" t="s">
        <v>54</v>
      </c>
    </row>
    <row r="1232" spans="1:13" x14ac:dyDescent="0.2">
      <c r="A1232" s="1">
        <v>46039</v>
      </c>
      <c r="B1232" t="s">
        <v>56</v>
      </c>
      <c r="C1232" t="s">
        <v>57</v>
      </c>
      <c r="E1232">
        <v>39720</v>
      </c>
      <c r="F1232">
        <v>2710</v>
      </c>
      <c r="G1232">
        <v>720.38</v>
      </c>
      <c r="I1232">
        <v>223</v>
      </c>
      <c r="J1232" t="s">
        <v>40</v>
      </c>
      <c r="K1232" t="s">
        <v>58</v>
      </c>
      <c r="L1232" t="s">
        <v>42</v>
      </c>
      <c r="M1232" t="s">
        <v>43</v>
      </c>
    </row>
    <row r="1233" spans="1:13" x14ac:dyDescent="0.2">
      <c r="A1233" s="1">
        <v>46039</v>
      </c>
      <c r="B1233" t="s">
        <v>56</v>
      </c>
      <c r="C1233" t="s">
        <v>57</v>
      </c>
      <c r="E1233">
        <v>34914</v>
      </c>
      <c r="F1233">
        <v>1788</v>
      </c>
      <c r="G1233">
        <v>496.03</v>
      </c>
      <c r="I1233">
        <v>130</v>
      </c>
      <c r="J1233" t="s">
        <v>40</v>
      </c>
      <c r="K1233" t="s">
        <v>59</v>
      </c>
      <c r="L1233" t="s">
        <v>38</v>
      </c>
      <c r="M1233" t="s">
        <v>43</v>
      </c>
    </row>
    <row r="1234" spans="1:13" x14ac:dyDescent="0.2">
      <c r="A1234" s="1">
        <v>46039</v>
      </c>
      <c r="B1234" t="s">
        <v>60</v>
      </c>
      <c r="C1234" t="s">
        <v>61</v>
      </c>
      <c r="E1234">
        <v>43439</v>
      </c>
      <c r="F1234">
        <v>2365</v>
      </c>
      <c r="G1234">
        <v>524.27</v>
      </c>
      <c r="I1234">
        <v>191</v>
      </c>
      <c r="J1234" t="s">
        <v>40</v>
      </c>
      <c r="K1234" t="s">
        <v>62</v>
      </c>
      <c r="L1234" t="s">
        <v>42</v>
      </c>
      <c r="M1234" t="s">
        <v>47</v>
      </c>
    </row>
    <row r="1235" spans="1:13" x14ac:dyDescent="0.2">
      <c r="A1235" s="1">
        <v>46040</v>
      </c>
      <c r="B1235" t="s">
        <v>35</v>
      </c>
      <c r="C1235" t="s">
        <v>36</v>
      </c>
      <c r="E1235">
        <v>31242</v>
      </c>
      <c r="F1235">
        <v>1830</v>
      </c>
      <c r="G1235">
        <v>496.56</v>
      </c>
      <c r="I1235">
        <v>130</v>
      </c>
      <c r="J1235" t="s">
        <v>40</v>
      </c>
      <c r="K1235" t="s">
        <v>37</v>
      </c>
      <c r="L1235" t="s">
        <v>38</v>
      </c>
      <c r="M1235" t="s">
        <v>39</v>
      </c>
    </row>
    <row r="1236" spans="1:13" x14ac:dyDescent="0.2">
      <c r="A1236" s="1">
        <v>46040</v>
      </c>
      <c r="B1236" t="s">
        <v>35</v>
      </c>
      <c r="C1236" t="s">
        <v>36</v>
      </c>
      <c r="E1236">
        <v>58448</v>
      </c>
      <c r="F1236">
        <v>3870</v>
      </c>
      <c r="G1236">
        <v>1032.2</v>
      </c>
      <c r="I1236">
        <v>339</v>
      </c>
      <c r="J1236" t="s">
        <v>40</v>
      </c>
      <c r="K1236" t="s">
        <v>41</v>
      </c>
      <c r="L1236" t="s">
        <v>42</v>
      </c>
      <c r="M1236" t="s">
        <v>43</v>
      </c>
    </row>
    <row r="1237" spans="1:13" x14ac:dyDescent="0.2">
      <c r="A1237" s="1">
        <v>46040</v>
      </c>
      <c r="B1237" t="s">
        <v>44</v>
      </c>
      <c r="C1237" t="s">
        <v>45</v>
      </c>
      <c r="E1237">
        <v>61275</v>
      </c>
      <c r="F1237">
        <v>4105</v>
      </c>
      <c r="G1237">
        <v>765.84</v>
      </c>
      <c r="I1237">
        <v>342</v>
      </c>
      <c r="J1237" t="s">
        <v>40</v>
      </c>
      <c r="K1237" t="s">
        <v>46</v>
      </c>
      <c r="L1237" t="s">
        <v>42</v>
      </c>
      <c r="M1237" t="s">
        <v>47</v>
      </c>
    </row>
    <row r="1238" spans="1:13" x14ac:dyDescent="0.2">
      <c r="A1238" s="1">
        <v>46040</v>
      </c>
      <c r="B1238" t="s">
        <v>44</v>
      </c>
      <c r="C1238" t="s">
        <v>48</v>
      </c>
      <c r="E1238">
        <v>51010</v>
      </c>
      <c r="F1238">
        <v>2614</v>
      </c>
      <c r="G1238">
        <v>693.05</v>
      </c>
      <c r="I1238">
        <v>235</v>
      </c>
      <c r="J1238" t="s">
        <v>40</v>
      </c>
      <c r="K1238" t="s">
        <v>49</v>
      </c>
      <c r="L1238" t="s">
        <v>50</v>
      </c>
      <c r="M1238" t="s">
        <v>51</v>
      </c>
    </row>
    <row r="1239" spans="1:13" x14ac:dyDescent="0.2">
      <c r="A1239" s="1">
        <v>46040</v>
      </c>
      <c r="B1239" t="s">
        <v>52</v>
      </c>
      <c r="C1239" t="s">
        <v>53</v>
      </c>
      <c r="E1239">
        <v>131311</v>
      </c>
      <c r="F1239">
        <v>1558</v>
      </c>
      <c r="G1239">
        <v>416.79</v>
      </c>
      <c r="I1239">
        <v>98</v>
      </c>
      <c r="J1239" t="s">
        <v>40</v>
      </c>
      <c r="K1239" t="s">
        <v>54</v>
      </c>
      <c r="L1239" t="s">
        <v>54</v>
      </c>
      <c r="M1239" t="s">
        <v>54</v>
      </c>
    </row>
    <row r="1240" spans="1:13" x14ac:dyDescent="0.2">
      <c r="A1240" s="1">
        <v>46040</v>
      </c>
      <c r="B1240" t="s">
        <v>52</v>
      </c>
      <c r="C1240" t="s">
        <v>55</v>
      </c>
      <c r="E1240">
        <v>136574</v>
      </c>
      <c r="F1240">
        <v>1672</v>
      </c>
      <c r="G1240">
        <v>377.28</v>
      </c>
      <c r="I1240">
        <v>153</v>
      </c>
      <c r="J1240" t="s">
        <v>40</v>
      </c>
      <c r="K1240" t="s">
        <v>54</v>
      </c>
      <c r="L1240" t="s">
        <v>54</v>
      </c>
      <c r="M1240" t="s">
        <v>54</v>
      </c>
    </row>
    <row r="1241" spans="1:13" x14ac:dyDescent="0.2">
      <c r="A1241" s="1">
        <v>46040</v>
      </c>
      <c r="B1241" t="s">
        <v>56</v>
      </c>
      <c r="C1241" t="s">
        <v>57</v>
      </c>
      <c r="E1241">
        <v>32267</v>
      </c>
      <c r="F1241">
        <v>1760</v>
      </c>
      <c r="G1241">
        <v>461.74</v>
      </c>
      <c r="I1241">
        <v>132</v>
      </c>
      <c r="J1241" t="s">
        <v>40</v>
      </c>
      <c r="K1241" t="s">
        <v>58</v>
      </c>
      <c r="L1241" t="s">
        <v>42</v>
      </c>
      <c r="M1241" t="s">
        <v>43</v>
      </c>
    </row>
    <row r="1242" spans="1:13" x14ac:dyDescent="0.2">
      <c r="A1242" s="1">
        <v>46040</v>
      </c>
      <c r="B1242" t="s">
        <v>56</v>
      </c>
      <c r="C1242" t="s">
        <v>57</v>
      </c>
      <c r="E1242">
        <v>25365</v>
      </c>
      <c r="F1242">
        <v>1632</v>
      </c>
      <c r="G1242">
        <v>333.24</v>
      </c>
      <c r="I1242">
        <v>121</v>
      </c>
      <c r="J1242" t="s">
        <v>40</v>
      </c>
      <c r="K1242" t="s">
        <v>59</v>
      </c>
      <c r="L1242" t="s">
        <v>38</v>
      </c>
      <c r="M1242" t="s">
        <v>43</v>
      </c>
    </row>
    <row r="1243" spans="1:13" x14ac:dyDescent="0.2">
      <c r="A1243" s="1">
        <v>46040</v>
      </c>
      <c r="B1243" t="s">
        <v>60</v>
      </c>
      <c r="C1243" t="s">
        <v>61</v>
      </c>
      <c r="E1243">
        <v>54929</v>
      </c>
      <c r="F1243">
        <v>2870</v>
      </c>
      <c r="G1243">
        <v>766.43</v>
      </c>
      <c r="I1243">
        <v>225</v>
      </c>
      <c r="J1243" t="s">
        <v>40</v>
      </c>
      <c r="K1243" t="s">
        <v>62</v>
      </c>
      <c r="L1243" t="s">
        <v>42</v>
      </c>
      <c r="M1243" t="s">
        <v>47</v>
      </c>
    </row>
    <row r="1244" spans="1:13" x14ac:dyDescent="0.2">
      <c r="A1244" s="1">
        <v>46041</v>
      </c>
      <c r="B1244" t="s">
        <v>35</v>
      </c>
      <c r="C1244" t="s">
        <v>36</v>
      </c>
      <c r="E1244">
        <v>32921</v>
      </c>
      <c r="F1244">
        <v>1852</v>
      </c>
      <c r="G1244">
        <v>488.49</v>
      </c>
      <c r="I1244">
        <v>121</v>
      </c>
      <c r="J1244" t="s">
        <v>40</v>
      </c>
      <c r="K1244" t="s">
        <v>37</v>
      </c>
      <c r="L1244" t="s">
        <v>38</v>
      </c>
      <c r="M1244" t="s">
        <v>39</v>
      </c>
    </row>
    <row r="1245" spans="1:13" x14ac:dyDescent="0.2">
      <c r="A1245" s="1">
        <v>46041</v>
      </c>
      <c r="B1245" t="s">
        <v>35</v>
      </c>
      <c r="C1245" t="s">
        <v>36</v>
      </c>
      <c r="E1245">
        <v>15923</v>
      </c>
      <c r="F1245">
        <v>873</v>
      </c>
      <c r="G1245">
        <v>190.89</v>
      </c>
      <c r="I1245">
        <v>53</v>
      </c>
      <c r="J1245" t="s">
        <v>40</v>
      </c>
      <c r="K1245" t="s">
        <v>41</v>
      </c>
      <c r="L1245" t="s">
        <v>42</v>
      </c>
      <c r="M1245" t="s">
        <v>43</v>
      </c>
    </row>
    <row r="1246" spans="1:13" x14ac:dyDescent="0.2">
      <c r="A1246" s="1">
        <v>46041</v>
      </c>
      <c r="B1246" t="s">
        <v>44</v>
      </c>
      <c r="C1246" t="s">
        <v>45</v>
      </c>
      <c r="E1246">
        <v>24045</v>
      </c>
      <c r="F1246">
        <v>1648</v>
      </c>
      <c r="G1246">
        <v>403.33</v>
      </c>
      <c r="I1246">
        <v>135</v>
      </c>
      <c r="J1246" t="s">
        <v>40</v>
      </c>
      <c r="K1246" t="s">
        <v>46</v>
      </c>
      <c r="L1246" t="s">
        <v>42</v>
      </c>
      <c r="M1246" t="s">
        <v>47</v>
      </c>
    </row>
    <row r="1247" spans="1:13" x14ac:dyDescent="0.2">
      <c r="A1247" s="1">
        <v>46041</v>
      </c>
      <c r="B1247" t="s">
        <v>44</v>
      </c>
      <c r="C1247" t="s">
        <v>48</v>
      </c>
      <c r="E1247">
        <v>27634</v>
      </c>
      <c r="F1247">
        <v>1758</v>
      </c>
      <c r="G1247">
        <v>406.67</v>
      </c>
      <c r="I1247">
        <v>157</v>
      </c>
      <c r="J1247" t="s">
        <v>40</v>
      </c>
      <c r="K1247" t="s">
        <v>49</v>
      </c>
      <c r="L1247" t="s">
        <v>50</v>
      </c>
      <c r="M1247" t="s">
        <v>51</v>
      </c>
    </row>
    <row r="1248" spans="1:13" x14ac:dyDescent="0.2">
      <c r="A1248" s="1">
        <v>46041</v>
      </c>
      <c r="B1248" t="s">
        <v>52</v>
      </c>
      <c r="C1248" t="s">
        <v>53</v>
      </c>
      <c r="E1248">
        <v>91166</v>
      </c>
      <c r="F1248">
        <v>1218</v>
      </c>
      <c r="G1248">
        <v>235.36</v>
      </c>
      <c r="I1248">
        <v>75</v>
      </c>
      <c r="J1248" t="s">
        <v>40</v>
      </c>
      <c r="K1248" t="s">
        <v>54</v>
      </c>
      <c r="L1248" t="s">
        <v>54</v>
      </c>
      <c r="M1248" t="s">
        <v>54</v>
      </c>
    </row>
    <row r="1249" spans="1:13" x14ac:dyDescent="0.2">
      <c r="A1249" s="1">
        <v>46041</v>
      </c>
      <c r="B1249" t="s">
        <v>52</v>
      </c>
      <c r="C1249" t="s">
        <v>55</v>
      </c>
      <c r="E1249">
        <v>91109</v>
      </c>
      <c r="F1249">
        <v>1104</v>
      </c>
      <c r="G1249">
        <v>265.88</v>
      </c>
      <c r="I1249">
        <v>102</v>
      </c>
      <c r="J1249" t="s">
        <v>40</v>
      </c>
      <c r="K1249" t="s">
        <v>54</v>
      </c>
      <c r="L1249" t="s">
        <v>54</v>
      </c>
      <c r="M1249" t="s">
        <v>54</v>
      </c>
    </row>
    <row r="1250" spans="1:13" x14ac:dyDescent="0.2">
      <c r="A1250" s="1">
        <v>46041</v>
      </c>
      <c r="B1250" t="s">
        <v>56</v>
      </c>
      <c r="C1250" t="s">
        <v>57</v>
      </c>
      <c r="E1250">
        <v>28047</v>
      </c>
      <c r="F1250">
        <v>1631</v>
      </c>
      <c r="G1250">
        <v>354.98</v>
      </c>
      <c r="I1250">
        <v>112</v>
      </c>
      <c r="J1250" t="s">
        <v>40</v>
      </c>
      <c r="K1250" t="s">
        <v>58</v>
      </c>
      <c r="L1250" t="s">
        <v>42</v>
      </c>
      <c r="M1250" t="s">
        <v>43</v>
      </c>
    </row>
    <row r="1251" spans="1:13" x14ac:dyDescent="0.2">
      <c r="A1251" s="1">
        <v>46041</v>
      </c>
      <c r="B1251" t="s">
        <v>56</v>
      </c>
      <c r="C1251" t="s">
        <v>57</v>
      </c>
      <c r="E1251">
        <v>26514</v>
      </c>
      <c r="F1251">
        <v>1411</v>
      </c>
      <c r="G1251">
        <v>296.61</v>
      </c>
      <c r="I1251">
        <v>106</v>
      </c>
      <c r="J1251" t="s">
        <v>40</v>
      </c>
      <c r="K1251" t="s">
        <v>59</v>
      </c>
      <c r="L1251" t="s">
        <v>38</v>
      </c>
      <c r="M1251" t="s">
        <v>43</v>
      </c>
    </row>
    <row r="1252" spans="1:13" x14ac:dyDescent="0.2">
      <c r="A1252" s="1">
        <v>46041</v>
      </c>
      <c r="B1252" t="s">
        <v>60</v>
      </c>
      <c r="C1252" t="s">
        <v>61</v>
      </c>
      <c r="E1252">
        <v>36027</v>
      </c>
      <c r="F1252">
        <v>2234</v>
      </c>
      <c r="G1252">
        <v>403.76</v>
      </c>
      <c r="I1252">
        <v>212</v>
      </c>
      <c r="J1252" t="s">
        <v>40</v>
      </c>
      <c r="K1252" t="s">
        <v>62</v>
      </c>
      <c r="L1252" t="s">
        <v>42</v>
      </c>
      <c r="M1252" t="s">
        <v>47</v>
      </c>
    </row>
    <row r="1253" spans="1:13" x14ac:dyDescent="0.2">
      <c r="A1253" s="1">
        <v>46042</v>
      </c>
      <c r="B1253" t="s">
        <v>35</v>
      </c>
      <c r="C1253" t="s">
        <v>36</v>
      </c>
      <c r="E1253">
        <v>34525</v>
      </c>
      <c r="F1253">
        <v>2122</v>
      </c>
      <c r="G1253">
        <v>507.96</v>
      </c>
      <c r="I1253">
        <v>140</v>
      </c>
      <c r="J1253" t="s">
        <v>40</v>
      </c>
      <c r="K1253" t="s">
        <v>37</v>
      </c>
      <c r="L1253" t="s">
        <v>38</v>
      </c>
      <c r="M1253" t="s">
        <v>39</v>
      </c>
    </row>
    <row r="1254" spans="1:13" x14ac:dyDescent="0.2">
      <c r="A1254" s="1">
        <v>46042</v>
      </c>
      <c r="B1254" t="s">
        <v>35</v>
      </c>
      <c r="C1254" t="s">
        <v>36</v>
      </c>
      <c r="E1254">
        <v>17084</v>
      </c>
      <c r="F1254">
        <v>1017</v>
      </c>
      <c r="G1254">
        <v>217.26</v>
      </c>
      <c r="I1254">
        <v>67</v>
      </c>
      <c r="J1254" t="s">
        <v>40</v>
      </c>
      <c r="K1254" t="s">
        <v>41</v>
      </c>
      <c r="L1254" t="s">
        <v>42</v>
      </c>
      <c r="M1254" t="s">
        <v>43</v>
      </c>
    </row>
    <row r="1255" spans="1:13" x14ac:dyDescent="0.2">
      <c r="A1255" s="1">
        <v>46042</v>
      </c>
      <c r="B1255" t="s">
        <v>44</v>
      </c>
      <c r="C1255" t="s">
        <v>45</v>
      </c>
      <c r="E1255">
        <v>31308</v>
      </c>
      <c r="F1255">
        <v>2150</v>
      </c>
      <c r="G1255">
        <v>443.15</v>
      </c>
      <c r="I1255">
        <v>179</v>
      </c>
      <c r="J1255" t="s">
        <v>40</v>
      </c>
      <c r="K1255" t="s">
        <v>46</v>
      </c>
      <c r="L1255" t="s">
        <v>42</v>
      </c>
      <c r="M1255" t="s">
        <v>47</v>
      </c>
    </row>
    <row r="1256" spans="1:13" x14ac:dyDescent="0.2">
      <c r="A1256" s="1">
        <v>46042</v>
      </c>
      <c r="B1256" t="s">
        <v>44</v>
      </c>
      <c r="C1256" t="s">
        <v>48</v>
      </c>
      <c r="E1256">
        <v>29581</v>
      </c>
      <c r="F1256">
        <v>1553</v>
      </c>
      <c r="G1256">
        <v>359.88</v>
      </c>
      <c r="I1256">
        <v>100</v>
      </c>
      <c r="J1256" t="s">
        <v>40</v>
      </c>
      <c r="K1256" t="s">
        <v>49</v>
      </c>
      <c r="L1256" t="s">
        <v>50</v>
      </c>
      <c r="M1256" t="s">
        <v>51</v>
      </c>
    </row>
    <row r="1257" spans="1:13" x14ac:dyDescent="0.2">
      <c r="A1257" s="1">
        <v>46042</v>
      </c>
      <c r="B1257" t="s">
        <v>52</v>
      </c>
      <c r="C1257" t="s">
        <v>53</v>
      </c>
      <c r="E1257">
        <v>97441</v>
      </c>
      <c r="F1257">
        <v>1464</v>
      </c>
      <c r="G1257">
        <v>380.99</v>
      </c>
      <c r="I1257">
        <v>115</v>
      </c>
      <c r="J1257" t="s">
        <v>40</v>
      </c>
      <c r="K1257" t="s">
        <v>54</v>
      </c>
      <c r="L1257" t="s">
        <v>54</v>
      </c>
      <c r="M1257" t="s">
        <v>54</v>
      </c>
    </row>
    <row r="1258" spans="1:13" x14ac:dyDescent="0.2">
      <c r="A1258" s="1">
        <v>46042</v>
      </c>
      <c r="B1258" t="s">
        <v>52</v>
      </c>
      <c r="C1258" t="s">
        <v>55</v>
      </c>
      <c r="E1258">
        <v>131888</v>
      </c>
      <c r="F1258">
        <v>1899</v>
      </c>
      <c r="G1258">
        <v>478.79</v>
      </c>
      <c r="I1258">
        <v>154</v>
      </c>
      <c r="J1258" t="s">
        <v>40</v>
      </c>
      <c r="K1258" t="s">
        <v>54</v>
      </c>
      <c r="L1258" t="s">
        <v>54</v>
      </c>
      <c r="M1258" t="s">
        <v>54</v>
      </c>
    </row>
    <row r="1259" spans="1:13" x14ac:dyDescent="0.2">
      <c r="A1259" s="1">
        <v>46042</v>
      </c>
      <c r="B1259" t="s">
        <v>56</v>
      </c>
      <c r="C1259" t="s">
        <v>57</v>
      </c>
      <c r="E1259">
        <v>29372</v>
      </c>
      <c r="F1259">
        <v>1592</v>
      </c>
      <c r="G1259">
        <v>353.2</v>
      </c>
      <c r="I1259">
        <v>112</v>
      </c>
      <c r="J1259" t="s">
        <v>40</v>
      </c>
      <c r="K1259" t="s">
        <v>58</v>
      </c>
      <c r="L1259" t="s">
        <v>42</v>
      </c>
      <c r="M1259" t="s">
        <v>43</v>
      </c>
    </row>
    <row r="1260" spans="1:13" x14ac:dyDescent="0.2">
      <c r="A1260" s="1">
        <v>46042</v>
      </c>
      <c r="B1260" t="s">
        <v>56</v>
      </c>
      <c r="C1260" t="s">
        <v>57</v>
      </c>
      <c r="E1260">
        <v>12314</v>
      </c>
      <c r="F1260">
        <v>763</v>
      </c>
      <c r="G1260">
        <v>213.24</v>
      </c>
      <c r="I1260">
        <v>66</v>
      </c>
      <c r="J1260" t="s">
        <v>40</v>
      </c>
      <c r="K1260" t="s">
        <v>59</v>
      </c>
      <c r="L1260" t="s">
        <v>38</v>
      </c>
      <c r="M1260" t="s">
        <v>43</v>
      </c>
    </row>
    <row r="1261" spans="1:13" x14ac:dyDescent="0.2">
      <c r="A1261" s="1">
        <v>46042</v>
      </c>
      <c r="B1261" t="s">
        <v>60</v>
      </c>
      <c r="C1261" t="s">
        <v>61</v>
      </c>
      <c r="E1261">
        <v>32489</v>
      </c>
      <c r="F1261">
        <v>2125</v>
      </c>
      <c r="G1261">
        <v>429.75</v>
      </c>
      <c r="I1261">
        <v>162</v>
      </c>
      <c r="J1261" t="s">
        <v>40</v>
      </c>
      <c r="K1261" t="s">
        <v>62</v>
      </c>
      <c r="L1261" t="s">
        <v>42</v>
      </c>
      <c r="M1261" t="s">
        <v>47</v>
      </c>
    </row>
    <row r="1262" spans="1:13" x14ac:dyDescent="0.2">
      <c r="A1262" s="1">
        <v>46043</v>
      </c>
      <c r="B1262" t="s">
        <v>35</v>
      </c>
      <c r="C1262" t="s">
        <v>36</v>
      </c>
      <c r="E1262">
        <v>41177</v>
      </c>
      <c r="F1262">
        <v>2872</v>
      </c>
      <c r="G1262">
        <v>709.92</v>
      </c>
      <c r="I1262">
        <v>216</v>
      </c>
      <c r="J1262" t="s">
        <v>40</v>
      </c>
      <c r="K1262" t="s">
        <v>37</v>
      </c>
      <c r="L1262" t="s">
        <v>38</v>
      </c>
      <c r="M1262" t="s">
        <v>39</v>
      </c>
    </row>
    <row r="1263" spans="1:13" x14ac:dyDescent="0.2">
      <c r="A1263" s="1">
        <v>46043</v>
      </c>
      <c r="B1263" t="s">
        <v>35</v>
      </c>
      <c r="C1263" t="s">
        <v>36</v>
      </c>
      <c r="E1263">
        <v>21140</v>
      </c>
      <c r="F1263">
        <v>1441</v>
      </c>
      <c r="G1263">
        <v>385.68</v>
      </c>
      <c r="I1263">
        <v>89</v>
      </c>
      <c r="J1263" t="s">
        <v>40</v>
      </c>
      <c r="K1263" t="s">
        <v>41</v>
      </c>
      <c r="L1263" t="s">
        <v>42</v>
      </c>
      <c r="M1263" t="s">
        <v>43</v>
      </c>
    </row>
    <row r="1264" spans="1:13" x14ac:dyDescent="0.2">
      <c r="A1264" s="1">
        <v>46043</v>
      </c>
      <c r="B1264" t="s">
        <v>44</v>
      </c>
      <c r="C1264" t="s">
        <v>45</v>
      </c>
      <c r="E1264">
        <v>16396</v>
      </c>
      <c r="F1264">
        <v>972</v>
      </c>
      <c r="G1264">
        <v>246.98</v>
      </c>
      <c r="I1264">
        <v>81</v>
      </c>
      <c r="J1264" t="s">
        <v>40</v>
      </c>
      <c r="K1264" t="s">
        <v>46</v>
      </c>
      <c r="L1264" t="s">
        <v>42</v>
      </c>
      <c r="M1264" t="s">
        <v>47</v>
      </c>
    </row>
    <row r="1265" spans="1:13" x14ac:dyDescent="0.2">
      <c r="A1265" s="1">
        <v>46043</v>
      </c>
      <c r="B1265" t="s">
        <v>44</v>
      </c>
      <c r="C1265" t="s">
        <v>48</v>
      </c>
      <c r="E1265">
        <v>21997</v>
      </c>
      <c r="F1265">
        <v>1555</v>
      </c>
      <c r="G1265">
        <v>419.79</v>
      </c>
      <c r="I1265">
        <v>126</v>
      </c>
      <c r="J1265" t="s">
        <v>40</v>
      </c>
      <c r="K1265" t="s">
        <v>49</v>
      </c>
      <c r="L1265" t="s">
        <v>50</v>
      </c>
      <c r="M1265" t="s">
        <v>51</v>
      </c>
    </row>
    <row r="1266" spans="1:13" x14ac:dyDescent="0.2">
      <c r="A1266" s="1">
        <v>46043</v>
      </c>
      <c r="B1266" t="s">
        <v>52</v>
      </c>
      <c r="C1266" t="s">
        <v>53</v>
      </c>
      <c r="E1266">
        <v>119131</v>
      </c>
      <c r="F1266">
        <v>1522</v>
      </c>
      <c r="G1266">
        <v>387.23</v>
      </c>
      <c r="I1266">
        <v>102</v>
      </c>
      <c r="J1266" t="s">
        <v>40</v>
      </c>
      <c r="K1266" t="s">
        <v>54</v>
      </c>
      <c r="L1266" t="s">
        <v>54</v>
      </c>
      <c r="M1266" t="s">
        <v>54</v>
      </c>
    </row>
    <row r="1267" spans="1:13" x14ac:dyDescent="0.2">
      <c r="A1267" s="1">
        <v>46043</v>
      </c>
      <c r="B1267" t="s">
        <v>52</v>
      </c>
      <c r="C1267" t="s">
        <v>55</v>
      </c>
      <c r="E1267">
        <v>133426</v>
      </c>
      <c r="F1267">
        <v>1715</v>
      </c>
      <c r="G1267">
        <v>409.13</v>
      </c>
      <c r="I1267">
        <v>126</v>
      </c>
      <c r="J1267" t="s">
        <v>40</v>
      </c>
      <c r="K1267" t="s">
        <v>54</v>
      </c>
      <c r="L1267" t="s">
        <v>54</v>
      </c>
      <c r="M1267" t="s">
        <v>54</v>
      </c>
    </row>
    <row r="1268" spans="1:13" x14ac:dyDescent="0.2">
      <c r="A1268" s="1">
        <v>46043</v>
      </c>
      <c r="B1268" t="s">
        <v>56</v>
      </c>
      <c r="C1268" t="s">
        <v>57</v>
      </c>
      <c r="E1268">
        <v>17718</v>
      </c>
      <c r="F1268">
        <v>1050</v>
      </c>
      <c r="G1268">
        <v>279.97000000000003</v>
      </c>
      <c r="I1268">
        <v>82</v>
      </c>
      <c r="J1268" t="s">
        <v>40</v>
      </c>
      <c r="K1268" t="s">
        <v>58</v>
      </c>
      <c r="L1268" t="s">
        <v>42</v>
      </c>
      <c r="M1268" t="s">
        <v>43</v>
      </c>
    </row>
    <row r="1269" spans="1:13" x14ac:dyDescent="0.2">
      <c r="A1269" s="1">
        <v>46043</v>
      </c>
      <c r="B1269" t="s">
        <v>56</v>
      </c>
      <c r="C1269" t="s">
        <v>57</v>
      </c>
      <c r="E1269">
        <v>14667</v>
      </c>
      <c r="F1269">
        <v>870</v>
      </c>
      <c r="G1269">
        <v>173.53</v>
      </c>
      <c r="I1269">
        <v>52</v>
      </c>
      <c r="J1269" t="s">
        <v>40</v>
      </c>
      <c r="K1269" t="s">
        <v>59</v>
      </c>
      <c r="L1269" t="s">
        <v>38</v>
      </c>
      <c r="M1269" t="s">
        <v>43</v>
      </c>
    </row>
    <row r="1270" spans="1:13" x14ac:dyDescent="0.2">
      <c r="A1270" s="1">
        <v>46043</v>
      </c>
      <c r="B1270" t="s">
        <v>60</v>
      </c>
      <c r="C1270" t="s">
        <v>61</v>
      </c>
      <c r="E1270">
        <v>35013</v>
      </c>
      <c r="F1270">
        <v>2125</v>
      </c>
      <c r="G1270">
        <v>470.29</v>
      </c>
      <c r="I1270">
        <v>190</v>
      </c>
      <c r="J1270" t="s">
        <v>40</v>
      </c>
      <c r="K1270" t="s">
        <v>62</v>
      </c>
      <c r="L1270" t="s">
        <v>42</v>
      </c>
      <c r="M1270" t="s">
        <v>47</v>
      </c>
    </row>
    <row r="1271" spans="1:13" x14ac:dyDescent="0.2">
      <c r="A1271" s="1">
        <v>46044</v>
      </c>
      <c r="B1271" t="s">
        <v>35</v>
      </c>
      <c r="C1271" t="s">
        <v>36</v>
      </c>
      <c r="E1271">
        <v>19881</v>
      </c>
      <c r="F1271">
        <v>1019</v>
      </c>
      <c r="G1271">
        <v>203.83</v>
      </c>
      <c r="I1271">
        <v>72</v>
      </c>
      <c r="J1271" t="s">
        <v>40</v>
      </c>
      <c r="K1271" t="s">
        <v>37</v>
      </c>
      <c r="L1271" t="s">
        <v>38</v>
      </c>
      <c r="M1271" t="s">
        <v>39</v>
      </c>
    </row>
    <row r="1272" spans="1:13" x14ac:dyDescent="0.2">
      <c r="A1272" s="1">
        <v>46044</v>
      </c>
      <c r="B1272" t="s">
        <v>35</v>
      </c>
      <c r="C1272" t="s">
        <v>36</v>
      </c>
      <c r="E1272">
        <v>39987</v>
      </c>
      <c r="F1272">
        <v>2056</v>
      </c>
      <c r="G1272">
        <v>547.39</v>
      </c>
      <c r="I1272">
        <v>127</v>
      </c>
      <c r="J1272" t="s">
        <v>40</v>
      </c>
      <c r="K1272" t="s">
        <v>41</v>
      </c>
      <c r="L1272" t="s">
        <v>42</v>
      </c>
      <c r="M1272" t="s">
        <v>43</v>
      </c>
    </row>
    <row r="1273" spans="1:13" x14ac:dyDescent="0.2">
      <c r="A1273" s="1">
        <v>46044</v>
      </c>
      <c r="B1273" t="s">
        <v>44</v>
      </c>
      <c r="C1273" t="s">
        <v>45</v>
      </c>
      <c r="E1273">
        <v>15296</v>
      </c>
      <c r="F1273">
        <v>913</v>
      </c>
      <c r="G1273">
        <v>221.95</v>
      </c>
      <c r="I1273">
        <v>56</v>
      </c>
      <c r="J1273" t="s">
        <v>40</v>
      </c>
      <c r="K1273" t="s">
        <v>46</v>
      </c>
      <c r="L1273" t="s">
        <v>42</v>
      </c>
      <c r="M1273" t="s">
        <v>47</v>
      </c>
    </row>
    <row r="1274" spans="1:13" x14ac:dyDescent="0.2">
      <c r="A1274" s="1">
        <v>46044</v>
      </c>
      <c r="B1274" t="s">
        <v>44</v>
      </c>
      <c r="C1274" t="s">
        <v>48</v>
      </c>
      <c r="E1274">
        <v>13801</v>
      </c>
      <c r="F1274">
        <v>664</v>
      </c>
      <c r="G1274">
        <v>137.68</v>
      </c>
      <c r="I1274">
        <v>56</v>
      </c>
      <c r="J1274" t="s">
        <v>40</v>
      </c>
      <c r="K1274" t="s">
        <v>49</v>
      </c>
      <c r="L1274" t="s">
        <v>50</v>
      </c>
      <c r="M1274" t="s">
        <v>51</v>
      </c>
    </row>
    <row r="1275" spans="1:13" x14ac:dyDescent="0.2">
      <c r="A1275" s="1">
        <v>46044</v>
      </c>
      <c r="B1275" t="s">
        <v>52</v>
      </c>
      <c r="C1275" t="s">
        <v>53</v>
      </c>
      <c r="E1275">
        <v>112099</v>
      </c>
      <c r="F1275">
        <v>1556</v>
      </c>
      <c r="G1275">
        <v>304.73</v>
      </c>
      <c r="I1275">
        <v>134</v>
      </c>
      <c r="J1275" t="s">
        <v>40</v>
      </c>
      <c r="K1275" t="s">
        <v>54</v>
      </c>
      <c r="L1275" t="s">
        <v>54</v>
      </c>
      <c r="M1275" t="s">
        <v>54</v>
      </c>
    </row>
    <row r="1276" spans="1:13" x14ac:dyDescent="0.2">
      <c r="A1276" s="1">
        <v>46044</v>
      </c>
      <c r="B1276" t="s">
        <v>52</v>
      </c>
      <c r="C1276" t="s">
        <v>55</v>
      </c>
      <c r="E1276">
        <v>101539</v>
      </c>
      <c r="F1276">
        <v>1182</v>
      </c>
      <c r="G1276">
        <v>264.02</v>
      </c>
      <c r="I1276">
        <v>85</v>
      </c>
      <c r="J1276" t="s">
        <v>40</v>
      </c>
      <c r="K1276" t="s">
        <v>54</v>
      </c>
      <c r="L1276" t="s">
        <v>54</v>
      </c>
      <c r="M1276" t="s">
        <v>54</v>
      </c>
    </row>
    <row r="1277" spans="1:13" x14ac:dyDescent="0.2">
      <c r="A1277" s="1">
        <v>46044</v>
      </c>
      <c r="B1277" t="s">
        <v>56</v>
      </c>
      <c r="C1277" t="s">
        <v>57</v>
      </c>
      <c r="E1277">
        <v>38116</v>
      </c>
      <c r="F1277">
        <v>2712</v>
      </c>
      <c r="G1277">
        <v>592.12</v>
      </c>
      <c r="I1277">
        <v>153</v>
      </c>
      <c r="J1277" t="s">
        <v>40</v>
      </c>
      <c r="K1277" t="s">
        <v>58</v>
      </c>
      <c r="L1277" t="s">
        <v>42</v>
      </c>
      <c r="M1277" t="s">
        <v>43</v>
      </c>
    </row>
    <row r="1278" spans="1:13" x14ac:dyDescent="0.2">
      <c r="A1278" s="1">
        <v>46044</v>
      </c>
      <c r="B1278" t="s">
        <v>56</v>
      </c>
      <c r="C1278" t="s">
        <v>57</v>
      </c>
      <c r="E1278">
        <v>23068</v>
      </c>
      <c r="F1278">
        <v>1511</v>
      </c>
      <c r="G1278">
        <v>415.54</v>
      </c>
      <c r="I1278">
        <v>137</v>
      </c>
      <c r="J1278" t="s">
        <v>40</v>
      </c>
      <c r="K1278" t="s">
        <v>59</v>
      </c>
      <c r="L1278" t="s">
        <v>38</v>
      </c>
      <c r="M1278" t="s">
        <v>43</v>
      </c>
    </row>
    <row r="1279" spans="1:13" x14ac:dyDescent="0.2">
      <c r="A1279" s="1">
        <v>46044</v>
      </c>
      <c r="B1279" t="s">
        <v>60</v>
      </c>
      <c r="C1279" t="s">
        <v>61</v>
      </c>
      <c r="E1279">
        <v>44801</v>
      </c>
      <c r="F1279">
        <v>2355</v>
      </c>
      <c r="G1279">
        <v>583.27</v>
      </c>
      <c r="I1279">
        <v>188</v>
      </c>
      <c r="J1279" t="s">
        <v>40</v>
      </c>
      <c r="K1279" t="s">
        <v>62</v>
      </c>
      <c r="L1279" t="s">
        <v>42</v>
      </c>
      <c r="M1279" t="s">
        <v>47</v>
      </c>
    </row>
    <row r="1280" spans="1:13" x14ac:dyDescent="0.2">
      <c r="A1280" s="1">
        <v>46045</v>
      </c>
      <c r="B1280" t="s">
        <v>35</v>
      </c>
      <c r="C1280" t="s">
        <v>36</v>
      </c>
      <c r="E1280">
        <v>26306</v>
      </c>
      <c r="F1280">
        <v>1405</v>
      </c>
      <c r="G1280">
        <v>376.12</v>
      </c>
      <c r="I1280">
        <v>94</v>
      </c>
      <c r="J1280" t="s">
        <v>40</v>
      </c>
      <c r="K1280" t="s">
        <v>37</v>
      </c>
      <c r="L1280" t="s">
        <v>38</v>
      </c>
      <c r="M1280" t="s">
        <v>39</v>
      </c>
    </row>
    <row r="1281" spans="1:13" x14ac:dyDescent="0.2">
      <c r="A1281" s="1">
        <v>46045</v>
      </c>
      <c r="B1281" t="s">
        <v>35</v>
      </c>
      <c r="C1281" t="s">
        <v>36</v>
      </c>
      <c r="E1281">
        <v>16731</v>
      </c>
      <c r="F1281">
        <v>957</v>
      </c>
      <c r="G1281">
        <v>228.6</v>
      </c>
      <c r="I1281">
        <v>59</v>
      </c>
      <c r="J1281" t="s">
        <v>40</v>
      </c>
      <c r="K1281" t="s">
        <v>41</v>
      </c>
      <c r="L1281" t="s">
        <v>42</v>
      </c>
      <c r="M1281" t="s">
        <v>43</v>
      </c>
    </row>
    <row r="1282" spans="1:13" x14ac:dyDescent="0.2">
      <c r="A1282" s="1">
        <v>46045</v>
      </c>
      <c r="B1282" t="s">
        <v>44</v>
      </c>
      <c r="C1282" t="s">
        <v>45</v>
      </c>
      <c r="E1282">
        <v>12996</v>
      </c>
      <c r="F1282">
        <v>716</v>
      </c>
      <c r="G1282">
        <v>149.69999999999999</v>
      </c>
      <c r="I1282">
        <v>60</v>
      </c>
      <c r="J1282" t="s">
        <v>40</v>
      </c>
      <c r="K1282" t="s">
        <v>46</v>
      </c>
      <c r="L1282" t="s">
        <v>42</v>
      </c>
      <c r="M1282" t="s">
        <v>47</v>
      </c>
    </row>
    <row r="1283" spans="1:13" x14ac:dyDescent="0.2">
      <c r="A1283" s="1">
        <v>46045</v>
      </c>
      <c r="B1283" t="s">
        <v>44</v>
      </c>
      <c r="C1283" t="s">
        <v>48</v>
      </c>
      <c r="E1283">
        <v>44348</v>
      </c>
      <c r="F1283">
        <v>2488</v>
      </c>
      <c r="G1283">
        <v>668.77</v>
      </c>
      <c r="I1283">
        <v>235</v>
      </c>
      <c r="J1283" t="s">
        <v>40</v>
      </c>
      <c r="K1283" t="s">
        <v>49</v>
      </c>
      <c r="L1283" t="s">
        <v>50</v>
      </c>
      <c r="M1283" t="s">
        <v>51</v>
      </c>
    </row>
    <row r="1284" spans="1:13" x14ac:dyDescent="0.2">
      <c r="A1284" s="1">
        <v>46045</v>
      </c>
      <c r="B1284" t="s">
        <v>52</v>
      </c>
      <c r="C1284" t="s">
        <v>53</v>
      </c>
      <c r="E1284">
        <v>134922</v>
      </c>
      <c r="F1284">
        <v>2156</v>
      </c>
      <c r="G1284">
        <v>493.76</v>
      </c>
      <c r="I1284">
        <v>183</v>
      </c>
      <c r="J1284" t="s">
        <v>40</v>
      </c>
      <c r="K1284" t="s">
        <v>54</v>
      </c>
      <c r="L1284" t="s">
        <v>54</v>
      </c>
      <c r="M1284" t="s">
        <v>54</v>
      </c>
    </row>
    <row r="1285" spans="1:13" x14ac:dyDescent="0.2">
      <c r="A1285" s="1">
        <v>46045</v>
      </c>
      <c r="B1285" t="s">
        <v>52</v>
      </c>
      <c r="C1285" t="s">
        <v>55</v>
      </c>
      <c r="E1285">
        <v>111611</v>
      </c>
      <c r="F1285">
        <v>1756</v>
      </c>
      <c r="G1285">
        <v>477.32</v>
      </c>
      <c r="I1285">
        <v>124</v>
      </c>
      <c r="J1285" t="s">
        <v>40</v>
      </c>
      <c r="K1285" t="s">
        <v>54</v>
      </c>
      <c r="L1285" t="s">
        <v>54</v>
      </c>
      <c r="M1285" t="s">
        <v>54</v>
      </c>
    </row>
    <row r="1286" spans="1:13" x14ac:dyDescent="0.2">
      <c r="A1286" s="1">
        <v>46045</v>
      </c>
      <c r="B1286" t="s">
        <v>56</v>
      </c>
      <c r="C1286" t="s">
        <v>57</v>
      </c>
      <c r="E1286">
        <v>24969</v>
      </c>
      <c r="F1286">
        <v>1332</v>
      </c>
      <c r="G1286">
        <v>370.95</v>
      </c>
      <c r="I1286">
        <v>84</v>
      </c>
      <c r="J1286" t="s">
        <v>40</v>
      </c>
      <c r="K1286" t="s">
        <v>58</v>
      </c>
      <c r="L1286" t="s">
        <v>42</v>
      </c>
      <c r="M1286" t="s">
        <v>43</v>
      </c>
    </row>
    <row r="1287" spans="1:13" x14ac:dyDescent="0.2">
      <c r="A1287" s="1">
        <v>46045</v>
      </c>
      <c r="B1287" t="s">
        <v>56</v>
      </c>
      <c r="C1287" t="s">
        <v>57</v>
      </c>
      <c r="E1287">
        <v>11436</v>
      </c>
      <c r="F1287">
        <v>710</v>
      </c>
      <c r="G1287">
        <v>139.80000000000001</v>
      </c>
      <c r="I1287">
        <v>49</v>
      </c>
      <c r="J1287" t="s">
        <v>40</v>
      </c>
      <c r="K1287" t="s">
        <v>59</v>
      </c>
      <c r="L1287" t="s">
        <v>38</v>
      </c>
      <c r="M1287" t="s">
        <v>43</v>
      </c>
    </row>
    <row r="1288" spans="1:13" x14ac:dyDescent="0.2">
      <c r="A1288" s="1">
        <v>46045</v>
      </c>
      <c r="B1288" t="s">
        <v>60</v>
      </c>
      <c r="C1288" t="s">
        <v>61</v>
      </c>
      <c r="E1288">
        <v>12448</v>
      </c>
      <c r="F1288">
        <v>709</v>
      </c>
      <c r="G1288">
        <v>173.02</v>
      </c>
      <c r="I1288">
        <v>60</v>
      </c>
      <c r="J1288" t="s">
        <v>40</v>
      </c>
      <c r="K1288" t="s">
        <v>62</v>
      </c>
      <c r="L1288" t="s">
        <v>42</v>
      </c>
      <c r="M1288" t="s">
        <v>47</v>
      </c>
    </row>
    <row r="1289" spans="1:13" x14ac:dyDescent="0.2">
      <c r="A1289" s="1">
        <v>46046</v>
      </c>
      <c r="B1289" t="s">
        <v>35</v>
      </c>
      <c r="C1289" t="s">
        <v>36</v>
      </c>
      <c r="E1289">
        <v>18457</v>
      </c>
      <c r="F1289">
        <v>1149</v>
      </c>
      <c r="G1289">
        <v>212.33</v>
      </c>
      <c r="I1289">
        <v>68</v>
      </c>
      <c r="J1289" t="s">
        <v>40</v>
      </c>
      <c r="K1289" t="s">
        <v>37</v>
      </c>
      <c r="L1289" t="s">
        <v>38</v>
      </c>
      <c r="M1289" t="s">
        <v>39</v>
      </c>
    </row>
    <row r="1290" spans="1:13" x14ac:dyDescent="0.2">
      <c r="A1290" s="1">
        <v>46046</v>
      </c>
      <c r="B1290" t="s">
        <v>35</v>
      </c>
      <c r="C1290" t="s">
        <v>36</v>
      </c>
      <c r="E1290">
        <v>15810</v>
      </c>
      <c r="F1290">
        <v>777</v>
      </c>
      <c r="G1290">
        <v>148.86000000000001</v>
      </c>
      <c r="I1290">
        <v>56</v>
      </c>
      <c r="J1290" t="s">
        <v>40</v>
      </c>
      <c r="K1290" t="s">
        <v>41</v>
      </c>
      <c r="L1290" t="s">
        <v>42</v>
      </c>
      <c r="M1290" t="s">
        <v>43</v>
      </c>
    </row>
    <row r="1291" spans="1:13" x14ac:dyDescent="0.2">
      <c r="A1291" s="1">
        <v>46046</v>
      </c>
      <c r="B1291" t="s">
        <v>44</v>
      </c>
      <c r="C1291" t="s">
        <v>45</v>
      </c>
      <c r="E1291">
        <v>25338</v>
      </c>
      <c r="F1291">
        <v>1549</v>
      </c>
      <c r="G1291">
        <v>352.3</v>
      </c>
      <c r="I1291">
        <v>94</v>
      </c>
      <c r="J1291" t="s">
        <v>40</v>
      </c>
      <c r="K1291" t="s">
        <v>46</v>
      </c>
      <c r="L1291" t="s">
        <v>42</v>
      </c>
      <c r="M1291" t="s">
        <v>47</v>
      </c>
    </row>
    <row r="1292" spans="1:13" x14ac:dyDescent="0.2">
      <c r="A1292" s="1">
        <v>46046</v>
      </c>
      <c r="B1292" t="s">
        <v>44</v>
      </c>
      <c r="C1292" t="s">
        <v>48</v>
      </c>
      <c r="E1292">
        <v>14852</v>
      </c>
      <c r="F1292">
        <v>820</v>
      </c>
      <c r="G1292">
        <v>201.86</v>
      </c>
      <c r="I1292">
        <v>66</v>
      </c>
      <c r="J1292" t="s">
        <v>40</v>
      </c>
      <c r="K1292" t="s">
        <v>49</v>
      </c>
      <c r="L1292" t="s">
        <v>50</v>
      </c>
      <c r="M1292" t="s">
        <v>51</v>
      </c>
    </row>
    <row r="1293" spans="1:13" x14ac:dyDescent="0.2">
      <c r="A1293" s="1">
        <v>46046</v>
      </c>
      <c r="B1293" t="s">
        <v>52</v>
      </c>
      <c r="C1293" t="s">
        <v>53</v>
      </c>
      <c r="E1293">
        <v>175540</v>
      </c>
      <c r="F1293">
        <v>2477</v>
      </c>
      <c r="G1293">
        <v>619.42999999999995</v>
      </c>
      <c r="I1293">
        <v>177</v>
      </c>
      <c r="J1293" t="s">
        <v>40</v>
      </c>
      <c r="K1293" t="s">
        <v>54</v>
      </c>
      <c r="L1293" t="s">
        <v>54</v>
      </c>
      <c r="M1293" t="s">
        <v>54</v>
      </c>
    </row>
    <row r="1294" spans="1:13" x14ac:dyDescent="0.2">
      <c r="A1294" s="1">
        <v>46046</v>
      </c>
      <c r="B1294" t="s">
        <v>52</v>
      </c>
      <c r="C1294" t="s">
        <v>55</v>
      </c>
      <c r="E1294">
        <v>145251</v>
      </c>
      <c r="F1294">
        <v>1969</v>
      </c>
      <c r="G1294">
        <v>476.04</v>
      </c>
      <c r="I1294">
        <v>130</v>
      </c>
      <c r="J1294" t="s">
        <v>40</v>
      </c>
      <c r="K1294" t="s">
        <v>54</v>
      </c>
      <c r="L1294" t="s">
        <v>54</v>
      </c>
      <c r="M1294" t="s">
        <v>54</v>
      </c>
    </row>
    <row r="1295" spans="1:13" x14ac:dyDescent="0.2">
      <c r="A1295" s="1">
        <v>46046</v>
      </c>
      <c r="B1295" t="s">
        <v>56</v>
      </c>
      <c r="C1295" t="s">
        <v>57</v>
      </c>
      <c r="E1295">
        <v>23749</v>
      </c>
      <c r="F1295">
        <v>1423</v>
      </c>
      <c r="G1295">
        <v>342.8</v>
      </c>
      <c r="I1295">
        <v>122</v>
      </c>
      <c r="J1295" t="s">
        <v>40</v>
      </c>
      <c r="K1295" t="s">
        <v>58</v>
      </c>
      <c r="L1295" t="s">
        <v>42</v>
      </c>
      <c r="M1295" t="s">
        <v>43</v>
      </c>
    </row>
    <row r="1296" spans="1:13" x14ac:dyDescent="0.2">
      <c r="A1296" s="1">
        <v>46046</v>
      </c>
      <c r="B1296" t="s">
        <v>56</v>
      </c>
      <c r="C1296" t="s">
        <v>57</v>
      </c>
      <c r="E1296">
        <v>61997</v>
      </c>
      <c r="F1296">
        <v>4423</v>
      </c>
      <c r="G1296">
        <v>954.45</v>
      </c>
      <c r="I1296">
        <v>315</v>
      </c>
      <c r="J1296" t="s">
        <v>40</v>
      </c>
      <c r="K1296" t="s">
        <v>59</v>
      </c>
      <c r="L1296" t="s">
        <v>38</v>
      </c>
      <c r="M1296" t="s">
        <v>43</v>
      </c>
    </row>
    <row r="1297" spans="1:13" x14ac:dyDescent="0.2">
      <c r="A1297" s="1">
        <v>46046</v>
      </c>
      <c r="B1297" t="s">
        <v>60</v>
      </c>
      <c r="C1297" t="s">
        <v>61</v>
      </c>
      <c r="E1297">
        <v>28713</v>
      </c>
      <c r="F1297">
        <v>1405</v>
      </c>
      <c r="G1297">
        <v>322.64</v>
      </c>
      <c r="I1297">
        <v>88</v>
      </c>
      <c r="J1297" t="s">
        <v>40</v>
      </c>
      <c r="K1297" t="s">
        <v>62</v>
      </c>
      <c r="L1297" t="s">
        <v>42</v>
      </c>
      <c r="M1297" t="s">
        <v>47</v>
      </c>
    </row>
    <row r="1298" spans="1:13" x14ac:dyDescent="0.2">
      <c r="A1298" s="1">
        <v>46047</v>
      </c>
      <c r="B1298" t="s">
        <v>35</v>
      </c>
      <c r="C1298" t="s">
        <v>36</v>
      </c>
      <c r="E1298">
        <v>58099</v>
      </c>
      <c r="F1298">
        <v>3249</v>
      </c>
      <c r="G1298">
        <v>585.71</v>
      </c>
      <c r="I1298">
        <v>265</v>
      </c>
      <c r="J1298" t="s">
        <v>40</v>
      </c>
      <c r="K1298" t="s">
        <v>37</v>
      </c>
      <c r="L1298" t="s">
        <v>38</v>
      </c>
      <c r="M1298" t="s">
        <v>39</v>
      </c>
    </row>
    <row r="1299" spans="1:13" x14ac:dyDescent="0.2">
      <c r="A1299" s="1">
        <v>46047</v>
      </c>
      <c r="B1299" t="s">
        <v>35</v>
      </c>
      <c r="C1299" t="s">
        <v>36</v>
      </c>
      <c r="E1299">
        <v>24131</v>
      </c>
      <c r="F1299">
        <v>1642</v>
      </c>
      <c r="G1299">
        <v>405.41</v>
      </c>
      <c r="I1299">
        <v>100</v>
      </c>
      <c r="J1299" t="s">
        <v>40</v>
      </c>
      <c r="K1299" t="s">
        <v>41</v>
      </c>
      <c r="L1299" t="s">
        <v>42</v>
      </c>
      <c r="M1299" t="s">
        <v>43</v>
      </c>
    </row>
    <row r="1300" spans="1:13" x14ac:dyDescent="0.2">
      <c r="A1300" s="1">
        <v>46047</v>
      </c>
      <c r="B1300" t="s">
        <v>44</v>
      </c>
      <c r="C1300" t="s">
        <v>45</v>
      </c>
      <c r="E1300">
        <v>22264</v>
      </c>
      <c r="F1300">
        <v>1485</v>
      </c>
      <c r="G1300">
        <v>278.44</v>
      </c>
      <c r="I1300">
        <v>124</v>
      </c>
      <c r="J1300" t="s">
        <v>40</v>
      </c>
      <c r="K1300" t="s">
        <v>46</v>
      </c>
      <c r="L1300" t="s">
        <v>42</v>
      </c>
      <c r="M1300" t="s">
        <v>47</v>
      </c>
    </row>
    <row r="1301" spans="1:13" x14ac:dyDescent="0.2">
      <c r="A1301" s="1">
        <v>46047</v>
      </c>
      <c r="B1301" t="s">
        <v>44</v>
      </c>
      <c r="C1301" t="s">
        <v>48</v>
      </c>
      <c r="E1301">
        <v>37478</v>
      </c>
      <c r="F1301">
        <v>2378</v>
      </c>
      <c r="G1301">
        <v>536.66</v>
      </c>
      <c r="I1301">
        <v>223</v>
      </c>
      <c r="J1301" t="s">
        <v>40</v>
      </c>
      <c r="K1301" t="s">
        <v>49</v>
      </c>
      <c r="L1301" t="s">
        <v>50</v>
      </c>
      <c r="M1301" t="s">
        <v>51</v>
      </c>
    </row>
    <row r="1302" spans="1:13" x14ac:dyDescent="0.2">
      <c r="A1302" s="1">
        <v>46047</v>
      </c>
      <c r="B1302" t="s">
        <v>52</v>
      </c>
      <c r="C1302" t="s">
        <v>53</v>
      </c>
      <c r="E1302">
        <v>174466</v>
      </c>
      <c r="F1302">
        <v>2324</v>
      </c>
      <c r="G1302">
        <v>441.52</v>
      </c>
      <c r="I1302">
        <v>144</v>
      </c>
      <c r="J1302" t="s">
        <v>40</v>
      </c>
      <c r="K1302" t="s">
        <v>54</v>
      </c>
      <c r="L1302" t="s">
        <v>54</v>
      </c>
      <c r="M1302" t="s">
        <v>54</v>
      </c>
    </row>
    <row r="1303" spans="1:13" x14ac:dyDescent="0.2">
      <c r="A1303" s="1">
        <v>46047</v>
      </c>
      <c r="B1303" t="s">
        <v>52</v>
      </c>
      <c r="C1303" t="s">
        <v>55</v>
      </c>
      <c r="E1303">
        <v>133238</v>
      </c>
      <c r="F1303">
        <v>2033</v>
      </c>
      <c r="G1303">
        <v>439.17</v>
      </c>
      <c r="I1303">
        <v>166</v>
      </c>
      <c r="J1303" t="s">
        <v>40</v>
      </c>
      <c r="K1303" t="s">
        <v>54</v>
      </c>
      <c r="L1303" t="s">
        <v>54</v>
      </c>
      <c r="M1303" t="s">
        <v>54</v>
      </c>
    </row>
    <row r="1304" spans="1:13" x14ac:dyDescent="0.2">
      <c r="A1304" s="1">
        <v>46047</v>
      </c>
      <c r="B1304" t="s">
        <v>56</v>
      </c>
      <c r="C1304" t="s">
        <v>57</v>
      </c>
      <c r="E1304">
        <v>53085</v>
      </c>
      <c r="F1304">
        <v>3489</v>
      </c>
      <c r="G1304">
        <v>661.16</v>
      </c>
      <c r="I1304">
        <v>297</v>
      </c>
      <c r="J1304" t="s">
        <v>40</v>
      </c>
      <c r="K1304" t="s">
        <v>58</v>
      </c>
      <c r="L1304" t="s">
        <v>42</v>
      </c>
      <c r="M1304" t="s">
        <v>43</v>
      </c>
    </row>
    <row r="1305" spans="1:13" x14ac:dyDescent="0.2">
      <c r="A1305" s="1">
        <v>46047</v>
      </c>
      <c r="B1305" t="s">
        <v>56</v>
      </c>
      <c r="C1305" t="s">
        <v>57</v>
      </c>
      <c r="E1305">
        <v>18209</v>
      </c>
      <c r="F1305">
        <v>878</v>
      </c>
      <c r="G1305">
        <v>170.19</v>
      </c>
      <c r="I1305">
        <v>71</v>
      </c>
      <c r="J1305" t="s">
        <v>40</v>
      </c>
      <c r="K1305" t="s">
        <v>59</v>
      </c>
      <c r="L1305" t="s">
        <v>38</v>
      </c>
      <c r="M1305" t="s">
        <v>43</v>
      </c>
    </row>
    <row r="1306" spans="1:13" x14ac:dyDescent="0.2">
      <c r="A1306" s="1">
        <v>46047</v>
      </c>
      <c r="B1306" t="s">
        <v>60</v>
      </c>
      <c r="C1306" t="s">
        <v>61</v>
      </c>
      <c r="E1306">
        <v>44154</v>
      </c>
      <c r="F1306">
        <v>2498</v>
      </c>
      <c r="G1306">
        <v>558.98</v>
      </c>
      <c r="I1306">
        <v>199</v>
      </c>
      <c r="J1306" t="s">
        <v>40</v>
      </c>
      <c r="K1306" t="s">
        <v>62</v>
      </c>
      <c r="L1306" t="s">
        <v>42</v>
      </c>
      <c r="M1306" t="s">
        <v>47</v>
      </c>
    </row>
    <row r="1307" spans="1:13" x14ac:dyDescent="0.2">
      <c r="A1307" s="1">
        <v>46048</v>
      </c>
      <c r="B1307" t="s">
        <v>35</v>
      </c>
      <c r="C1307" t="s">
        <v>36</v>
      </c>
      <c r="E1307">
        <v>16091</v>
      </c>
      <c r="F1307">
        <v>916</v>
      </c>
      <c r="G1307">
        <v>196.27</v>
      </c>
      <c r="I1307">
        <v>54</v>
      </c>
      <c r="J1307" t="s">
        <v>40</v>
      </c>
      <c r="K1307" t="s">
        <v>37</v>
      </c>
      <c r="L1307" t="s">
        <v>38</v>
      </c>
      <c r="M1307" t="s">
        <v>39</v>
      </c>
    </row>
    <row r="1308" spans="1:13" x14ac:dyDescent="0.2">
      <c r="A1308" s="1">
        <v>46048</v>
      </c>
      <c r="B1308" t="s">
        <v>35</v>
      </c>
      <c r="C1308" t="s">
        <v>36</v>
      </c>
      <c r="E1308">
        <v>36230</v>
      </c>
      <c r="F1308">
        <v>2575</v>
      </c>
      <c r="G1308">
        <v>533.5</v>
      </c>
      <c r="I1308">
        <v>181</v>
      </c>
      <c r="J1308" t="s">
        <v>40</v>
      </c>
      <c r="K1308" t="s">
        <v>41</v>
      </c>
      <c r="L1308" t="s">
        <v>42</v>
      </c>
      <c r="M1308" t="s">
        <v>43</v>
      </c>
    </row>
    <row r="1309" spans="1:13" x14ac:dyDescent="0.2">
      <c r="A1309" s="1">
        <v>46048</v>
      </c>
      <c r="B1309" t="s">
        <v>44</v>
      </c>
      <c r="C1309" t="s">
        <v>45</v>
      </c>
      <c r="E1309">
        <v>41342</v>
      </c>
      <c r="F1309">
        <v>2778</v>
      </c>
      <c r="G1309">
        <v>680.29</v>
      </c>
      <c r="I1309">
        <v>241</v>
      </c>
      <c r="J1309" t="s">
        <v>40</v>
      </c>
      <c r="K1309" t="s">
        <v>46</v>
      </c>
      <c r="L1309" t="s">
        <v>42</v>
      </c>
      <c r="M1309" t="s">
        <v>47</v>
      </c>
    </row>
    <row r="1310" spans="1:13" x14ac:dyDescent="0.2">
      <c r="A1310" s="1">
        <v>46048</v>
      </c>
      <c r="B1310" t="s">
        <v>44</v>
      </c>
      <c r="C1310" t="s">
        <v>48</v>
      </c>
      <c r="E1310">
        <v>17409</v>
      </c>
      <c r="F1310">
        <v>890</v>
      </c>
      <c r="G1310">
        <v>224.85</v>
      </c>
      <c r="I1310">
        <v>83</v>
      </c>
      <c r="J1310" t="s">
        <v>40</v>
      </c>
      <c r="K1310" t="s">
        <v>49</v>
      </c>
      <c r="L1310" t="s">
        <v>50</v>
      </c>
      <c r="M1310" t="s">
        <v>51</v>
      </c>
    </row>
    <row r="1311" spans="1:13" x14ac:dyDescent="0.2">
      <c r="A1311" s="1">
        <v>46048</v>
      </c>
      <c r="B1311" t="s">
        <v>52</v>
      </c>
      <c r="C1311" t="s">
        <v>53</v>
      </c>
      <c r="E1311">
        <v>110892</v>
      </c>
      <c r="F1311">
        <v>1277</v>
      </c>
      <c r="G1311">
        <v>346.22</v>
      </c>
      <c r="I1311">
        <v>94</v>
      </c>
      <c r="J1311" t="s">
        <v>40</v>
      </c>
      <c r="K1311" t="s">
        <v>54</v>
      </c>
      <c r="L1311" t="s">
        <v>54</v>
      </c>
      <c r="M1311" t="s">
        <v>54</v>
      </c>
    </row>
    <row r="1312" spans="1:13" x14ac:dyDescent="0.2">
      <c r="A1312" s="1">
        <v>46048</v>
      </c>
      <c r="B1312" t="s">
        <v>52</v>
      </c>
      <c r="C1312" t="s">
        <v>55</v>
      </c>
      <c r="E1312">
        <v>164572</v>
      </c>
      <c r="F1312">
        <v>2368</v>
      </c>
      <c r="G1312">
        <v>469.16</v>
      </c>
      <c r="I1312">
        <v>166</v>
      </c>
      <c r="J1312" t="s">
        <v>40</v>
      </c>
      <c r="K1312" t="s">
        <v>54</v>
      </c>
      <c r="L1312" t="s">
        <v>54</v>
      </c>
      <c r="M1312" t="s">
        <v>54</v>
      </c>
    </row>
    <row r="1313" spans="1:13" x14ac:dyDescent="0.2">
      <c r="A1313" s="1">
        <v>46048</v>
      </c>
      <c r="B1313" t="s">
        <v>56</v>
      </c>
      <c r="C1313" t="s">
        <v>57</v>
      </c>
      <c r="E1313">
        <v>33501</v>
      </c>
      <c r="F1313">
        <v>2099</v>
      </c>
      <c r="G1313">
        <v>558.87</v>
      </c>
      <c r="I1313">
        <v>189</v>
      </c>
      <c r="J1313" t="s">
        <v>40</v>
      </c>
      <c r="K1313" t="s">
        <v>58</v>
      </c>
      <c r="L1313" t="s">
        <v>42</v>
      </c>
      <c r="M1313" t="s">
        <v>43</v>
      </c>
    </row>
    <row r="1314" spans="1:13" x14ac:dyDescent="0.2">
      <c r="A1314" s="1">
        <v>46048</v>
      </c>
      <c r="B1314" t="s">
        <v>56</v>
      </c>
      <c r="C1314" t="s">
        <v>57</v>
      </c>
      <c r="E1314">
        <v>18562</v>
      </c>
      <c r="F1314">
        <v>1106</v>
      </c>
      <c r="G1314">
        <v>253.07</v>
      </c>
      <c r="I1314">
        <v>100</v>
      </c>
      <c r="J1314" t="s">
        <v>40</v>
      </c>
      <c r="K1314" t="s">
        <v>59</v>
      </c>
      <c r="L1314" t="s">
        <v>38</v>
      </c>
      <c r="M1314" t="s">
        <v>43</v>
      </c>
    </row>
    <row r="1315" spans="1:13" x14ac:dyDescent="0.2">
      <c r="A1315" s="1">
        <v>46048</v>
      </c>
      <c r="B1315" t="s">
        <v>60</v>
      </c>
      <c r="C1315" t="s">
        <v>61</v>
      </c>
      <c r="E1315">
        <v>38880</v>
      </c>
      <c r="F1315">
        <v>1909</v>
      </c>
      <c r="G1315">
        <v>393.56</v>
      </c>
      <c r="I1315">
        <v>128</v>
      </c>
      <c r="J1315" t="s">
        <v>40</v>
      </c>
      <c r="K1315" t="s">
        <v>62</v>
      </c>
      <c r="L1315" t="s">
        <v>42</v>
      </c>
      <c r="M1315" t="s">
        <v>47</v>
      </c>
    </row>
    <row r="1316" spans="1:13" x14ac:dyDescent="0.2">
      <c r="A1316" s="1">
        <v>46049</v>
      </c>
      <c r="B1316" t="s">
        <v>35</v>
      </c>
      <c r="C1316" t="s">
        <v>36</v>
      </c>
      <c r="E1316">
        <v>44394</v>
      </c>
      <c r="F1316">
        <v>2948</v>
      </c>
      <c r="G1316">
        <v>700.64</v>
      </c>
      <c r="I1316">
        <v>228</v>
      </c>
      <c r="J1316" t="s">
        <v>40</v>
      </c>
      <c r="K1316" t="s">
        <v>37</v>
      </c>
      <c r="L1316" t="s">
        <v>38</v>
      </c>
      <c r="M1316" t="s">
        <v>39</v>
      </c>
    </row>
    <row r="1317" spans="1:13" x14ac:dyDescent="0.2">
      <c r="A1317" s="1">
        <v>46049</v>
      </c>
      <c r="B1317" t="s">
        <v>35</v>
      </c>
      <c r="C1317" t="s">
        <v>36</v>
      </c>
      <c r="E1317">
        <v>32170</v>
      </c>
      <c r="F1317">
        <v>1944</v>
      </c>
      <c r="G1317">
        <v>483.71</v>
      </c>
      <c r="I1317">
        <v>154</v>
      </c>
      <c r="J1317" t="s">
        <v>40</v>
      </c>
      <c r="K1317" t="s">
        <v>41</v>
      </c>
      <c r="L1317" t="s">
        <v>42</v>
      </c>
      <c r="M1317" t="s">
        <v>43</v>
      </c>
    </row>
    <row r="1318" spans="1:13" x14ac:dyDescent="0.2">
      <c r="A1318" s="1">
        <v>46049</v>
      </c>
      <c r="B1318" t="s">
        <v>44</v>
      </c>
      <c r="C1318" t="s">
        <v>45</v>
      </c>
      <c r="E1318">
        <v>38367</v>
      </c>
      <c r="F1318">
        <v>2450</v>
      </c>
      <c r="G1318">
        <v>501.9</v>
      </c>
      <c r="I1318">
        <v>168</v>
      </c>
      <c r="J1318" t="s">
        <v>40</v>
      </c>
      <c r="K1318" t="s">
        <v>46</v>
      </c>
      <c r="L1318" t="s">
        <v>42</v>
      </c>
      <c r="M1318" t="s">
        <v>47</v>
      </c>
    </row>
    <row r="1319" spans="1:13" x14ac:dyDescent="0.2">
      <c r="A1319" s="1">
        <v>46049</v>
      </c>
      <c r="B1319" t="s">
        <v>44</v>
      </c>
      <c r="C1319" t="s">
        <v>48</v>
      </c>
      <c r="E1319">
        <v>35223</v>
      </c>
      <c r="F1319">
        <v>1816</v>
      </c>
      <c r="G1319">
        <v>476.96</v>
      </c>
      <c r="I1319">
        <v>164</v>
      </c>
      <c r="J1319" t="s">
        <v>40</v>
      </c>
      <c r="K1319" t="s">
        <v>49</v>
      </c>
      <c r="L1319" t="s">
        <v>50</v>
      </c>
      <c r="M1319" t="s">
        <v>51</v>
      </c>
    </row>
    <row r="1320" spans="1:13" x14ac:dyDescent="0.2">
      <c r="A1320" s="1">
        <v>46049</v>
      </c>
      <c r="B1320" t="s">
        <v>52</v>
      </c>
      <c r="C1320" t="s">
        <v>53</v>
      </c>
      <c r="E1320">
        <v>97152</v>
      </c>
      <c r="F1320">
        <v>1074</v>
      </c>
      <c r="G1320">
        <v>293.67</v>
      </c>
      <c r="I1320">
        <v>80</v>
      </c>
      <c r="J1320" t="s">
        <v>40</v>
      </c>
      <c r="K1320" t="s">
        <v>54</v>
      </c>
      <c r="L1320" t="s">
        <v>54</v>
      </c>
      <c r="M1320" t="s">
        <v>54</v>
      </c>
    </row>
    <row r="1321" spans="1:13" x14ac:dyDescent="0.2">
      <c r="A1321" s="1">
        <v>46049</v>
      </c>
      <c r="B1321" t="s">
        <v>52</v>
      </c>
      <c r="C1321" t="s">
        <v>55</v>
      </c>
      <c r="E1321">
        <v>151510</v>
      </c>
      <c r="F1321">
        <v>2311</v>
      </c>
      <c r="G1321">
        <v>616.9</v>
      </c>
      <c r="I1321">
        <v>134</v>
      </c>
      <c r="J1321" t="s">
        <v>40</v>
      </c>
      <c r="K1321" t="s">
        <v>54</v>
      </c>
      <c r="L1321" t="s">
        <v>54</v>
      </c>
      <c r="M1321" t="s">
        <v>54</v>
      </c>
    </row>
    <row r="1322" spans="1:13" x14ac:dyDescent="0.2">
      <c r="A1322" s="1">
        <v>46049</v>
      </c>
      <c r="B1322" t="s">
        <v>56</v>
      </c>
      <c r="C1322" t="s">
        <v>57</v>
      </c>
      <c r="E1322">
        <v>42220</v>
      </c>
      <c r="F1322">
        <v>2351</v>
      </c>
      <c r="G1322">
        <v>500.97</v>
      </c>
      <c r="I1322">
        <v>155</v>
      </c>
      <c r="J1322" t="s">
        <v>40</v>
      </c>
      <c r="K1322" t="s">
        <v>58</v>
      </c>
      <c r="L1322" t="s">
        <v>42</v>
      </c>
      <c r="M1322" t="s">
        <v>43</v>
      </c>
    </row>
    <row r="1323" spans="1:13" x14ac:dyDescent="0.2">
      <c r="A1323" s="1">
        <v>46049</v>
      </c>
      <c r="B1323" t="s">
        <v>56</v>
      </c>
      <c r="C1323" t="s">
        <v>57</v>
      </c>
      <c r="E1323">
        <v>43222</v>
      </c>
      <c r="F1323">
        <v>2305</v>
      </c>
      <c r="G1323">
        <v>563.17999999999995</v>
      </c>
      <c r="I1323">
        <v>163</v>
      </c>
      <c r="J1323" t="s">
        <v>40</v>
      </c>
      <c r="K1323" t="s">
        <v>59</v>
      </c>
      <c r="L1323" t="s">
        <v>38</v>
      </c>
      <c r="M1323" t="s">
        <v>43</v>
      </c>
    </row>
    <row r="1324" spans="1:13" x14ac:dyDescent="0.2">
      <c r="A1324" s="1">
        <v>46049</v>
      </c>
      <c r="B1324" t="s">
        <v>60</v>
      </c>
      <c r="C1324" t="s">
        <v>61</v>
      </c>
      <c r="E1324">
        <v>25400</v>
      </c>
      <c r="F1324">
        <v>1267</v>
      </c>
      <c r="G1324">
        <v>284.33999999999997</v>
      </c>
      <c r="I1324">
        <v>98</v>
      </c>
      <c r="J1324" t="s">
        <v>40</v>
      </c>
      <c r="K1324" t="s">
        <v>62</v>
      </c>
      <c r="L1324" t="s">
        <v>42</v>
      </c>
      <c r="M1324" t="s">
        <v>47</v>
      </c>
    </row>
    <row r="1325" spans="1:13" x14ac:dyDescent="0.2">
      <c r="A1325" s="1">
        <v>46050</v>
      </c>
      <c r="B1325" t="s">
        <v>35</v>
      </c>
      <c r="C1325" t="s">
        <v>36</v>
      </c>
      <c r="E1325">
        <v>15768</v>
      </c>
      <c r="F1325">
        <v>1081</v>
      </c>
      <c r="G1325">
        <v>242.91</v>
      </c>
      <c r="I1325">
        <v>64</v>
      </c>
      <c r="J1325" t="s">
        <v>40</v>
      </c>
      <c r="K1325" t="s">
        <v>37</v>
      </c>
      <c r="L1325" t="s">
        <v>38</v>
      </c>
      <c r="M1325" t="s">
        <v>39</v>
      </c>
    </row>
    <row r="1326" spans="1:13" x14ac:dyDescent="0.2">
      <c r="A1326" s="1">
        <v>46050</v>
      </c>
      <c r="B1326" t="s">
        <v>35</v>
      </c>
      <c r="C1326" t="s">
        <v>36</v>
      </c>
      <c r="E1326">
        <v>42595</v>
      </c>
      <c r="F1326">
        <v>2806</v>
      </c>
      <c r="G1326">
        <v>510.07</v>
      </c>
      <c r="I1326">
        <v>199</v>
      </c>
      <c r="J1326" t="s">
        <v>40</v>
      </c>
      <c r="K1326" t="s">
        <v>41</v>
      </c>
      <c r="L1326" t="s">
        <v>42</v>
      </c>
      <c r="M1326" t="s">
        <v>43</v>
      </c>
    </row>
    <row r="1327" spans="1:13" x14ac:dyDescent="0.2">
      <c r="A1327" s="1">
        <v>46050</v>
      </c>
      <c r="B1327" t="s">
        <v>44</v>
      </c>
      <c r="C1327" t="s">
        <v>45</v>
      </c>
      <c r="E1327">
        <v>12348</v>
      </c>
      <c r="F1327">
        <v>757</v>
      </c>
      <c r="G1327">
        <v>136.27000000000001</v>
      </c>
      <c r="I1327">
        <v>44</v>
      </c>
      <c r="J1327" t="s">
        <v>40</v>
      </c>
      <c r="K1327" t="s">
        <v>46</v>
      </c>
      <c r="L1327" t="s">
        <v>42</v>
      </c>
      <c r="M1327" t="s">
        <v>47</v>
      </c>
    </row>
    <row r="1328" spans="1:13" x14ac:dyDescent="0.2">
      <c r="A1328" s="1">
        <v>46050</v>
      </c>
      <c r="B1328" t="s">
        <v>44</v>
      </c>
      <c r="C1328" t="s">
        <v>48</v>
      </c>
      <c r="E1328">
        <v>29962</v>
      </c>
      <c r="F1328">
        <v>2078</v>
      </c>
      <c r="G1328">
        <v>490.89</v>
      </c>
      <c r="I1328">
        <v>168</v>
      </c>
      <c r="J1328" t="s">
        <v>40</v>
      </c>
      <c r="K1328" t="s">
        <v>49</v>
      </c>
      <c r="L1328" t="s">
        <v>50</v>
      </c>
      <c r="M1328" t="s">
        <v>51</v>
      </c>
    </row>
    <row r="1329" spans="1:13" x14ac:dyDescent="0.2">
      <c r="A1329" s="1">
        <v>46050</v>
      </c>
      <c r="B1329" t="s">
        <v>52</v>
      </c>
      <c r="C1329" t="s">
        <v>53</v>
      </c>
      <c r="E1329">
        <v>149796</v>
      </c>
      <c r="F1329">
        <v>2359</v>
      </c>
      <c r="G1329">
        <v>510.33</v>
      </c>
      <c r="I1329">
        <v>134</v>
      </c>
      <c r="J1329" t="s">
        <v>40</v>
      </c>
      <c r="K1329" t="s">
        <v>54</v>
      </c>
      <c r="L1329" t="s">
        <v>54</v>
      </c>
      <c r="M1329" t="s">
        <v>54</v>
      </c>
    </row>
    <row r="1330" spans="1:13" x14ac:dyDescent="0.2">
      <c r="A1330" s="1">
        <v>46050</v>
      </c>
      <c r="B1330" t="s">
        <v>52</v>
      </c>
      <c r="C1330" t="s">
        <v>55</v>
      </c>
      <c r="E1330">
        <v>119218</v>
      </c>
      <c r="F1330">
        <v>1814</v>
      </c>
      <c r="G1330">
        <v>386.74</v>
      </c>
      <c r="I1330">
        <v>155</v>
      </c>
      <c r="J1330" t="s">
        <v>40</v>
      </c>
      <c r="K1330" t="s">
        <v>54</v>
      </c>
      <c r="L1330" t="s">
        <v>54</v>
      </c>
      <c r="M1330" t="s">
        <v>54</v>
      </c>
    </row>
    <row r="1331" spans="1:13" x14ac:dyDescent="0.2">
      <c r="A1331" s="1">
        <v>46050</v>
      </c>
      <c r="B1331" t="s">
        <v>56</v>
      </c>
      <c r="C1331" t="s">
        <v>57</v>
      </c>
      <c r="E1331">
        <v>41007</v>
      </c>
      <c r="F1331">
        <v>2673</v>
      </c>
      <c r="G1331">
        <v>578.25</v>
      </c>
      <c r="I1331">
        <v>195</v>
      </c>
      <c r="J1331" t="s">
        <v>40</v>
      </c>
      <c r="K1331" t="s">
        <v>58</v>
      </c>
      <c r="L1331" t="s">
        <v>42</v>
      </c>
      <c r="M1331" t="s">
        <v>43</v>
      </c>
    </row>
    <row r="1332" spans="1:13" x14ac:dyDescent="0.2">
      <c r="A1332" s="1">
        <v>46050</v>
      </c>
      <c r="B1332" t="s">
        <v>56</v>
      </c>
      <c r="C1332" t="s">
        <v>57</v>
      </c>
      <c r="E1332">
        <v>16385</v>
      </c>
      <c r="F1332">
        <v>1085</v>
      </c>
      <c r="G1332">
        <v>219.36</v>
      </c>
      <c r="I1332">
        <v>74</v>
      </c>
      <c r="J1332" t="s">
        <v>40</v>
      </c>
      <c r="K1332" t="s">
        <v>59</v>
      </c>
      <c r="L1332" t="s">
        <v>38</v>
      </c>
      <c r="M1332" t="s">
        <v>43</v>
      </c>
    </row>
    <row r="1333" spans="1:13" x14ac:dyDescent="0.2">
      <c r="A1333" s="1">
        <v>46050</v>
      </c>
      <c r="B1333" t="s">
        <v>60</v>
      </c>
      <c r="C1333" t="s">
        <v>61</v>
      </c>
      <c r="E1333">
        <v>29135</v>
      </c>
      <c r="F1333">
        <v>1781</v>
      </c>
      <c r="G1333">
        <v>387.17</v>
      </c>
      <c r="I1333">
        <v>105</v>
      </c>
      <c r="J1333" t="s">
        <v>40</v>
      </c>
      <c r="K1333" t="s">
        <v>62</v>
      </c>
      <c r="L1333" t="s">
        <v>42</v>
      </c>
      <c r="M1333" t="s">
        <v>47</v>
      </c>
    </row>
    <row r="1334" spans="1:13" x14ac:dyDescent="0.2">
      <c r="A1334" s="1">
        <v>46051</v>
      </c>
      <c r="B1334" t="s">
        <v>35</v>
      </c>
      <c r="C1334" t="s">
        <v>36</v>
      </c>
      <c r="E1334">
        <v>20758</v>
      </c>
      <c r="F1334">
        <v>1241</v>
      </c>
      <c r="G1334">
        <v>325.37</v>
      </c>
      <c r="I1334">
        <v>105</v>
      </c>
      <c r="J1334" t="s">
        <v>40</v>
      </c>
      <c r="K1334" t="s">
        <v>37</v>
      </c>
      <c r="L1334" t="s">
        <v>38</v>
      </c>
      <c r="M1334" t="s">
        <v>39</v>
      </c>
    </row>
    <row r="1335" spans="1:13" x14ac:dyDescent="0.2">
      <c r="A1335" s="1">
        <v>46051</v>
      </c>
      <c r="B1335" t="s">
        <v>35</v>
      </c>
      <c r="C1335" t="s">
        <v>36</v>
      </c>
      <c r="E1335">
        <v>36818</v>
      </c>
      <c r="F1335">
        <v>1861</v>
      </c>
      <c r="G1335">
        <v>448.66</v>
      </c>
      <c r="I1335">
        <v>116</v>
      </c>
      <c r="J1335" t="s">
        <v>40</v>
      </c>
      <c r="K1335" t="s">
        <v>41</v>
      </c>
      <c r="L1335" t="s">
        <v>42</v>
      </c>
      <c r="M1335" t="s">
        <v>43</v>
      </c>
    </row>
    <row r="1336" spans="1:13" x14ac:dyDescent="0.2">
      <c r="A1336" s="1">
        <v>46051</v>
      </c>
      <c r="B1336" t="s">
        <v>44</v>
      </c>
      <c r="C1336" t="s">
        <v>45</v>
      </c>
      <c r="E1336">
        <v>35748</v>
      </c>
      <c r="F1336">
        <v>1900</v>
      </c>
      <c r="G1336">
        <v>498.67</v>
      </c>
      <c r="I1336">
        <v>118</v>
      </c>
      <c r="J1336" t="s">
        <v>40</v>
      </c>
      <c r="K1336" t="s">
        <v>46</v>
      </c>
      <c r="L1336" t="s">
        <v>42</v>
      </c>
      <c r="M1336" t="s">
        <v>47</v>
      </c>
    </row>
    <row r="1337" spans="1:13" x14ac:dyDescent="0.2">
      <c r="A1337" s="1">
        <v>46051</v>
      </c>
      <c r="B1337" t="s">
        <v>44</v>
      </c>
      <c r="C1337" t="s">
        <v>48</v>
      </c>
      <c r="E1337">
        <v>32146</v>
      </c>
      <c r="F1337">
        <v>1626</v>
      </c>
      <c r="G1337">
        <v>360.07</v>
      </c>
      <c r="I1337">
        <v>149</v>
      </c>
      <c r="J1337" t="s">
        <v>40</v>
      </c>
      <c r="K1337" t="s">
        <v>49</v>
      </c>
      <c r="L1337" t="s">
        <v>50</v>
      </c>
      <c r="M1337" t="s">
        <v>51</v>
      </c>
    </row>
    <row r="1338" spans="1:13" x14ac:dyDescent="0.2">
      <c r="A1338" s="1">
        <v>46051</v>
      </c>
      <c r="B1338" t="s">
        <v>52</v>
      </c>
      <c r="C1338" t="s">
        <v>53</v>
      </c>
      <c r="E1338">
        <v>167176</v>
      </c>
      <c r="F1338">
        <v>1941</v>
      </c>
      <c r="G1338">
        <v>522.47</v>
      </c>
      <c r="I1338">
        <v>142</v>
      </c>
      <c r="J1338" t="s">
        <v>40</v>
      </c>
      <c r="K1338" t="s">
        <v>54</v>
      </c>
      <c r="L1338" t="s">
        <v>54</v>
      </c>
      <c r="M1338" t="s">
        <v>54</v>
      </c>
    </row>
    <row r="1339" spans="1:13" x14ac:dyDescent="0.2">
      <c r="A1339" s="1">
        <v>46051</v>
      </c>
      <c r="B1339" t="s">
        <v>52</v>
      </c>
      <c r="C1339" t="s">
        <v>55</v>
      </c>
      <c r="E1339">
        <v>167242</v>
      </c>
      <c r="F1339">
        <v>2639</v>
      </c>
      <c r="G1339">
        <v>510.55</v>
      </c>
      <c r="I1339">
        <v>197</v>
      </c>
      <c r="J1339" t="s">
        <v>40</v>
      </c>
      <c r="K1339" t="s">
        <v>54</v>
      </c>
      <c r="L1339" t="s">
        <v>54</v>
      </c>
      <c r="M1339" t="s">
        <v>54</v>
      </c>
    </row>
    <row r="1340" spans="1:13" x14ac:dyDescent="0.2">
      <c r="A1340" s="1">
        <v>46051</v>
      </c>
      <c r="B1340" t="s">
        <v>56</v>
      </c>
      <c r="C1340" t="s">
        <v>57</v>
      </c>
      <c r="E1340">
        <v>44757</v>
      </c>
      <c r="F1340">
        <v>2939</v>
      </c>
      <c r="G1340">
        <v>691.61</v>
      </c>
      <c r="I1340">
        <v>212</v>
      </c>
      <c r="J1340" t="s">
        <v>40</v>
      </c>
      <c r="K1340" t="s">
        <v>58</v>
      </c>
      <c r="L1340" t="s">
        <v>42</v>
      </c>
      <c r="M1340" t="s">
        <v>43</v>
      </c>
    </row>
    <row r="1341" spans="1:13" x14ac:dyDescent="0.2">
      <c r="A1341" s="1">
        <v>46051</v>
      </c>
      <c r="B1341" t="s">
        <v>56</v>
      </c>
      <c r="C1341" t="s">
        <v>57</v>
      </c>
      <c r="E1341">
        <v>41649</v>
      </c>
      <c r="F1341">
        <v>2923</v>
      </c>
      <c r="G1341">
        <v>754.45</v>
      </c>
      <c r="I1341">
        <v>267</v>
      </c>
      <c r="J1341" t="s">
        <v>40</v>
      </c>
      <c r="K1341" t="s">
        <v>59</v>
      </c>
      <c r="L1341" t="s">
        <v>38</v>
      </c>
      <c r="M1341" t="s">
        <v>43</v>
      </c>
    </row>
    <row r="1342" spans="1:13" x14ac:dyDescent="0.2">
      <c r="A1342" s="1">
        <v>46051</v>
      </c>
      <c r="B1342" t="s">
        <v>60</v>
      </c>
      <c r="C1342" t="s">
        <v>61</v>
      </c>
      <c r="E1342">
        <v>21380</v>
      </c>
      <c r="F1342">
        <v>1401</v>
      </c>
      <c r="G1342">
        <v>270.17</v>
      </c>
      <c r="I1342">
        <v>98</v>
      </c>
      <c r="J1342" t="s">
        <v>40</v>
      </c>
      <c r="K1342" t="s">
        <v>62</v>
      </c>
      <c r="L1342" t="s">
        <v>42</v>
      </c>
      <c r="M1342" t="s">
        <v>47</v>
      </c>
    </row>
    <row r="1343" spans="1:13" x14ac:dyDescent="0.2">
      <c r="A1343" s="1">
        <v>46052</v>
      </c>
      <c r="B1343" t="s">
        <v>35</v>
      </c>
      <c r="C1343" t="s">
        <v>36</v>
      </c>
      <c r="E1343">
        <v>31092</v>
      </c>
      <c r="F1343">
        <v>1868</v>
      </c>
      <c r="G1343">
        <v>408.09</v>
      </c>
      <c r="I1343">
        <v>175</v>
      </c>
      <c r="J1343" t="s">
        <v>40</v>
      </c>
      <c r="K1343" t="s">
        <v>37</v>
      </c>
      <c r="L1343" t="s">
        <v>38</v>
      </c>
      <c r="M1343" t="s">
        <v>39</v>
      </c>
    </row>
    <row r="1344" spans="1:13" x14ac:dyDescent="0.2">
      <c r="A1344" s="1">
        <v>46052</v>
      </c>
      <c r="B1344" t="s">
        <v>35</v>
      </c>
      <c r="C1344" t="s">
        <v>36</v>
      </c>
      <c r="E1344">
        <v>26268</v>
      </c>
      <c r="F1344">
        <v>1433</v>
      </c>
      <c r="G1344">
        <v>396.02</v>
      </c>
      <c r="I1344">
        <v>134</v>
      </c>
      <c r="J1344" t="s">
        <v>40</v>
      </c>
      <c r="K1344" t="s">
        <v>41</v>
      </c>
      <c r="L1344" t="s">
        <v>42</v>
      </c>
      <c r="M1344" t="s">
        <v>43</v>
      </c>
    </row>
    <row r="1345" spans="1:13" x14ac:dyDescent="0.2">
      <c r="A1345" s="1">
        <v>46052</v>
      </c>
      <c r="B1345" t="s">
        <v>44</v>
      </c>
      <c r="C1345" t="s">
        <v>45</v>
      </c>
      <c r="E1345">
        <v>39677</v>
      </c>
      <c r="F1345">
        <v>2670</v>
      </c>
      <c r="G1345">
        <v>517.49</v>
      </c>
      <c r="I1345">
        <v>211</v>
      </c>
      <c r="J1345" t="s">
        <v>40</v>
      </c>
      <c r="K1345" t="s">
        <v>46</v>
      </c>
      <c r="L1345" t="s">
        <v>42</v>
      </c>
      <c r="M1345" t="s">
        <v>47</v>
      </c>
    </row>
    <row r="1346" spans="1:13" x14ac:dyDescent="0.2">
      <c r="A1346" s="1">
        <v>46052</v>
      </c>
      <c r="B1346" t="s">
        <v>44</v>
      </c>
      <c r="C1346" t="s">
        <v>48</v>
      </c>
      <c r="E1346">
        <v>43573</v>
      </c>
      <c r="F1346">
        <v>2404</v>
      </c>
      <c r="G1346">
        <v>601.36</v>
      </c>
      <c r="I1346">
        <v>214</v>
      </c>
      <c r="J1346" t="s">
        <v>40</v>
      </c>
      <c r="K1346" t="s">
        <v>49</v>
      </c>
      <c r="L1346" t="s">
        <v>50</v>
      </c>
      <c r="M1346" t="s">
        <v>51</v>
      </c>
    </row>
    <row r="1347" spans="1:13" x14ac:dyDescent="0.2">
      <c r="A1347" s="1">
        <v>46052</v>
      </c>
      <c r="B1347" t="s">
        <v>52</v>
      </c>
      <c r="C1347" t="s">
        <v>53</v>
      </c>
      <c r="E1347">
        <v>162559</v>
      </c>
      <c r="F1347">
        <v>2302</v>
      </c>
      <c r="G1347">
        <v>460.6</v>
      </c>
      <c r="I1347">
        <v>184</v>
      </c>
      <c r="J1347" t="s">
        <v>40</v>
      </c>
      <c r="K1347" t="s">
        <v>54</v>
      </c>
      <c r="L1347" t="s">
        <v>54</v>
      </c>
      <c r="M1347" t="s">
        <v>54</v>
      </c>
    </row>
    <row r="1348" spans="1:13" x14ac:dyDescent="0.2">
      <c r="A1348" s="1">
        <v>46052</v>
      </c>
      <c r="B1348" t="s">
        <v>52</v>
      </c>
      <c r="C1348" t="s">
        <v>55</v>
      </c>
      <c r="E1348">
        <v>128086</v>
      </c>
      <c r="F1348">
        <v>1848</v>
      </c>
      <c r="G1348">
        <v>502.88</v>
      </c>
      <c r="I1348">
        <v>111</v>
      </c>
      <c r="J1348" t="s">
        <v>40</v>
      </c>
      <c r="K1348" t="s">
        <v>54</v>
      </c>
      <c r="L1348" t="s">
        <v>54</v>
      </c>
      <c r="M1348" t="s">
        <v>54</v>
      </c>
    </row>
    <row r="1349" spans="1:13" x14ac:dyDescent="0.2">
      <c r="A1349" s="1">
        <v>46052</v>
      </c>
      <c r="B1349" t="s">
        <v>56</v>
      </c>
      <c r="C1349" t="s">
        <v>57</v>
      </c>
      <c r="E1349">
        <v>21653</v>
      </c>
      <c r="F1349">
        <v>1301</v>
      </c>
      <c r="G1349">
        <v>324.51</v>
      </c>
      <c r="I1349">
        <v>88</v>
      </c>
      <c r="J1349" t="s">
        <v>40</v>
      </c>
      <c r="K1349" t="s">
        <v>58</v>
      </c>
      <c r="L1349" t="s">
        <v>42</v>
      </c>
      <c r="M1349" t="s">
        <v>43</v>
      </c>
    </row>
    <row r="1350" spans="1:13" x14ac:dyDescent="0.2">
      <c r="A1350" s="1">
        <v>46052</v>
      </c>
      <c r="B1350" t="s">
        <v>56</v>
      </c>
      <c r="C1350" t="s">
        <v>57</v>
      </c>
      <c r="E1350">
        <v>17563</v>
      </c>
      <c r="F1350">
        <v>1163</v>
      </c>
      <c r="G1350">
        <v>274.73</v>
      </c>
      <c r="I1350">
        <v>91</v>
      </c>
      <c r="J1350" t="s">
        <v>40</v>
      </c>
      <c r="K1350" t="s">
        <v>59</v>
      </c>
      <c r="L1350" t="s">
        <v>38</v>
      </c>
      <c r="M1350" t="s">
        <v>43</v>
      </c>
    </row>
    <row r="1351" spans="1:13" x14ac:dyDescent="0.2">
      <c r="A1351" s="1">
        <v>46052</v>
      </c>
      <c r="B1351" t="s">
        <v>60</v>
      </c>
      <c r="C1351" t="s">
        <v>61</v>
      </c>
      <c r="E1351">
        <v>37359</v>
      </c>
      <c r="F1351">
        <v>2397</v>
      </c>
      <c r="G1351">
        <v>645.72</v>
      </c>
      <c r="I1351">
        <v>183</v>
      </c>
      <c r="J1351" t="s">
        <v>40</v>
      </c>
      <c r="K1351" t="s">
        <v>62</v>
      </c>
      <c r="L1351" t="s">
        <v>42</v>
      </c>
      <c r="M1351" t="s">
        <v>47</v>
      </c>
    </row>
    <row r="1352" spans="1:13" x14ac:dyDescent="0.2">
      <c r="A1352" s="1">
        <v>46053</v>
      </c>
      <c r="B1352" t="s">
        <v>35</v>
      </c>
      <c r="C1352" t="s">
        <v>36</v>
      </c>
      <c r="E1352">
        <v>52753</v>
      </c>
      <c r="F1352">
        <v>3555</v>
      </c>
      <c r="G1352">
        <v>825.73</v>
      </c>
      <c r="I1352">
        <v>199</v>
      </c>
      <c r="J1352" t="s">
        <v>40</v>
      </c>
      <c r="K1352" t="s">
        <v>37</v>
      </c>
      <c r="L1352" t="s">
        <v>38</v>
      </c>
      <c r="M1352" t="s">
        <v>39</v>
      </c>
    </row>
    <row r="1353" spans="1:13" x14ac:dyDescent="0.2">
      <c r="A1353" s="1">
        <v>46053</v>
      </c>
      <c r="B1353" t="s">
        <v>35</v>
      </c>
      <c r="C1353" t="s">
        <v>36</v>
      </c>
      <c r="E1353">
        <v>27333</v>
      </c>
      <c r="F1353">
        <v>1346</v>
      </c>
      <c r="G1353">
        <v>249.9</v>
      </c>
      <c r="I1353">
        <v>88</v>
      </c>
      <c r="J1353" t="s">
        <v>40</v>
      </c>
      <c r="K1353" t="s">
        <v>41</v>
      </c>
      <c r="L1353" t="s">
        <v>42</v>
      </c>
      <c r="M1353" t="s">
        <v>43</v>
      </c>
    </row>
    <row r="1354" spans="1:13" x14ac:dyDescent="0.2">
      <c r="A1354" s="1">
        <v>46053</v>
      </c>
      <c r="B1354" t="s">
        <v>44</v>
      </c>
      <c r="C1354" t="s">
        <v>45</v>
      </c>
      <c r="E1354">
        <v>28765</v>
      </c>
      <c r="F1354">
        <v>2059</v>
      </c>
      <c r="G1354">
        <v>511.33</v>
      </c>
      <c r="I1354">
        <v>125</v>
      </c>
      <c r="J1354" t="s">
        <v>40</v>
      </c>
      <c r="K1354" t="s">
        <v>46</v>
      </c>
      <c r="L1354" t="s">
        <v>42</v>
      </c>
      <c r="M1354" t="s">
        <v>47</v>
      </c>
    </row>
    <row r="1355" spans="1:13" x14ac:dyDescent="0.2">
      <c r="A1355" s="1">
        <v>46053</v>
      </c>
      <c r="B1355" t="s">
        <v>44</v>
      </c>
      <c r="C1355" t="s">
        <v>48</v>
      </c>
      <c r="E1355">
        <v>19691</v>
      </c>
      <c r="F1355">
        <v>1271</v>
      </c>
      <c r="G1355">
        <v>266.29000000000002</v>
      </c>
      <c r="I1355">
        <v>108</v>
      </c>
      <c r="J1355" t="s">
        <v>40</v>
      </c>
      <c r="K1355" t="s">
        <v>49</v>
      </c>
      <c r="L1355" t="s">
        <v>50</v>
      </c>
      <c r="M1355" t="s">
        <v>51</v>
      </c>
    </row>
    <row r="1356" spans="1:13" x14ac:dyDescent="0.2">
      <c r="A1356" s="1">
        <v>46053</v>
      </c>
      <c r="B1356" t="s">
        <v>52</v>
      </c>
      <c r="C1356" t="s">
        <v>53</v>
      </c>
      <c r="E1356">
        <v>131927</v>
      </c>
      <c r="F1356">
        <v>1687</v>
      </c>
      <c r="G1356">
        <v>380.01</v>
      </c>
      <c r="I1356">
        <v>134</v>
      </c>
      <c r="J1356" t="s">
        <v>40</v>
      </c>
      <c r="K1356" t="s">
        <v>54</v>
      </c>
      <c r="L1356" t="s">
        <v>54</v>
      </c>
      <c r="M1356" t="s">
        <v>54</v>
      </c>
    </row>
    <row r="1357" spans="1:13" x14ac:dyDescent="0.2">
      <c r="A1357" s="1">
        <v>46053</v>
      </c>
      <c r="B1357" t="s">
        <v>52</v>
      </c>
      <c r="C1357" t="s">
        <v>55</v>
      </c>
      <c r="E1357">
        <v>229105</v>
      </c>
      <c r="F1357">
        <v>3510</v>
      </c>
      <c r="G1357">
        <v>892.39</v>
      </c>
      <c r="I1357">
        <v>271</v>
      </c>
      <c r="J1357" t="s">
        <v>40</v>
      </c>
      <c r="K1357" t="s">
        <v>54</v>
      </c>
      <c r="L1357" t="s">
        <v>54</v>
      </c>
      <c r="M1357" t="s">
        <v>54</v>
      </c>
    </row>
    <row r="1358" spans="1:13" x14ac:dyDescent="0.2">
      <c r="A1358" s="1">
        <v>46053</v>
      </c>
      <c r="B1358" t="s">
        <v>56</v>
      </c>
      <c r="C1358" t="s">
        <v>57</v>
      </c>
      <c r="E1358">
        <v>35799</v>
      </c>
      <c r="F1358">
        <v>2157</v>
      </c>
      <c r="G1358">
        <v>560.14</v>
      </c>
      <c r="I1358">
        <v>178</v>
      </c>
      <c r="J1358" t="s">
        <v>40</v>
      </c>
      <c r="K1358" t="s">
        <v>58</v>
      </c>
      <c r="L1358" t="s">
        <v>42</v>
      </c>
      <c r="M1358" t="s">
        <v>43</v>
      </c>
    </row>
    <row r="1359" spans="1:13" x14ac:dyDescent="0.2">
      <c r="A1359" s="1">
        <v>46053</v>
      </c>
      <c r="B1359" t="s">
        <v>56</v>
      </c>
      <c r="C1359" t="s">
        <v>57</v>
      </c>
      <c r="E1359">
        <v>18309</v>
      </c>
      <c r="F1359">
        <v>1285</v>
      </c>
      <c r="G1359">
        <v>281.10000000000002</v>
      </c>
      <c r="I1359">
        <v>119</v>
      </c>
      <c r="J1359" t="s">
        <v>40</v>
      </c>
      <c r="K1359" t="s">
        <v>59</v>
      </c>
      <c r="L1359" t="s">
        <v>38</v>
      </c>
      <c r="M1359" t="s">
        <v>43</v>
      </c>
    </row>
    <row r="1360" spans="1:13" x14ac:dyDescent="0.2">
      <c r="A1360" s="1">
        <v>46053</v>
      </c>
      <c r="B1360" t="s">
        <v>60</v>
      </c>
      <c r="C1360" t="s">
        <v>61</v>
      </c>
      <c r="E1360">
        <v>42686</v>
      </c>
      <c r="F1360">
        <v>3038</v>
      </c>
      <c r="G1360">
        <v>563.19000000000005</v>
      </c>
      <c r="I1360">
        <v>257</v>
      </c>
      <c r="J1360" t="s">
        <v>40</v>
      </c>
      <c r="K1360" t="s">
        <v>62</v>
      </c>
      <c r="L1360" t="s">
        <v>42</v>
      </c>
      <c r="M1360" t="s">
        <v>47</v>
      </c>
    </row>
    <row r="1361" spans="1:13" x14ac:dyDescent="0.2">
      <c r="A1361" s="1">
        <v>46054</v>
      </c>
      <c r="B1361" t="s">
        <v>35</v>
      </c>
      <c r="C1361" t="s">
        <v>36</v>
      </c>
      <c r="E1361">
        <v>32632</v>
      </c>
      <c r="F1361">
        <v>2052</v>
      </c>
      <c r="G1361">
        <v>529.61</v>
      </c>
      <c r="I1361">
        <v>184</v>
      </c>
      <c r="J1361" t="s">
        <v>40</v>
      </c>
      <c r="K1361" t="s">
        <v>37</v>
      </c>
      <c r="L1361" t="s">
        <v>38</v>
      </c>
      <c r="M1361" t="s">
        <v>39</v>
      </c>
    </row>
    <row r="1362" spans="1:13" x14ac:dyDescent="0.2">
      <c r="A1362" s="1">
        <v>46054</v>
      </c>
      <c r="B1362" t="s">
        <v>35</v>
      </c>
      <c r="C1362" t="s">
        <v>36</v>
      </c>
      <c r="E1362">
        <v>34693</v>
      </c>
      <c r="F1362">
        <v>2424</v>
      </c>
      <c r="G1362">
        <v>607.12</v>
      </c>
      <c r="I1362">
        <v>196</v>
      </c>
      <c r="J1362" t="s">
        <v>40</v>
      </c>
      <c r="K1362" t="s">
        <v>41</v>
      </c>
      <c r="L1362" t="s">
        <v>42</v>
      </c>
      <c r="M1362" t="s">
        <v>43</v>
      </c>
    </row>
    <row r="1363" spans="1:13" x14ac:dyDescent="0.2">
      <c r="A1363" s="1">
        <v>46054</v>
      </c>
      <c r="B1363" t="s">
        <v>44</v>
      </c>
      <c r="C1363" t="s">
        <v>45</v>
      </c>
      <c r="E1363">
        <v>32024</v>
      </c>
      <c r="F1363">
        <v>2133</v>
      </c>
      <c r="G1363">
        <v>589.62</v>
      </c>
      <c r="I1363">
        <v>142</v>
      </c>
      <c r="J1363" t="s">
        <v>40</v>
      </c>
      <c r="K1363" t="s">
        <v>46</v>
      </c>
      <c r="L1363" t="s">
        <v>42</v>
      </c>
      <c r="M1363" t="s">
        <v>47</v>
      </c>
    </row>
    <row r="1364" spans="1:13" x14ac:dyDescent="0.2">
      <c r="A1364" s="1">
        <v>46054</v>
      </c>
      <c r="B1364" t="s">
        <v>44</v>
      </c>
      <c r="C1364" t="s">
        <v>48</v>
      </c>
      <c r="E1364">
        <v>30277</v>
      </c>
      <c r="F1364">
        <v>2167</v>
      </c>
      <c r="G1364">
        <v>406.2</v>
      </c>
      <c r="I1364">
        <v>202</v>
      </c>
      <c r="J1364" t="s">
        <v>40</v>
      </c>
      <c r="K1364" t="s">
        <v>49</v>
      </c>
      <c r="L1364" t="s">
        <v>50</v>
      </c>
      <c r="M1364" t="s">
        <v>51</v>
      </c>
    </row>
    <row r="1365" spans="1:13" x14ac:dyDescent="0.2">
      <c r="A1365" s="1">
        <v>46054</v>
      </c>
      <c r="B1365" t="s">
        <v>52</v>
      </c>
      <c r="C1365" t="s">
        <v>53</v>
      </c>
      <c r="E1365">
        <v>220290</v>
      </c>
      <c r="F1365">
        <v>2554</v>
      </c>
      <c r="G1365">
        <v>470.1</v>
      </c>
      <c r="I1365">
        <v>168</v>
      </c>
      <c r="J1365" t="s">
        <v>40</v>
      </c>
      <c r="K1365" t="s">
        <v>54</v>
      </c>
      <c r="L1365" t="s">
        <v>54</v>
      </c>
      <c r="M1365" t="s">
        <v>54</v>
      </c>
    </row>
    <row r="1366" spans="1:13" x14ac:dyDescent="0.2">
      <c r="A1366" s="1">
        <v>46054</v>
      </c>
      <c r="B1366" t="s">
        <v>52</v>
      </c>
      <c r="C1366" t="s">
        <v>55</v>
      </c>
      <c r="E1366">
        <v>174487</v>
      </c>
      <c r="F1366">
        <v>2032</v>
      </c>
      <c r="G1366">
        <v>484.43</v>
      </c>
      <c r="I1366">
        <v>132</v>
      </c>
      <c r="J1366" t="s">
        <v>40</v>
      </c>
      <c r="K1366" t="s">
        <v>54</v>
      </c>
      <c r="L1366" t="s">
        <v>54</v>
      </c>
      <c r="M1366" t="s">
        <v>54</v>
      </c>
    </row>
    <row r="1367" spans="1:13" x14ac:dyDescent="0.2">
      <c r="A1367" s="1">
        <v>46054</v>
      </c>
      <c r="B1367" t="s">
        <v>56</v>
      </c>
      <c r="C1367" t="s">
        <v>57</v>
      </c>
      <c r="E1367">
        <v>44328</v>
      </c>
      <c r="F1367">
        <v>2623</v>
      </c>
      <c r="G1367">
        <v>718.04</v>
      </c>
      <c r="I1367">
        <v>148</v>
      </c>
      <c r="J1367" t="s">
        <v>40</v>
      </c>
      <c r="K1367" t="s">
        <v>58</v>
      </c>
      <c r="L1367" t="s">
        <v>42</v>
      </c>
      <c r="M1367" t="s">
        <v>43</v>
      </c>
    </row>
    <row r="1368" spans="1:13" x14ac:dyDescent="0.2">
      <c r="A1368" s="1">
        <v>46054</v>
      </c>
      <c r="B1368" t="s">
        <v>56</v>
      </c>
      <c r="C1368" t="s">
        <v>57</v>
      </c>
      <c r="E1368">
        <v>43600</v>
      </c>
      <c r="F1368">
        <v>2717</v>
      </c>
      <c r="G1368">
        <v>699.26</v>
      </c>
      <c r="I1368">
        <v>217</v>
      </c>
      <c r="J1368" t="s">
        <v>40</v>
      </c>
      <c r="K1368" t="s">
        <v>59</v>
      </c>
      <c r="L1368" t="s">
        <v>38</v>
      </c>
      <c r="M1368" t="s">
        <v>43</v>
      </c>
    </row>
    <row r="1369" spans="1:13" x14ac:dyDescent="0.2">
      <c r="A1369" s="1">
        <v>46054</v>
      </c>
      <c r="B1369" t="s">
        <v>63</v>
      </c>
      <c r="C1369" t="s">
        <v>64</v>
      </c>
      <c r="E1369">
        <v>41630</v>
      </c>
      <c r="F1369">
        <v>2488</v>
      </c>
      <c r="G1369">
        <v>590.32000000000005</v>
      </c>
      <c r="I1369">
        <v>172</v>
      </c>
      <c r="J1369" t="s">
        <v>40</v>
      </c>
      <c r="K1369" t="s">
        <v>65</v>
      </c>
      <c r="L1369" t="s">
        <v>38</v>
      </c>
      <c r="M1369" t="s">
        <v>43</v>
      </c>
    </row>
    <row r="1370" spans="1:13" x14ac:dyDescent="0.2">
      <c r="A1370" s="1">
        <v>46054</v>
      </c>
      <c r="B1370" t="s">
        <v>63</v>
      </c>
      <c r="C1370" t="s">
        <v>64</v>
      </c>
      <c r="E1370">
        <v>43163</v>
      </c>
      <c r="F1370">
        <v>2616</v>
      </c>
      <c r="G1370">
        <v>721.23</v>
      </c>
      <c r="I1370">
        <v>198</v>
      </c>
      <c r="J1370" t="s">
        <v>40</v>
      </c>
      <c r="K1370" t="s">
        <v>66</v>
      </c>
      <c r="L1370" t="s">
        <v>42</v>
      </c>
      <c r="M1370" t="s">
        <v>47</v>
      </c>
    </row>
    <row r="1371" spans="1:13" x14ac:dyDescent="0.2">
      <c r="A1371" s="1">
        <v>46055</v>
      </c>
      <c r="B1371" t="s">
        <v>35</v>
      </c>
      <c r="C1371" t="s">
        <v>36</v>
      </c>
      <c r="E1371">
        <v>43104</v>
      </c>
      <c r="F1371">
        <v>2233</v>
      </c>
      <c r="G1371">
        <v>523.21</v>
      </c>
      <c r="I1371">
        <v>158</v>
      </c>
      <c r="J1371" t="s">
        <v>40</v>
      </c>
      <c r="K1371" t="s">
        <v>37</v>
      </c>
      <c r="L1371" t="s">
        <v>38</v>
      </c>
      <c r="M1371" t="s">
        <v>39</v>
      </c>
    </row>
    <row r="1372" spans="1:13" x14ac:dyDescent="0.2">
      <c r="A1372" s="1">
        <v>46055</v>
      </c>
      <c r="B1372" t="s">
        <v>35</v>
      </c>
      <c r="C1372" t="s">
        <v>36</v>
      </c>
      <c r="E1372">
        <v>32898</v>
      </c>
      <c r="F1372">
        <v>1753</v>
      </c>
      <c r="G1372">
        <v>352.94</v>
      </c>
      <c r="I1372">
        <v>119</v>
      </c>
      <c r="J1372" t="s">
        <v>40</v>
      </c>
      <c r="K1372" t="s">
        <v>41</v>
      </c>
      <c r="L1372" t="s">
        <v>42</v>
      </c>
      <c r="M1372" t="s">
        <v>43</v>
      </c>
    </row>
    <row r="1373" spans="1:13" x14ac:dyDescent="0.2">
      <c r="A1373" s="1">
        <v>46055</v>
      </c>
      <c r="B1373" t="s">
        <v>44</v>
      </c>
      <c r="C1373" t="s">
        <v>45</v>
      </c>
      <c r="E1373">
        <v>33645</v>
      </c>
      <c r="F1373">
        <v>1852</v>
      </c>
      <c r="G1373">
        <v>509.36</v>
      </c>
      <c r="I1373">
        <v>147</v>
      </c>
      <c r="J1373" t="s">
        <v>40</v>
      </c>
      <c r="K1373" t="s">
        <v>46</v>
      </c>
      <c r="L1373" t="s">
        <v>42</v>
      </c>
      <c r="M1373" t="s">
        <v>47</v>
      </c>
    </row>
    <row r="1374" spans="1:13" x14ac:dyDescent="0.2">
      <c r="A1374" s="1">
        <v>46055</v>
      </c>
      <c r="B1374" t="s">
        <v>44</v>
      </c>
      <c r="C1374" t="s">
        <v>48</v>
      </c>
      <c r="E1374">
        <v>41120</v>
      </c>
      <c r="F1374">
        <v>2957</v>
      </c>
      <c r="G1374">
        <v>775.82</v>
      </c>
      <c r="I1374">
        <v>278</v>
      </c>
      <c r="J1374" t="s">
        <v>40</v>
      </c>
      <c r="K1374" t="s">
        <v>49</v>
      </c>
      <c r="L1374" t="s">
        <v>50</v>
      </c>
      <c r="M1374" t="s">
        <v>51</v>
      </c>
    </row>
    <row r="1375" spans="1:13" x14ac:dyDescent="0.2">
      <c r="A1375" s="1">
        <v>46055</v>
      </c>
      <c r="B1375" t="s">
        <v>52</v>
      </c>
      <c r="C1375" t="s">
        <v>53</v>
      </c>
      <c r="E1375">
        <v>91153</v>
      </c>
      <c r="F1375">
        <v>1054</v>
      </c>
      <c r="G1375">
        <v>226.19</v>
      </c>
      <c r="I1375">
        <v>68</v>
      </c>
      <c r="J1375" t="s">
        <v>40</v>
      </c>
      <c r="K1375" t="s">
        <v>54</v>
      </c>
      <c r="L1375" t="s">
        <v>54</v>
      </c>
      <c r="M1375" t="s">
        <v>54</v>
      </c>
    </row>
    <row r="1376" spans="1:13" x14ac:dyDescent="0.2">
      <c r="A1376" s="1">
        <v>46055</v>
      </c>
      <c r="B1376" t="s">
        <v>52</v>
      </c>
      <c r="C1376" t="s">
        <v>55</v>
      </c>
      <c r="E1376">
        <v>121958</v>
      </c>
      <c r="F1376">
        <v>1926</v>
      </c>
      <c r="G1376">
        <v>478.14</v>
      </c>
      <c r="I1376">
        <v>130</v>
      </c>
      <c r="J1376" t="s">
        <v>40</v>
      </c>
      <c r="K1376" t="s">
        <v>54</v>
      </c>
      <c r="L1376" t="s">
        <v>54</v>
      </c>
      <c r="M1376" t="s">
        <v>54</v>
      </c>
    </row>
    <row r="1377" spans="1:13" x14ac:dyDescent="0.2">
      <c r="A1377" s="1">
        <v>46055</v>
      </c>
      <c r="B1377" t="s">
        <v>56</v>
      </c>
      <c r="C1377" t="s">
        <v>57</v>
      </c>
      <c r="E1377">
        <v>17430</v>
      </c>
      <c r="F1377">
        <v>998</v>
      </c>
      <c r="G1377">
        <v>233.56</v>
      </c>
      <c r="I1377">
        <v>66</v>
      </c>
      <c r="J1377" t="s">
        <v>40</v>
      </c>
      <c r="K1377" t="s">
        <v>58</v>
      </c>
      <c r="L1377" t="s">
        <v>42</v>
      </c>
      <c r="M1377" t="s">
        <v>43</v>
      </c>
    </row>
    <row r="1378" spans="1:13" x14ac:dyDescent="0.2">
      <c r="A1378" s="1">
        <v>46055</v>
      </c>
      <c r="B1378" t="s">
        <v>56</v>
      </c>
      <c r="C1378" t="s">
        <v>57</v>
      </c>
      <c r="E1378">
        <v>43873</v>
      </c>
      <c r="F1378">
        <v>2971</v>
      </c>
      <c r="G1378">
        <v>646.17999999999995</v>
      </c>
      <c r="I1378">
        <v>258</v>
      </c>
      <c r="J1378" t="s">
        <v>40</v>
      </c>
      <c r="K1378" t="s">
        <v>59</v>
      </c>
      <c r="L1378" t="s">
        <v>38</v>
      </c>
      <c r="M1378" t="s">
        <v>43</v>
      </c>
    </row>
    <row r="1379" spans="1:13" x14ac:dyDescent="0.2">
      <c r="A1379" s="1">
        <v>46055</v>
      </c>
      <c r="B1379" t="s">
        <v>63</v>
      </c>
      <c r="C1379" t="s">
        <v>64</v>
      </c>
      <c r="E1379">
        <v>39200</v>
      </c>
      <c r="F1379">
        <v>2339</v>
      </c>
      <c r="G1379">
        <v>490.36</v>
      </c>
      <c r="I1379">
        <v>189</v>
      </c>
      <c r="J1379" t="s">
        <v>40</v>
      </c>
      <c r="K1379" t="s">
        <v>65</v>
      </c>
      <c r="L1379" t="s">
        <v>38</v>
      </c>
      <c r="M1379" t="s">
        <v>43</v>
      </c>
    </row>
    <row r="1380" spans="1:13" x14ac:dyDescent="0.2">
      <c r="A1380" s="1">
        <v>46055</v>
      </c>
      <c r="B1380" t="s">
        <v>63</v>
      </c>
      <c r="C1380" t="s">
        <v>64</v>
      </c>
      <c r="E1380">
        <v>30992</v>
      </c>
      <c r="F1380">
        <v>1869</v>
      </c>
      <c r="G1380">
        <v>513.64</v>
      </c>
      <c r="I1380">
        <v>115</v>
      </c>
      <c r="J1380" t="s">
        <v>40</v>
      </c>
      <c r="K1380" t="s">
        <v>66</v>
      </c>
      <c r="L1380" t="s">
        <v>42</v>
      </c>
      <c r="M1380" t="s">
        <v>47</v>
      </c>
    </row>
    <row r="1381" spans="1:13" x14ac:dyDescent="0.2">
      <c r="A1381" s="1">
        <v>46056</v>
      </c>
      <c r="B1381" t="s">
        <v>35</v>
      </c>
      <c r="C1381" t="s">
        <v>36</v>
      </c>
      <c r="E1381">
        <v>44944</v>
      </c>
      <c r="F1381">
        <v>2165</v>
      </c>
      <c r="G1381">
        <v>403.87</v>
      </c>
      <c r="I1381">
        <v>177</v>
      </c>
      <c r="J1381" t="s">
        <v>40</v>
      </c>
      <c r="K1381" t="s">
        <v>37</v>
      </c>
      <c r="L1381" t="s">
        <v>38</v>
      </c>
      <c r="M1381" t="s">
        <v>39</v>
      </c>
    </row>
    <row r="1382" spans="1:13" x14ac:dyDescent="0.2">
      <c r="A1382" s="1">
        <v>46056</v>
      </c>
      <c r="B1382" t="s">
        <v>35</v>
      </c>
      <c r="C1382" t="s">
        <v>36</v>
      </c>
      <c r="E1382">
        <v>23970</v>
      </c>
      <c r="F1382">
        <v>1648</v>
      </c>
      <c r="G1382">
        <v>366.55</v>
      </c>
      <c r="I1382">
        <v>97</v>
      </c>
      <c r="J1382" t="s">
        <v>40</v>
      </c>
      <c r="K1382" t="s">
        <v>41</v>
      </c>
      <c r="L1382" t="s">
        <v>42</v>
      </c>
      <c r="M1382" t="s">
        <v>43</v>
      </c>
    </row>
    <row r="1383" spans="1:13" x14ac:dyDescent="0.2">
      <c r="A1383" s="1">
        <v>46056</v>
      </c>
      <c r="B1383" t="s">
        <v>44</v>
      </c>
      <c r="C1383" t="s">
        <v>45</v>
      </c>
      <c r="E1383">
        <v>38523</v>
      </c>
      <c r="F1383">
        <v>2446</v>
      </c>
      <c r="G1383">
        <v>670.14</v>
      </c>
      <c r="I1383">
        <v>207</v>
      </c>
      <c r="J1383" t="s">
        <v>40</v>
      </c>
      <c r="K1383" t="s">
        <v>46</v>
      </c>
      <c r="L1383" t="s">
        <v>42</v>
      </c>
      <c r="M1383" t="s">
        <v>47</v>
      </c>
    </row>
    <row r="1384" spans="1:13" x14ac:dyDescent="0.2">
      <c r="A1384" s="1">
        <v>46056</v>
      </c>
      <c r="B1384" t="s">
        <v>44</v>
      </c>
      <c r="C1384" t="s">
        <v>48</v>
      </c>
      <c r="E1384">
        <v>20076</v>
      </c>
      <c r="F1384">
        <v>975</v>
      </c>
      <c r="G1384">
        <v>245.39</v>
      </c>
      <c r="I1384">
        <v>55</v>
      </c>
      <c r="J1384" t="s">
        <v>40</v>
      </c>
      <c r="K1384" t="s">
        <v>49</v>
      </c>
      <c r="L1384" t="s">
        <v>50</v>
      </c>
      <c r="M1384" t="s">
        <v>51</v>
      </c>
    </row>
    <row r="1385" spans="1:13" x14ac:dyDescent="0.2">
      <c r="A1385" s="1">
        <v>46056</v>
      </c>
      <c r="B1385" t="s">
        <v>52</v>
      </c>
      <c r="C1385" t="s">
        <v>53</v>
      </c>
      <c r="E1385">
        <v>99600</v>
      </c>
      <c r="F1385">
        <v>1122</v>
      </c>
      <c r="G1385">
        <v>291.07</v>
      </c>
      <c r="I1385">
        <v>86</v>
      </c>
      <c r="J1385" t="s">
        <v>40</v>
      </c>
      <c r="K1385" t="s">
        <v>54</v>
      </c>
      <c r="L1385" t="s">
        <v>54</v>
      </c>
      <c r="M1385" t="s">
        <v>54</v>
      </c>
    </row>
    <row r="1386" spans="1:13" x14ac:dyDescent="0.2">
      <c r="A1386" s="1">
        <v>46056</v>
      </c>
      <c r="B1386" t="s">
        <v>52</v>
      </c>
      <c r="C1386" t="s">
        <v>55</v>
      </c>
      <c r="E1386">
        <v>165361</v>
      </c>
      <c r="F1386">
        <v>2498</v>
      </c>
      <c r="G1386">
        <v>677.2</v>
      </c>
      <c r="I1386">
        <v>178</v>
      </c>
      <c r="J1386" t="s">
        <v>40</v>
      </c>
      <c r="K1386" t="s">
        <v>54</v>
      </c>
      <c r="L1386" t="s">
        <v>54</v>
      </c>
      <c r="M1386" t="s">
        <v>54</v>
      </c>
    </row>
    <row r="1387" spans="1:13" x14ac:dyDescent="0.2">
      <c r="A1387" s="1">
        <v>46056</v>
      </c>
      <c r="B1387" t="s">
        <v>56</v>
      </c>
      <c r="C1387" t="s">
        <v>57</v>
      </c>
      <c r="E1387">
        <v>39564</v>
      </c>
      <c r="F1387">
        <v>2497</v>
      </c>
      <c r="G1387">
        <v>557.59</v>
      </c>
      <c r="I1387">
        <v>139</v>
      </c>
      <c r="J1387" t="s">
        <v>40</v>
      </c>
      <c r="K1387" t="s">
        <v>58</v>
      </c>
      <c r="L1387" t="s">
        <v>42</v>
      </c>
      <c r="M1387" t="s">
        <v>43</v>
      </c>
    </row>
    <row r="1388" spans="1:13" x14ac:dyDescent="0.2">
      <c r="A1388" s="1">
        <v>46056</v>
      </c>
      <c r="B1388" t="s">
        <v>56</v>
      </c>
      <c r="C1388" t="s">
        <v>57</v>
      </c>
      <c r="E1388">
        <v>17753</v>
      </c>
      <c r="F1388">
        <v>1080</v>
      </c>
      <c r="G1388">
        <v>263.67</v>
      </c>
      <c r="I1388">
        <v>86</v>
      </c>
      <c r="J1388" t="s">
        <v>40</v>
      </c>
      <c r="K1388" t="s">
        <v>59</v>
      </c>
      <c r="L1388" t="s">
        <v>38</v>
      </c>
      <c r="M1388" t="s">
        <v>43</v>
      </c>
    </row>
    <row r="1389" spans="1:13" x14ac:dyDescent="0.2">
      <c r="A1389" s="1">
        <v>46056</v>
      </c>
      <c r="B1389" t="s">
        <v>63</v>
      </c>
      <c r="C1389" t="s">
        <v>64</v>
      </c>
      <c r="E1389">
        <v>12982</v>
      </c>
      <c r="F1389">
        <v>841</v>
      </c>
      <c r="G1389">
        <v>157.47999999999999</v>
      </c>
      <c r="I1389">
        <v>77</v>
      </c>
      <c r="J1389" t="s">
        <v>40</v>
      </c>
      <c r="K1389" t="s">
        <v>65</v>
      </c>
      <c r="L1389" t="s">
        <v>38</v>
      </c>
      <c r="M1389" t="s">
        <v>43</v>
      </c>
    </row>
    <row r="1390" spans="1:13" x14ac:dyDescent="0.2">
      <c r="A1390" s="1">
        <v>46056</v>
      </c>
      <c r="B1390" t="s">
        <v>63</v>
      </c>
      <c r="C1390" t="s">
        <v>64</v>
      </c>
      <c r="E1390">
        <v>16955</v>
      </c>
      <c r="F1390">
        <v>931</v>
      </c>
      <c r="G1390">
        <v>231.44</v>
      </c>
      <c r="I1390">
        <v>73</v>
      </c>
      <c r="J1390" t="s">
        <v>40</v>
      </c>
      <c r="K1390" t="s">
        <v>66</v>
      </c>
      <c r="L1390" t="s">
        <v>42</v>
      </c>
      <c r="M1390" t="s">
        <v>47</v>
      </c>
    </row>
    <row r="1391" spans="1:13" x14ac:dyDescent="0.2">
      <c r="A1391" s="1">
        <v>46057</v>
      </c>
      <c r="B1391" t="s">
        <v>35</v>
      </c>
      <c r="C1391" t="s">
        <v>36</v>
      </c>
      <c r="E1391">
        <v>28449</v>
      </c>
      <c r="F1391">
        <v>1888</v>
      </c>
      <c r="G1391">
        <v>422.47</v>
      </c>
      <c r="I1391">
        <v>133</v>
      </c>
      <c r="J1391" t="s">
        <v>40</v>
      </c>
      <c r="K1391" t="s">
        <v>37</v>
      </c>
      <c r="L1391" t="s">
        <v>38</v>
      </c>
      <c r="M1391" t="s">
        <v>39</v>
      </c>
    </row>
    <row r="1392" spans="1:13" x14ac:dyDescent="0.2">
      <c r="A1392" s="1">
        <v>46057</v>
      </c>
      <c r="B1392" t="s">
        <v>35</v>
      </c>
      <c r="C1392" t="s">
        <v>36</v>
      </c>
      <c r="E1392">
        <v>12019</v>
      </c>
      <c r="F1392">
        <v>713</v>
      </c>
      <c r="G1392">
        <v>166.38</v>
      </c>
      <c r="I1392">
        <v>43</v>
      </c>
      <c r="J1392" t="s">
        <v>40</v>
      </c>
      <c r="K1392" t="s">
        <v>41</v>
      </c>
      <c r="L1392" t="s">
        <v>42</v>
      </c>
      <c r="M1392" t="s">
        <v>43</v>
      </c>
    </row>
    <row r="1393" spans="1:13" x14ac:dyDescent="0.2">
      <c r="A1393" s="1">
        <v>46057</v>
      </c>
      <c r="B1393" t="s">
        <v>44</v>
      </c>
      <c r="C1393" t="s">
        <v>45</v>
      </c>
      <c r="E1393">
        <v>35624</v>
      </c>
      <c r="F1393">
        <v>2391</v>
      </c>
      <c r="G1393">
        <v>633.49</v>
      </c>
      <c r="I1393">
        <v>159</v>
      </c>
      <c r="J1393" t="s">
        <v>40</v>
      </c>
      <c r="K1393" t="s">
        <v>46</v>
      </c>
      <c r="L1393" t="s">
        <v>42</v>
      </c>
      <c r="M1393" t="s">
        <v>47</v>
      </c>
    </row>
    <row r="1394" spans="1:13" x14ac:dyDescent="0.2">
      <c r="A1394" s="1">
        <v>46057</v>
      </c>
      <c r="B1394" t="s">
        <v>44</v>
      </c>
      <c r="C1394" t="s">
        <v>48</v>
      </c>
      <c r="E1394">
        <v>19442</v>
      </c>
      <c r="F1394">
        <v>1072</v>
      </c>
      <c r="G1394">
        <v>288.04000000000002</v>
      </c>
      <c r="I1394">
        <v>100</v>
      </c>
      <c r="J1394" t="s">
        <v>40</v>
      </c>
      <c r="K1394" t="s">
        <v>49</v>
      </c>
      <c r="L1394" t="s">
        <v>50</v>
      </c>
      <c r="M1394" t="s">
        <v>51</v>
      </c>
    </row>
    <row r="1395" spans="1:13" x14ac:dyDescent="0.2">
      <c r="A1395" s="1">
        <v>46057</v>
      </c>
      <c r="B1395" t="s">
        <v>52</v>
      </c>
      <c r="C1395" t="s">
        <v>53</v>
      </c>
      <c r="E1395">
        <v>138906</v>
      </c>
      <c r="F1395">
        <v>2192</v>
      </c>
      <c r="G1395">
        <v>397</v>
      </c>
      <c r="I1395">
        <v>197</v>
      </c>
      <c r="J1395" t="s">
        <v>40</v>
      </c>
      <c r="K1395" t="s">
        <v>54</v>
      </c>
      <c r="L1395" t="s">
        <v>54</v>
      </c>
      <c r="M1395" t="s">
        <v>54</v>
      </c>
    </row>
    <row r="1396" spans="1:13" x14ac:dyDescent="0.2">
      <c r="A1396" s="1">
        <v>46057</v>
      </c>
      <c r="B1396" t="s">
        <v>52</v>
      </c>
      <c r="C1396" t="s">
        <v>55</v>
      </c>
      <c r="E1396">
        <v>108530</v>
      </c>
      <c r="F1396">
        <v>1260</v>
      </c>
      <c r="G1396">
        <v>227.43</v>
      </c>
      <c r="I1396">
        <v>99</v>
      </c>
      <c r="J1396" t="s">
        <v>40</v>
      </c>
      <c r="K1396" t="s">
        <v>54</v>
      </c>
      <c r="L1396" t="s">
        <v>54</v>
      </c>
      <c r="M1396" t="s">
        <v>54</v>
      </c>
    </row>
    <row r="1397" spans="1:13" x14ac:dyDescent="0.2">
      <c r="A1397" s="1">
        <v>46057</v>
      </c>
      <c r="B1397" t="s">
        <v>56</v>
      </c>
      <c r="C1397" t="s">
        <v>57</v>
      </c>
      <c r="E1397">
        <v>15578</v>
      </c>
      <c r="F1397">
        <v>861</v>
      </c>
      <c r="G1397">
        <v>219.41</v>
      </c>
      <c r="I1397">
        <v>78</v>
      </c>
      <c r="J1397" t="s">
        <v>40</v>
      </c>
      <c r="K1397" t="s">
        <v>58</v>
      </c>
      <c r="L1397" t="s">
        <v>42</v>
      </c>
      <c r="M1397" t="s">
        <v>43</v>
      </c>
    </row>
    <row r="1398" spans="1:13" x14ac:dyDescent="0.2">
      <c r="A1398" s="1">
        <v>46057</v>
      </c>
      <c r="B1398" t="s">
        <v>56</v>
      </c>
      <c r="C1398" t="s">
        <v>57</v>
      </c>
      <c r="E1398">
        <v>32534</v>
      </c>
      <c r="F1398">
        <v>1726</v>
      </c>
      <c r="G1398">
        <v>466.99</v>
      </c>
      <c r="I1398">
        <v>153</v>
      </c>
      <c r="J1398" t="s">
        <v>40</v>
      </c>
      <c r="K1398" t="s">
        <v>59</v>
      </c>
      <c r="L1398" t="s">
        <v>38</v>
      </c>
      <c r="M1398" t="s">
        <v>43</v>
      </c>
    </row>
    <row r="1399" spans="1:13" x14ac:dyDescent="0.2">
      <c r="A1399" s="1">
        <v>46057</v>
      </c>
      <c r="B1399" t="s">
        <v>63</v>
      </c>
      <c r="C1399" t="s">
        <v>64</v>
      </c>
      <c r="E1399">
        <v>19335</v>
      </c>
      <c r="F1399">
        <v>1002</v>
      </c>
      <c r="G1399">
        <v>202.48</v>
      </c>
      <c r="I1399">
        <v>88</v>
      </c>
      <c r="J1399" t="s">
        <v>40</v>
      </c>
      <c r="K1399" t="s">
        <v>65</v>
      </c>
      <c r="L1399" t="s">
        <v>38</v>
      </c>
      <c r="M1399" t="s">
        <v>43</v>
      </c>
    </row>
    <row r="1400" spans="1:13" x14ac:dyDescent="0.2">
      <c r="A1400" s="1">
        <v>46057</v>
      </c>
      <c r="B1400" t="s">
        <v>63</v>
      </c>
      <c r="C1400" t="s">
        <v>64</v>
      </c>
      <c r="E1400">
        <v>22735</v>
      </c>
      <c r="F1400">
        <v>1153</v>
      </c>
      <c r="G1400">
        <v>284.89999999999998</v>
      </c>
      <c r="I1400">
        <v>89</v>
      </c>
      <c r="J1400" t="s">
        <v>40</v>
      </c>
      <c r="K1400" t="s">
        <v>66</v>
      </c>
      <c r="L1400" t="s">
        <v>42</v>
      </c>
      <c r="M1400" t="s">
        <v>47</v>
      </c>
    </row>
    <row r="1401" spans="1:13" x14ac:dyDescent="0.2">
      <c r="A1401" s="1">
        <v>46058</v>
      </c>
      <c r="B1401" t="s">
        <v>35</v>
      </c>
      <c r="C1401" t="s">
        <v>36</v>
      </c>
      <c r="E1401">
        <v>13564</v>
      </c>
      <c r="F1401">
        <v>928</v>
      </c>
      <c r="G1401">
        <v>253.56</v>
      </c>
      <c r="I1401">
        <v>87</v>
      </c>
      <c r="J1401" t="s">
        <v>40</v>
      </c>
      <c r="K1401" t="s">
        <v>37</v>
      </c>
      <c r="L1401" t="s">
        <v>38</v>
      </c>
      <c r="M1401" t="s">
        <v>39</v>
      </c>
    </row>
    <row r="1402" spans="1:13" x14ac:dyDescent="0.2">
      <c r="A1402" s="1">
        <v>46058</v>
      </c>
      <c r="B1402" t="s">
        <v>35</v>
      </c>
      <c r="C1402" t="s">
        <v>36</v>
      </c>
      <c r="E1402">
        <v>40229</v>
      </c>
      <c r="F1402">
        <v>2553</v>
      </c>
      <c r="G1402">
        <v>478.21</v>
      </c>
      <c r="I1402">
        <v>209</v>
      </c>
      <c r="J1402" t="s">
        <v>40</v>
      </c>
      <c r="K1402" t="s">
        <v>41</v>
      </c>
      <c r="L1402" t="s">
        <v>42</v>
      </c>
      <c r="M1402" t="s">
        <v>43</v>
      </c>
    </row>
    <row r="1403" spans="1:13" x14ac:dyDescent="0.2">
      <c r="A1403" s="1">
        <v>46058</v>
      </c>
      <c r="B1403" t="s">
        <v>44</v>
      </c>
      <c r="C1403" t="s">
        <v>45</v>
      </c>
      <c r="E1403">
        <v>26429</v>
      </c>
      <c r="F1403">
        <v>1330</v>
      </c>
      <c r="G1403">
        <v>335.9</v>
      </c>
      <c r="I1403">
        <v>99</v>
      </c>
      <c r="J1403" t="s">
        <v>40</v>
      </c>
      <c r="K1403" t="s">
        <v>46</v>
      </c>
      <c r="L1403" t="s">
        <v>42</v>
      </c>
      <c r="M1403" t="s">
        <v>47</v>
      </c>
    </row>
    <row r="1404" spans="1:13" x14ac:dyDescent="0.2">
      <c r="A1404" s="1">
        <v>46058</v>
      </c>
      <c r="B1404" t="s">
        <v>44</v>
      </c>
      <c r="C1404" t="s">
        <v>48</v>
      </c>
      <c r="E1404">
        <v>31682</v>
      </c>
      <c r="F1404">
        <v>1792</v>
      </c>
      <c r="G1404">
        <v>442.86</v>
      </c>
      <c r="I1404">
        <v>115</v>
      </c>
      <c r="J1404" t="s">
        <v>40</v>
      </c>
      <c r="K1404" t="s">
        <v>49</v>
      </c>
      <c r="L1404" t="s">
        <v>50</v>
      </c>
      <c r="M1404" t="s">
        <v>51</v>
      </c>
    </row>
    <row r="1405" spans="1:13" x14ac:dyDescent="0.2">
      <c r="A1405" s="1">
        <v>46058</v>
      </c>
      <c r="B1405" t="s">
        <v>52</v>
      </c>
      <c r="C1405" t="s">
        <v>53</v>
      </c>
      <c r="E1405">
        <v>127373</v>
      </c>
      <c r="F1405">
        <v>1795</v>
      </c>
      <c r="G1405">
        <v>484.67</v>
      </c>
      <c r="I1405">
        <v>121</v>
      </c>
      <c r="J1405" t="s">
        <v>40</v>
      </c>
      <c r="K1405" t="s">
        <v>54</v>
      </c>
      <c r="L1405" t="s">
        <v>54</v>
      </c>
      <c r="M1405" t="s">
        <v>54</v>
      </c>
    </row>
    <row r="1406" spans="1:13" x14ac:dyDescent="0.2">
      <c r="A1406" s="1">
        <v>46058</v>
      </c>
      <c r="B1406" t="s">
        <v>52</v>
      </c>
      <c r="C1406" t="s">
        <v>55</v>
      </c>
      <c r="E1406">
        <v>149067</v>
      </c>
      <c r="F1406">
        <v>1884</v>
      </c>
      <c r="G1406">
        <v>463.36</v>
      </c>
      <c r="I1406">
        <v>155</v>
      </c>
      <c r="J1406" t="s">
        <v>40</v>
      </c>
      <c r="K1406" t="s">
        <v>54</v>
      </c>
      <c r="L1406" t="s">
        <v>54</v>
      </c>
      <c r="M1406" t="s">
        <v>54</v>
      </c>
    </row>
    <row r="1407" spans="1:13" x14ac:dyDescent="0.2">
      <c r="A1407" s="1">
        <v>46058</v>
      </c>
      <c r="B1407" t="s">
        <v>56</v>
      </c>
      <c r="C1407" t="s">
        <v>57</v>
      </c>
      <c r="E1407">
        <v>19987</v>
      </c>
      <c r="F1407">
        <v>1230</v>
      </c>
      <c r="G1407">
        <v>266.23</v>
      </c>
      <c r="I1407">
        <v>83</v>
      </c>
      <c r="J1407" t="s">
        <v>40</v>
      </c>
      <c r="K1407" t="s">
        <v>58</v>
      </c>
      <c r="L1407" t="s">
        <v>42</v>
      </c>
      <c r="M1407" t="s">
        <v>43</v>
      </c>
    </row>
    <row r="1408" spans="1:13" x14ac:dyDescent="0.2">
      <c r="A1408" s="1">
        <v>46058</v>
      </c>
      <c r="B1408" t="s">
        <v>56</v>
      </c>
      <c r="C1408" t="s">
        <v>57</v>
      </c>
      <c r="E1408">
        <v>38069</v>
      </c>
      <c r="F1408">
        <v>1981</v>
      </c>
      <c r="G1408">
        <v>418.63</v>
      </c>
      <c r="I1408">
        <v>171</v>
      </c>
      <c r="J1408" t="s">
        <v>40</v>
      </c>
      <c r="K1408" t="s">
        <v>59</v>
      </c>
      <c r="L1408" t="s">
        <v>38</v>
      </c>
      <c r="M1408" t="s">
        <v>43</v>
      </c>
    </row>
    <row r="1409" spans="1:13" x14ac:dyDescent="0.2">
      <c r="A1409" s="1">
        <v>46058</v>
      </c>
      <c r="B1409" t="s">
        <v>63</v>
      </c>
      <c r="C1409" t="s">
        <v>64</v>
      </c>
      <c r="E1409">
        <v>38581</v>
      </c>
      <c r="F1409">
        <v>2108</v>
      </c>
      <c r="G1409">
        <v>455.22</v>
      </c>
      <c r="I1409">
        <v>173</v>
      </c>
      <c r="J1409" t="s">
        <v>40</v>
      </c>
      <c r="K1409" t="s">
        <v>65</v>
      </c>
      <c r="L1409" t="s">
        <v>38</v>
      </c>
      <c r="M1409" t="s">
        <v>43</v>
      </c>
    </row>
    <row r="1410" spans="1:13" x14ac:dyDescent="0.2">
      <c r="A1410" s="1">
        <v>46058</v>
      </c>
      <c r="B1410" t="s">
        <v>63</v>
      </c>
      <c r="C1410" t="s">
        <v>64</v>
      </c>
      <c r="E1410">
        <v>31729</v>
      </c>
      <c r="F1410">
        <v>2191</v>
      </c>
      <c r="G1410">
        <v>495.79</v>
      </c>
      <c r="I1410">
        <v>151</v>
      </c>
      <c r="J1410" t="s">
        <v>40</v>
      </c>
      <c r="K1410" t="s">
        <v>66</v>
      </c>
      <c r="L1410" t="s">
        <v>42</v>
      </c>
      <c r="M1410" t="s">
        <v>47</v>
      </c>
    </row>
    <row r="1411" spans="1:13" x14ac:dyDescent="0.2">
      <c r="A1411" s="1">
        <v>46059</v>
      </c>
      <c r="B1411" t="s">
        <v>35</v>
      </c>
      <c r="C1411" t="s">
        <v>36</v>
      </c>
      <c r="E1411">
        <v>30019</v>
      </c>
      <c r="F1411">
        <v>1791</v>
      </c>
      <c r="G1411">
        <v>341.87</v>
      </c>
      <c r="I1411">
        <v>144</v>
      </c>
      <c r="J1411" t="s">
        <v>40</v>
      </c>
      <c r="K1411" t="s">
        <v>37</v>
      </c>
      <c r="L1411" t="s">
        <v>38</v>
      </c>
      <c r="M1411" t="s">
        <v>39</v>
      </c>
    </row>
    <row r="1412" spans="1:13" x14ac:dyDescent="0.2">
      <c r="A1412" s="1">
        <v>46059</v>
      </c>
      <c r="B1412" t="s">
        <v>35</v>
      </c>
      <c r="C1412" t="s">
        <v>36</v>
      </c>
      <c r="E1412">
        <v>15372</v>
      </c>
      <c r="F1412">
        <v>1048</v>
      </c>
      <c r="G1412">
        <v>278.63</v>
      </c>
      <c r="I1412">
        <v>63</v>
      </c>
      <c r="J1412" t="s">
        <v>40</v>
      </c>
      <c r="K1412" t="s">
        <v>41</v>
      </c>
      <c r="L1412" t="s">
        <v>42</v>
      </c>
      <c r="M1412" t="s">
        <v>43</v>
      </c>
    </row>
    <row r="1413" spans="1:13" x14ac:dyDescent="0.2">
      <c r="A1413" s="1">
        <v>46059</v>
      </c>
      <c r="B1413" t="s">
        <v>44</v>
      </c>
      <c r="C1413" t="s">
        <v>45</v>
      </c>
      <c r="E1413">
        <v>22873</v>
      </c>
      <c r="F1413">
        <v>1242</v>
      </c>
      <c r="G1413">
        <v>333.64</v>
      </c>
      <c r="I1413">
        <v>72</v>
      </c>
      <c r="J1413" t="s">
        <v>40</v>
      </c>
      <c r="K1413" t="s">
        <v>46</v>
      </c>
      <c r="L1413" t="s">
        <v>42</v>
      </c>
      <c r="M1413" t="s">
        <v>47</v>
      </c>
    </row>
    <row r="1414" spans="1:13" x14ac:dyDescent="0.2">
      <c r="A1414" s="1">
        <v>46059</v>
      </c>
      <c r="B1414" t="s">
        <v>44</v>
      </c>
      <c r="C1414" t="s">
        <v>48</v>
      </c>
      <c r="E1414">
        <v>14941</v>
      </c>
      <c r="F1414">
        <v>1037</v>
      </c>
      <c r="G1414">
        <v>274.76</v>
      </c>
      <c r="I1414">
        <v>83</v>
      </c>
      <c r="J1414" t="s">
        <v>40</v>
      </c>
      <c r="K1414" t="s">
        <v>49</v>
      </c>
      <c r="L1414" t="s">
        <v>50</v>
      </c>
      <c r="M1414" t="s">
        <v>51</v>
      </c>
    </row>
    <row r="1415" spans="1:13" x14ac:dyDescent="0.2">
      <c r="A1415" s="1">
        <v>46059</v>
      </c>
      <c r="B1415" t="s">
        <v>52</v>
      </c>
      <c r="C1415" t="s">
        <v>53</v>
      </c>
      <c r="E1415">
        <v>166269</v>
      </c>
      <c r="F1415">
        <v>2310</v>
      </c>
      <c r="G1415">
        <v>593.49</v>
      </c>
      <c r="I1415">
        <v>146</v>
      </c>
      <c r="J1415" t="s">
        <v>40</v>
      </c>
      <c r="K1415" t="s">
        <v>54</v>
      </c>
      <c r="L1415" t="s">
        <v>54</v>
      </c>
      <c r="M1415" t="s">
        <v>54</v>
      </c>
    </row>
    <row r="1416" spans="1:13" x14ac:dyDescent="0.2">
      <c r="A1416" s="1">
        <v>46059</v>
      </c>
      <c r="B1416" t="s">
        <v>52</v>
      </c>
      <c r="C1416" t="s">
        <v>55</v>
      </c>
      <c r="E1416">
        <v>94804</v>
      </c>
      <c r="F1416">
        <v>1304</v>
      </c>
      <c r="G1416">
        <v>305.58999999999997</v>
      </c>
      <c r="I1416">
        <v>123</v>
      </c>
      <c r="J1416" t="s">
        <v>40</v>
      </c>
      <c r="K1416" t="s">
        <v>54</v>
      </c>
      <c r="L1416" t="s">
        <v>54</v>
      </c>
      <c r="M1416" t="s">
        <v>54</v>
      </c>
    </row>
    <row r="1417" spans="1:13" x14ac:dyDescent="0.2">
      <c r="A1417" s="1">
        <v>46059</v>
      </c>
      <c r="B1417" t="s">
        <v>56</v>
      </c>
      <c r="C1417" t="s">
        <v>57</v>
      </c>
      <c r="E1417">
        <v>40939</v>
      </c>
      <c r="F1417">
        <v>2607</v>
      </c>
      <c r="G1417">
        <v>508.01</v>
      </c>
      <c r="I1417">
        <v>184</v>
      </c>
      <c r="J1417" t="s">
        <v>40</v>
      </c>
      <c r="K1417" t="s">
        <v>58</v>
      </c>
      <c r="L1417" t="s">
        <v>42</v>
      </c>
      <c r="M1417" t="s">
        <v>43</v>
      </c>
    </row>
    <row r="1418" spans="1:13" x14ac:dyDescent="0.2">
      <c r="A1418" s="1">
        <v>46059</v>
      </c>
      <c r="B1418" t="s">
        <v>56</v>
      </c>
      <c r="C1418" t="s">
        <v>57</v>
      </c>
      <c r="E1418">
        <v>29070</v>
      </c>
      <c r="F1418">
        <v>1488</v>
      </c>
      <c r="G1418">
        <v>342.41</v>
      </c>
      <c r="I1418">
        <v>87</v>
      </c>
      <c r="J1418" t="s">
        <v>40</v>
      </c>
      <c r="K1418" t="s">
        <v>59</v>
      </c>
      <c r="L1418" t="s">
        <v>38</v>
      </c>
      <c r="M1418" t="s">
        <v>43</v>
      </c>
    </row>
    <row r="1419" spans="1:13" x14ac:dyDescent="0.2">
      <c r="A1419" s="1">
        <v>46059</v>
      </c>
      <c r="B1419" t="s">
        <v>63</v>
      </c>
      <c r="C1419" t="s">
        <v>64</v>
      </c>
      <c r="E1419">
        <v>33846</v>
      </c>
      <c r="F1419">
        <v>2032</v>
      </c>
      <c r="G1419">
        <v>500.42</v>
      </c>
      <c r="I1419">
        <v>180</v>
      </c>
      <c r="J1419" t="s">
        <v>40</v>
      </c>
      <c r="K1419" t="s">
        <v>65</v>
      </c>
      <c r="L1419" t="s">
        <v>38</v>
      </c>
      <c r="M1419" t="s">
        <v>43</v>
      </c>
    </row>
    <row r="1420" spans="1:13" x14ac:dyDescent="0.2">
      <c r="A1420" s="1">
        <v>46059</v>
      </c>
      <c r="B1420" t="s">
        <v>63</v>
      </c>
      <c r="C1420" t="s">
        <v>64</v>
      </c>
      <c r="E1420">
        <v>20868</v>
      </c>
      <c r="F1420">
        <v>1380</v>
      </c>
      <c r="G1420">
        <v>267.77</v>
      </c>
      <c r="I1420">
        <v>84</v>
      </c>
      <c r="J1420" t="s">
        <v>40</v>
      </c>
      <c r="K1420" t="s">
        <v>66</v>
      </c>
      <c r="L1420" t="s">
        <v>42</v>
      </c>
      <c r="M1420" t="s">
        <v>47</v>
      </c>
    </row>
    <row r="1421" spans="1:13" x14ac:dyDescent="0.2">
      <c r="A1421" s="1">
        <v>46060</v>
      </c>
      <c r="B1421" t="s">
        <v>35</v>
      </c>
      <c r="C1421" t="s">
        <v>36</v>
      </c>
      <c r="E1421">
        <v>27413</v>
      </c>
      <c r="F1421">
        <v>1799</v>
      </c>
      <c r="G1421">
        <v>410.8</v>
      </c>
      <c r="I1421">
        <v>124</v>
      </c>
      <c r="J1421" t="s">
        <v>40</v>
      </c>
      <c r="K1421" t="s">
        <v>37</v>
      </c>
      <c r="L1421" t="s">
        <v>38</v>
      </c>
      <c r="M1421" t="s">
        <v>39</v>
      </c>
    </row>
    <row r="1422" spans="1:13" x14ac:dyDescent="0.2">
      <c r="A1422" s="1">
        <v>46060</v>
      </c>
      <c r="B1422" t="s">
        <v>35</v>
      </c>
      <c r="C1422" t="s">
        <v>36</v>
      </c>
      <c r="E1422">
        <v>34076</v>
      </c>
      <c r="F1422">
        <v>2258</v>
      </c>
      <c r="G1422">
        <v>458.77</v>
      </c>
      <c r="I1422">
        <v>148</v>
      </c>
      <c r="J1422" t="s">
        <v>40</v>
      </c>
      <c r="K1422" t="s">
        <v>41</v>
      </c>
      <c r="L1422" t="s">
        <v>42</v>
      </c>
      <c r="M1422" t="s">
        <v>43</v>
      </c>
    </row>
    <row r="1423" spans="1:13" x14ac:dyDescent="0.2">
      <c r="A1423" s="1">
        <v>46060</v>
      </c>
      <c r="B1423" t="s">
        <v>44</v>
      </c>
      <c r="C1423" t="s">
        <v>45</v>
      </c>
      <c r="E1423">
        <v>35470</v>
      </c>
      <c r="F1423">
        <v>1739</v>
      </c>
      <c r="G1423">
        <v>348.98</v>
      </c>
      <c r="I1423">
        <v>158</v>
      </c>
      <c r="J1423" t="s">
        <v>40</v>
      </c>
      <c r="K1423" t="s">
        <v>46</v>
      </c>
      <c r="L1423" t="s">
        <v>42</v>
      </c>
      <c r="M1423" t="s">
        <v>47</v>
      </c>
    </row>
    <row r="1424" spans="1:13" x14ac:dyDescent="0.2">
      <c r="A1424" s="1">
        <v>46060</v>
      </c>
      <c r="B1424" t="s">
        <v>44</v>
      </c>
      <c r="C1424" t="s">
        <v>48</v>
      </c>
      <c r="E1424">
        <v>47143</v>
      </c>
      <c r="F1424">
        <v>2701</v>
      </c>
      <c r="G1424">
        <v>734.11</v>
      </c>
      <c r="I1424">
        <v>243</v>
      </c>
      <c r="J1424" t="s">
        <v>40</v>
      </c>
      <c r="K1424" t="s">
        <v>49</v>
      </c>
      <c r="L1424" t="s">
        <v>50</v>
      </c>
      <c r="M1424" t="s">
        <v>51</v>
      </c>
    </row>
    <row r="1425" spans="1:13" x14ac:dyDescent="0.2">
      <c r="A1425" s="1">
        <v>46060</v>
      </c>
      <c r="B1425" t="s">
        <v>52</v>
      </c>
      <c r="C1425" t="s">
        <v>53</v>
      </c>
      <c r="E1425">
        <v>133322</v>
      </c>
      <c r="F1425">
        <v>2120</v>
      </c>
      <c r="G1425">
        <v>450.3</v>
      </c>
      <c r="I1425">
        <v>176</v>
      </c>
      <c r="J1425" t="s">
        <v>40</v>
      </c>
      <c r="K1425" t="s">
        <v>54</v>
      </c>
      <c r="L1425" t="s">
        <v>54</v>
      </c>
      <c r="M1425" t="s">
        <v>54</v>
      </c>
    </row>
    <row r="1426" spans="1:13" x14ac:dyDescent="0.2">
      <c r="A1426" s="1">
        <v>46060</v>
      </c>
      <c r="B1426" t="s">
        <v>52</v>
      </c>
      <c r="C1426" t="s">
        <v>55</v>
      </c>
      <c r="E1426">
        <v>221671</v>
      </c>
      <c r="F1426">
        <v>3140</v>
      </c>
      <c r="G1426">
        <v>651.08000000000004</v>
      </c>
      <c r="I1426">
        <v>265</v>
      </c>
      <c r="J1426" t="s">
        <v>40</v>
      </c>
      <c r="K1426" t="s">
        <v>54</v>
      </c>
      <c r="L1426" t="s">
        <v>54</v>
      </c>
      <c r="M1426" t="s">
        <v>54</v>
      </c>
    </row>
    <row r="1427" spans="1:13" x14ac:dyDescent="0.2">
      <c r="A1427" s="1">
        <v>46060</v>
      </c>
      <c r="B1427" t="s">
        <v>56</v>
      </c>
      <c r="C1427" t="s">
        <v>57</v>
      </c>
      <c r="E1427">
        <v>29950</v>
      </c>
      <c r="F1427">
        <v>1708</v>
      </c>
      <c r="G1427">
        <v>372.09</v>
      </c>
      <c r="I1427">
        <v>134</v>
      </c>
      <c r="J1427" t="s">
        <v>40</v>
      </c>
      <c r="K1427" t="s">
        <v>58</v>
      </c>
      <c r="L1427" t="s">
        <v>42</v>
      </c>
      <c r="M1427" t="s">
        <v>43</v>
      </c>
    </row>
    <row r="1428" spans="1:13" x14ac:dyDescent="0.2">
      <c r="A1428" s="1">
        <v>46060</v>
      </c>
      <c r="B1428" t="s">
        <v>56</v>
      </c>
      <c r="C1428" t="s">
        <v>57</v>
      </c>
      <c r="E1428">
        <v>21141</v>
      </c>
      <c r="F1428">
        <v>1276</v>
      </c>
      <c r="G1428">
        <v>277.7</v>
      </c>
      <c r="I1428">
        <v>116</v>
      </c>
      <c r="J1428" t="s">
        <v>40</v>
      </c>
      <c r="K1428" t="s">
        <v>59</v>
      </c>
      <c r="L1428" t="s">
        <v>38</v>
      </c>
      <c r="M1428" t="s">
        <v>43</v>
      </c>
    </row>
    <row r="1429" spans="1:13" x14ac:dyDescent="0.2">
      <c r="A1429" s="1">
        <v>46060</v>
      </c>
      <c r="B1429" t="s">
        <v>63</v>
      </c>
      <c r="C1429" t="s">
        <v>64</v>
      </c>
      <c r="E1429">
        <v>61375</v>
      </c>
      <c r="F1429">
        <v>3543</v>
      </c>
      <c r="G1429">
        <v>927.29</v>
      </c>
      <c r="I1429">
        <v>243</v>
      </c>
      <c r="J1429" t="s">
        <v>40</v>
      </c>
      <c r="K1429" t="s">
        <v>65</v>
      </c>
      <c r="L1429" t="s">
        <v>38</v>
      </c>
      <c r="M1429" t="s">
        <v>43</v>
      </c>
    </row>
    <row r="1430" spans="1:13" x14ac:dyDescent="0.2">
      <c r="A1430" s="1">
        <v>46060</v>
      </c>
      <c r="B1430" t="s">
        <v>63</v>
      </c>
      <c r="C1430" t="s">
        <v>64</v>
      </c>
      <c r="E1430">
        <v>58232</v>
      </c>
      <c r="F1430">
        <v>4035</v>
      </c>
      <c r="G1430">
        <v>728.96</v>
      </c>
      <c r="I1430">
        <v>364</v>
      </c>
      <c r="J1430" t="s">
        <v>40</v>
      </c>
      <c r="K1430" t="s">
        <v>66</v>
      </c>
      <c r="L1430" t="s">
        <v>42</v>
      </c>
      <c r="M1430" t="s">
        <v>47</v>
      </c>
    </row>
    <row r="1431" spans="1:13" x14ac:dyDescent="0.2">
      <c r="A1431" s="1">
        <v>46061</v>
      </c>
      <c r="B1431" t="s">
        <v>35</v>
      </c>
      <c r="C1431" t="s">
        <v>36</v>
      </c>
      <c r="E1431">
        <v>54360</v>
      </c>
      <c r="F1431">
        <v>2825</v>
      </c>
      <c r="G1431">
        <v>530.28</v>
      </c>
      <c r="I1431">
        <v>228</v>
      </c>
      <c r="J1431" t="s">
        <v>40</v>
      </c>
      <c r="K1431" t="s">
        <v>37</v>
      </c>
      <c r="L1431" t="s">
        <v>38</v>
      </c>
      <c r="M1431" t="s">
        <v>39</v>
      </c>
    </row>
    <row r="1432" spans="1:13" x14ac:dyDescent="0.2">
      <c r="A1432" s="1">
        <v>46061</v>
      </c>
      <c r="B1432" t="s">
        <v>35</v>
      </c>
      <c r="C1432" t="s">
        <v>36</v>
      </c>
      <c r="E1432">
        <v>33405</v>
      </c>
      <c r="F1432">
        <v>1723</v>
      </c>
      <c r="G1432">
        <v>337.25</v>
      </c>
      <c r="I1432">
        <v>136</v>
      </c>
      <c r="J1432" t="s">
        <v>40</v>
      </c>
      <c r="K1432" t="s">
        <v>41</v>
      </c>
      <c r="L1432" t="s">
        <v>42</v>
      </c>
      <c r="M1432" t="s">
        <v>43</v>
      </c>
    </row>
    <row r="1433" spans="1:13" x14ac:dyDescent="0.2">
      <c r="A1433" s="1">
        <v>46061</v>
      </c>
      <c r="B1433" t="s">
        <v>44</v>
      </c>
      <c r="C1433" t="s">
        <v>45</v>
      </c>
      <c r="E1433">
        <v>24855</v>
      </c>
      <c r="F1433">
        <v>1587</v>
      </c>
      <c r="G1433">
        <v>351.46</v>
      </c>
      <c r="I1433">
        <v>108</v>
      </c>
      <c r="J1433" t="s">
        <v>40</v>
      </c>
      <c r="K1433" t="s">
        <v>46</v>
      </c>
      <c r="L1433" t="s">
        <v>42</v>
      </c>
      <c r="M1433" t="s">
        <v>47</v>
      </c>
    </row>
    <row r="1434" spans="1:13" x14ac:dyDescent="0.2">
      <c r="A1434" s="1">
        <v>46061</v>
      </c>
      <c r="B1434" t="s">
        <v>44</v>
      </c>
      <c r="C1434" t="s">
        <v>48</v>
      </c>
      <c r="E1434">
        <v>24397</v>
      </c>
      <c r="F1434">
        <v>1452</v>
      </c>
      <c r="G1434">
        <v>330.88</v>
      </c>
      <c r="I1434">
        <v>92</v>
      </c>
      <c r="J1434" t="s">
        <v>40</v>
      </c>
      <c r="K1434" t="s">
        <v>49</v>
      </c>
      <c r="L1434" t="s">
        <v>50</v>
      </c>
      <c r="M1434" t="s">
        <v>51</v>
      </c>
    </row>
    <row r="1435" spans="1:13" x14ac:dyDescent="0.2">
      <c r="A1435" s="1">
        <v>46061</v>
      </c>
      <c r="B1435" t="s">
        <v>52</v>
      </c>
      <c r="C1435" t="s">
        <v>53</v>
      </c>
      <c r="E1435">
        <v>155587</v>
      </c>
      <c r="F1435">
        <v>2214</v>
      </c>
      <c r="G1435">
        <v>489.49</v>
      </c>
      <c r="I1435">
        <v>143</v>
      </c>
      <c r="J1435" t="s">
        <v>40</v>
      </c>
      <c r="K1435" t="s">
        <v>54</v>
      </c>
      <c r="L1435" t="s">
        <v>54</v>
      </c>
      <c r="M1435" t="s">
        <v>54</v>
      </c>
    </row>
    <row r="1436" spans="1:13" x14ac:dyDescent="0.2">
      <c r="A1436" s="1">
        <v>46061</v>
      </c>
      <c r="B1436" t="s">
        <v>52</v>
      </c>
      <c r="C1436" t="s">
        <v>55</v>
      </c>
      <c r="E1436">
        <v>149466</v>
      </c>
      <c r="F1436">
        <v>2072</v>
      </c>
      <c r="G1436">
        <v>406.35</v>
      </c>
      <c r="I1436">
        <v>166</v>
      </c>
      <c r="J1436" t="s">
        <v>40</v>
      </c>
      <c r="K1436" t="s">
        <v>54</v>
      </c>
      <c r="L1436" t="s">
        <v>54</v>
      </c>
      <c r="M1436" t="s">
        <v>54</v>
      </c>
    </row>
    <row r="1437" spans="1:13" x14ac:dyDescent="0.2">
      <c r="A1437" s="1">
        <v>46061</v>
      </c>
      <c r="B1437" t="s">
        <v>56</v>
      </c>
      <c r="C1437" t="s">
        <v>57</v>
      </c>
      <c r="E1437">
        <v>17595</v>
      </c>
      <c r="F1437">
        <v>1220</v>
      </c>
      <c r="G1437">
        <v>237.52</v>
      </c>
      <c r="I1437">
        <v>75</v>
      </c>
      <c r="J1437" t="s">
        <v>40</v>
      </c>
      <c r="K1437" t="s">
        <v>58</v>
      </c>
      <c r="L1437" t="s">
        <v>42</v>
      </c>
      <c r="M1437" t="s">
        <v>43</v>
      </c>
    </row>
    <row r="1438" spans="1:13" x14ac:dyDescent="0.2">
      <c r="A1438" s="1">
        <v>46061</v>
      </c>
      <c r="B1438" t="s">
        <v>56</v>
      </c>
      <c r="C1438" t="s">
        <v>57</v>
      </c>
      <c r="E1438">
        <v>30517</v>
      </c>
      <c r="F1438">
        <v>1843</v>
      </c>
      <c r="G1438">
        <v>406.47</v>
      </c>
      <c r="I1438">
        <v>172</v>
      </c>
      <c r="J1438" t="s">
        <v>40</v>
      </c>
      <c r="K1438" t="s">
        <v>59</v>
      </c>
      <c r="L1438" t="s">
        <v>38</v>
      </c>
      <c r="M1438" t="s">
        <v>43</v>
      </c>
    </row>
    <row r="1439" spans="1:13" x14ac:dyDescent="0.2">
      <c r="A1439" s="1">
        <v>46061</v>
      </c>
      <c r="B1439" t="s">
        <v>63</v>
      </c>
      <c r="C1439" t="s">
        <v>64</v>
      </c>
      <c r="E1439">
        <v>15707</v>
      </c>
      <c r="F1439">
        <v>1085</v>
      </c>
      <c r="G1439">
        <v>274.29000000000002</v>
      </c>
      <c r="I1439">
        <v>95</v>
      </c>
      <c r="J1439" t="s">
        <v>40</v>
      </c>
      <c r="K1439" t="s">
        <v>65</v>
      </c>
      <c r="L1439" t="s">
        <v>38</v>
      </c>
      <c r="M1439" t="s">
        <v>43</v>
      </c>
    </row>
    <row r="1440" spans="1:13" x14ac:dyDescent="0.2">
      <c r="A1440" s="1">
        <v>46061</v>
      </c>
      <c r="B1440" t="s">
        <v>63</v>
      </c>
      <c r="C1440" t="s">
        <v>64</v>
      </c>
      <c r="E1440">
        <v>21866</v>
      </c>
      <c r="F1440">
        <v>1163</v>
      </c>
      <c r="G1440">
        <v>279.88</v>
      </c>
      <c r="I1440">
        <v>85</v>
      </c>
      <c r="J1440" t="s">
        <v>40</v>
      </c>
      <c r="K1440" t="s">
        <v>66</v>
      </c>
      <c r="L1440" t="s">
        <v>42</v>
      </c>
      <c r="M1440" t="s">
        <v>47</v>
      </c>
    </row>
    <row r="1441" spans="1:13" x14ac:dyDescent="0.2">
      <c r="A1441" s="1">
        <v>46062</v>
      </c>
      <c r="B1441" t="s">
        <v>35</v>
      </c>
      <c r="C1441" t="s">
        <v>36</v>
      </c>
      <c r="E1441">
        <v>66505</v>
      </c>
      <c r="F1441">
        <v>3464</v>
      </c>
      <c r="G1441">
        <v>911.16</v>
      </c>
      <c r="I1441">
        <v>273</v>
      </c>
      <c r="J1441" t="s">
        <v>40</v>
      </c>
      <c r="K1441" t="s">
        <v>37</v>
      </c>
      <c r="L1441" t="s">
        <v>38</v>
      </c>
      <c r="M1441" t="s">
        <v>39</v>
      </c>
    </row>
    <row r="1442" spans="1:13" x14ac:dyDescent="0.2">
      <c r="A1442" s="1">
        <v>46062</v>
      </c>
      <c r="B1442" t="s">
        <v>35</v>
      </c>
      <c r="C1442" t="s">
        <v>36</v>
      </c>
      <c r="E1442">
        <v>35070</v>
      </c>
      <c r="F1442">
        <v>2207</v>
      </c>
      <c r="G1442">
        <v>509.99</v>
      </c>
      <c r="I1442">
        <v>136</v>
      </c>
      <c r="J1442" t="s">
        <v>40</v>
      </c>
      <c r="K1442" t="s">
        <v>41</v>
      </c>
      <c r="L1442" t="s">
        <v>42</v>
      </c>
      <c r="M1442" t="s">
        <v>43</v>
      </c>
    </row>
    <row r="1443" spans="1:13" x14ac:dyDescent="0.2">
      <c r="A1443" s="1">
        <v>46062</v>
      </c>
      <c r="B1443" t="s">
        <v>44</v>
      </c>
      <c r="C1443" t="s">
        <v>45</v>
      </c>
      <c r="E1443">
        <v>51931</v>
      </c>
      <c r="F1443">
        <v>3642</v>
      </c>
      <c r="G1443">
        <v>872.82</v>
      </c>
      <c r="I1443">
        <v>210</v>
      </c>
      <c r="J1443" t="s">
        <v>40</v>
      </c>
      <c r="K1443" t="s">
        <v>46</v>
      </c>
      <c r="L1443" t="s">
        <v>42</v>
      </c>
      <c r="M1443" t="s">
        <v>47</v>
      </c>
    </row>
    <row r="1444" spans="1:13" x14ac:dyDescent="0.2">
      <c r="A1444" s="1">
        <v>46062</v>
      </c>
      <c r="B1444" t="s">
        <v>44</v>
      </c>
      <c r="C1444" t="s">
        <v>48</v>
      </c>
      <c r="E1444">
        <v>55657</v>
      </c>
      <c r="F1444">
        <v>3186</v>
      </c>
      <c r="G1444">
        <v>608.07000000000005</v>
      </c>
      <c r="I1444">
        <v>201</v>
      </c>
      <c r="J1444" t="s">
        <v>40</v>
      </c>
      <c r="K1444" t="s">
        <v>49</v>
      </c>
      <c r="L1444" t="s">
        <v>50</v>
      </c>
      <c r="M1444" t="s">
        <v>51</v>
      </c>
    </row>
    <row r="1445" spans="1:13" x14ac:dyDescent="0.2">
      <c r="A1445" s="1">
        <v>46062</v>
      </c>
      <c r="B1445" t="s">
        <v>52</v>
      </c>
      <c r="C1445" t="s">
        <v>53</v>
      </c>
      <c r="E1445">
        <v>249771</v>
      </c>
      <c r="F1445">
        <v>3602</v>
      </c>
      <c r="G1445">
        <v>946.07</v>
      </c>
      <c r="I1445">
        <v>285</v>
      </c>
      <c r="J1445" t="s">
        <v>40</v>
      </c>
      <c r="K1445" t="s">
        <v>54</v>
      </c>
      <c r="L1445" t="s">
        <v>54</v>
      </c>
      <c r="M1445" t="s">
        <v>54</v>
      </c>
    </row>
    <row r="1446" spans="1:13" x14ac:dyDescent="0.2">
      <c r="A1446" s="1">
        <v>46062</v>
      </c>
      <c r="B1446" t="s">
        <v>52</v>
      </c>
      <c r="C1446" t="s">
        <v>55</v>
      </c>
      <c r="E1446">
        <v>181208</v>
      </c>
      <c r="F1446">
        <v>2424</v>
      </c>
      <c r="G1446">
        <v>585.33000000000004</v>
      </c>
      <c r="I1446">
        <v>137</v>
      </c>
      <c r="J1446" t="s">
        <v>40</v>
      </c>
      <c r="K1446" t="s">
        <v>54</v>
      </c>
      <c r="L1446" t="s">
        <v>54</v>
      </c>
      <c r="M1446" t="s">
        <v>54</v>
      </c>
    </row>
    <row r="1447" spans="1:13" x14ac:dyDescent="0.2">
      <c r="A1447" s="1">
        <v>46062</v>
      </c>
      <c r="B1447" t="s">
        <v>56</v>
      </c>
      <c r="C1447" t="s">
        <v>57</v>
      </c>
      <c r="E1447">
        <v>71723</v>
      </c>
      <c r="F1447">
        <v>4309</v>
      </c>
      <c r="G1447">
        <v>826.26</v>
      </c>
      <c r="I1447">
        <v>320</v>
      </c>
      <c r="J1447" t="s">
        <v>40</v>
      </c>
      <c r="K1447" t="s">
        <v>58</v>
      </c>
      <c r="L1447" t="s">
        <v>42</v>
      </c>
      <c r="M1447" t="s">
        <v>43</v>
      </c>
    </row>
    <row r="1448" spans="1:13" x14ac:dyDescent="0.2">
      <c r="A1448" s="1">
        <v>46062</v>
      </c>
      <c r="B1448" t="s">
        <v>56</v>
      </c>
      <c r="C1448" t="s">
        <v>57</v>
      </c>
      <c r="E1448">
        <v>29665</v>
      </c>
      <c r="F1448">
        <v>2066</v>
      </c>
      <c r="G1448">
        <v>483.3</v>
      </c>
      <c r="I1448">
        <v>113</v>
      </c>
      <c r="J1448" t="s">
        <v>40</v>
      </c>
      <c r="K1448" t="s">
        <v>59</v>
      </c>
      <c r="L1448" t="s">
        <v>38</v>
      </c>
      <c r="M1448" t="s">
        <v>43</v>
      </c>
    </row>
    <row r="1449" spans="1:13" x14ac:dyDescent="0.2">
      <c r="A1449" s="1">
        <v>46062</v>
      </c>
      <c r="B1449" t="s">
        <v>63</v>
      </c>
      <c r="C1449" t="s">
        <v>64</v>
      </c>
      <c r="E1449">
        <v>61244</v>
      </c>
      <c r="F1449">
        <v>3707</v>
      </c>
      <c r="G1449">
        <v>804.56</v>
      </c>
      <c r="I1449">
        <v>210</v>
      </c>
      <c r="J1449" t="s">
        <v>40</v>
      </c>
      <c r="K1449" t="s">
        <v>65</v>
      </c>
      <c r="L1449" t="s">
        <v>38</v>
      </c>
      <c r="M1449" t="s">
        <v>43</v>
      </c>
    </row>
    <row r="1450" spans="1:13" x14ac:dyDescent="0.2">
      <c r="A1450" s="1">
        <v>46062</v>
      </c>
      <c r="B1450" t="s">
        <v>63</v>
      </c>
      <c r="C1450" t="s">
        <v>64</v>
      </c>
      <c r="E1450">
        <v>71555</v>
      </c>
      <c r="F1450">
        <v>4171</v>
      </c>
      <c r="G1450">
        <v>1142.2</v>
      </c>
      <c r="I1450">
        <v>309</v>
      </c>
      <c r="J1450" t="s">
        <v>40</v>
      </c>
      <c r="K1450" t="s">
        <v>66</v>
      </c>
      <c r="L1450" t="s">
        <v>42</v>
      </c>
      <c r="M1450" t="s">
        <v>47</v>
      </c>
    </row>
    <row r="1451" spans="1:13" x14ac:dyDescent="0.2">
      <c r="A1451" s="1">
        <v>46063</v>
      </c>
      <c r="B1451" t="s">
        <v>35</v>
      </c>
      <c r="C1451" t="s">
        <v>36</v>
      </c>
      <c r="E1451">
        <v>55974</v>
      </c>
      <c r="F1451">
        <v>3157</v>
      </c>
      <c r="G1451">
        <v>822.28</v>
      </c>
      <c r="I1451">
        <v>288</v>
      </c>
      <c r="J1451" t="s">
        <v>40</v>
      </c>
      <c r="K1451" t="s">
        <v>37</v>
      </c>
      <c r="L1451" t="s">
        <v>38</v>
      </c>
      <c r="M1451" t="s">
        <v>39</v>
      </c>
    </row>
    <row r="1452" spans="1:13" x14ac:dyDescent="0.2">
      <c r="A1452" s="1">
        <v>46063</v>
      </c>
      <c r="B1452" t="s">
        <v>35</v>
      </c>
      <c r="C1452" t="s">
        <v>36</v>
      </c>
      <c r="E1452">
        <v>26244</v>
      </c>
      <c r="F1452">
        <v>1527</v>
      </c>
      <c r="G1452">
        <v>313.72000000000003</v>
      </c>
      <c r="I1452">
        <v>130</v>
      </c>
      <c r="J1452" t="s">
        <v>40</v>
      </c>
      <c r="K1452" t="s">
        <v>41</v>
      </c>
      <c r="L1452" t="s">
        <v>42</v>
      </c>
      <c r="M1452" t="s">
        <v>43</v>
      </c>
    </row>
    <row r="1453" spans="1:13" x14ac:dyDescent="0.2">
      <c r="A1453" s="1">
        <v>46063</v>
      </c>
      <c r="B1453" t="s">
        <v>44</v>
      </c>
      <c r="C1453" t="s">
        <v>45</v>
      </c>
      <c r="E1453">
        <v>24788</v>
      </c>
      <c r="F1453">
        <v>1358</v>
      </c>
      <c r="G1453">
        <v>363.5</v>
      </c>
      <c r="I1453">
        <v>96</v>
      </c>
      <c r="J1453" t="s">
        <v>40</v>
      </c>
      <c r="K1453" t="s">
        <v>46</v>
      </c>
      <c r="L1453" t="s">
        <v>42</v>
      </c>
      <c r="M1453" t="s">
        <v>47</v>
      </c>
    </row>
    <row r="1454" spans="1:13" x14ac:dyDescent="0.2">
      <c r="A1454" s="1">
        <v>46063</v>
      </c>
      <c r="B1454" t="s">
        <v>44</v>
      </c>
      <c r="C1454" t="s">
        <v>48</v>
      </c>
      <c r="E1454">
        <v>35819</v>
      </c>
      <c r="F1454">
        <v>1724</v>
      </c>
      <c r="G1454">
        <v>438.52</v>
      </c>
      <c r="I1454">
        <v>95</v>
      </c>
      <c r="J1454" t="s">
        <v>40</v>
      </c>
      <c r="K1454" t="s">
        <v>49</v>
      </c>
      <c r="L1454" t="s">
        <v>50</v>
      </c>
      <c r="M1454" t="s">
        <v>51</v>
      </c>
    </row>
    <row r="1455" spans="1:13" x14ac:dyDescent="0.2">
      <c r="A1455" s="1">
        <v>46063</v>
      </c>
      <c r="B1455" t="s">
        <v>52</v>
      </c>
      <c r="C1455" t="s">
        <v>53</v>
      </c>
      <c r="E1455">
        <v>253584</v>
      </c>
      <c r="F1455">
        <v>2938</v>
      </c>
      <c r="G1455">
        <v>530.95000000000005</v>
      </c>
      <c r="I1455">
        <v>238</v>
      </c>
      <c r="J1455" t="s">
        <v>40</v>
      </c>
      <c r="K1455" t="s">
        <v>54</v>
      </c>
      <c r="L1455" t="s">
        <v>54</v>
      </c>
      <c r="M1455" t="s">
        <v>54</v>
      </c>
    </row>
    <row r="1456" spans="1:13" x14ac:dyDescent="0.2">
      <c r="A1456" s="1">
        <v>46063</v>
      </c>
      <c r="B1456" t="s">
        <v>52</v>
      </c>
      <c r="C1456" t="s">
        <v>55</v>
      </c>
      <c r="E1456">
        <v>210248</v>
      </c>
      <c r="F1456">
        <v>2742</v>
      </c>
      <c r="G1456">
        <v>522.79</v>
      </c>
      <c r="I1456">
        <v>197</v>
      </c>
      <c r="J1456" t="s">
        <v>40</v>
      </c>
      <c r="K1456" t="s">
        <v>54</v>
      </c>
      <c r="L1456" t="s">
        <v>54</v>
      </c>
      <c r="M1456" t="s">
        <v>54</v>
      </c>
    </row>
    <row r="1457" spans="1:13" x14ac:dyDescent="0.2">
      <c r="A1457" s="1">
        <v>46063</v>
      </c>
      <c r="B1457" t="s">
        <v>56</v>
      </c>
      <c r="C1457" t="s">
        <v>57</v>
      </c>
      <c r="E1457">
        <v>42595</v>
      </c>
      <c r="F1457">
        <v>2311</v>
      </c>
      <c r="G1457">
        <v>539.87</v>
      </c>
      <c r="I1457">
        <v>179</v>
      </c>
      <c r="J1457" t="s">
        <v>40</v>
      </c>
      <c r="K1457" t="s">
        <v>58</v>
      </c>
      <c r="L1457" t="s">
        <v>42</v>
      </c>
      <c r="M1457" t="s">
        <v>43</v>
      </c>
    </row>
    <row r="1458" spans="1:13" x14ac:dyDescent="0.2">
      <c r="A1458" s="1">
        <v>46063</v>
      </c>
      <c r="B1458" t="s">
        <v>56</v>
      </c>
      <c r="C1458" t="s">
        <v>57</v>
      </c>
      <c r="E1458">
        <v>44894</v>
      </c>
      <c r="F1458">
        <v>3223</v>
      </c>
      <c r="G1458">
        <v>708.24</v>
      </c>
      <c r="I1458">
        <v>203</v>
      </c>
      <c r="J1458" t="s">
        <v>40</v>
      </c>
      <c r="K1458" t="s">
        <v>59</v>
      </c>
      <c r="L1458" t="s">
        <v>38</v>
      </c>
      <c r="M1458" t="s">
        <v>43</v>
      </c>
    </row>
    <row r="1459" spans="1:13" x14ac:dyDescent="0.2">
      <c r="A1459" s="1">
        <v>46063</v>
      </c>
      <c r="B1459" t="s">
        <v>63</v>
      </c>
      <c r="C1459" t="s">
        <v>64</v>
      </c>
      <c r="E1459">
        <v>66590</v>
      </c>
      <c r="F1459">
        <v>3481</v>
      </c>
      <c r="G1459">
        <v>821.2</v>
      </c>
      <c r="I1459">
        <v>258</v>
      </c>
      <c r="J1459" t="s">
        <v>40</v>
      </c>
      <c r="K1459" t="s">
        <v>65</v>
      </c>
      <c r="L1459" t="s">
        <v>38</v>
      </c>
      <c r="M1459" t="s">
        <v>43</v>
      </c>
    </row>
    <row r="1460" spans="1:13" x14ac:dyDescent="0.2">
      <c r="A1460" s="1">
        <v>46063</v>
      </c>
      <c r="B1460" t="s">
        <v>63</v>
      </c>
      <c r="C1460" t="s">
        <v>64</v>
      </c>
      <c r="E1460">
        <v>48153</v>
      </c>
      <c r="F1460">
        <v>2978</v>
      </c>
      <c r="G1460">
        <v>766.6</v>
      </c>
      <c r="I1460">
        <v>211</v>
      </c>
      <c r="J1460" t="s">
        <v>40</v>
      </c>
      <c r="K1460" t="s">
        <v>66</v>
      </c>
      <c r="L1460" t="s">
        <v>42</v>
      </c>
      <c r="M1460" t="s">
        <v>47</v>
      </c>
    </row>
    <row r="1461" spans="1:13" x14ac:dyDescent="0.2">
      <c r="A1461" s="1">
        <v>46064</v>
      </c>
      <c r="B1461" t="s">
        <v>35</v>
      </c>
      <c r="C1461" t="s">
        <v>36</v>
      </c>
      <c r="E1461">
        <v>30476</v>
      </c>
      <c r="F1461">
        <v>2088</v>
      </c>
      <c r="G1461">
        <v>513.5</v>
      </c>
      <c r="I1461">
        <v>177</v>
      </c>
      <c r="J1461" t="s">
        <v>40</v>
      </c>
      <c r="K1461" t="s">
        <v>37</v>
      </c>
      <c r="L1461" t="s">
        <v>38</v>
      </c>
      <c r="M1461" t="s">
        <v>39</v>
      </c>
    </row>
    <row r="1462" spans="1:13" x14ac:dyDescent="0.2">
      <c r="A1462" s="1">
        <v>46064</v>
      </c>
      <c r="B1462" t="s">
        <v>35</v>
      </c>
      <c r="C1462" t="s">
        <v>36</v>
      </c>
      <c r="E1462">
        <v>62828</v>
      </c>
      <c r="F1462">
        <v>4196</v>
      </c>
      <c r="G1462">
        <v>1153.58</v>
      </c>
      <c r="I1462">
        <v>247</v>
      </c>
      <c r="J1462" t="s">
        <v>40</v>
      </c>
      <c r="K1462" t="s">
        <v>41</v>
      </c>
      <c r="L1462" t="s">
        <v>42</v>
      </c>
      <c r="M1462" t="s">
        <v>43</v>
      </c>
    </row>
    <row r="1463" spans="1:13" x14ac:dyDescent="0.2">
      <c r="A1463" s="1">
        <v>46064</v>
      </c>
      <c r="B1463" t="s">
        <v>44</v>
      </c>
      <c r="C1463" t="s">
        <v>45</v>
      </c>
      <c r="E1463">
        <v>69302</v>
      </c>
      <c r="F1463">
        <v>3992</v>
      </c>
      <c r="G1463">
        <v>853.66</v>
      </c>
      <c r="I1463">
        <v>307</v>
      </c>
      <c r="J1463" t="s">
        <v>40</v>
      </c>
      <c r="K1463" t="s">
        <v>46</v>
      </c>
      <c r="L1463" t="s">
        <v>42</v>
      </c>
      <c r="M1463" t="s">
        <v>47</v>
      </c>
    </row>
    <row r="1464" spans="1:13" x14ac:dyDescent="0.2">
      <c r="A1464" s="1">
        <v>46064</v>
      </c>
      <c r="B1464" t="s">
        <v>44</v>
      </c>
      <c r="C1464" t="s">
        <v>48</v>
      </c>
      <c r="E1464">
        <v>21457</v>
      </c>
      <c r="F1464">
        <v>1112</v>
      </c>
      <c r="G1464">
        <v>307.42</v>
      </c>
      <c r="I1464">
        <v>61</v>
      </c>
      <c r="J1464" t="s">
        <v>40</v>
      </c>
      <c r="K1464" t="s">
        <v>49</v>
      </c>
      <c r="L1464" t="s">
        <v>50</v>
      </c>
      <c r="M1464" t="s">
        <v>51</v>
      </c>
    </row>
    <row r="1465" spans="1:13" x14ac:dyDescent="0.2">
      <c r="A1465" s="1">
        <v>46064</v>
      </c>
      <c r="B1465" t="s">
        <v>52</v>
      </c>
      <c r="C1465" t="s">
        <v>53</v>
      </c>
      <c r="E1465">
        <v>163102</v>
      </c>
      <c r="F1465">
        <v>2465</v>
      </c>
      <c r="G1465">
        <v>559.97</v>
      </c>
      <c r="I1465">
        <v>194</v>
      </c>
      <c r="J1465" t="s">
        <v>40</v>
      </c>
      <c r="K1465" t="s">
        <v>54</v>
      </c>
      <c r="L1465" t="s">
        <v>54</v>
      </c>
      <c r="M1465" t="s">
        <v>54</v>
      </c>
    </row>
    <row r="1466" spans="1:13" x14ac:dyDescent="0.2">
      <c r="A1466" s="1">
        <v>46064</v>
      </c>
      <c r="B1466" t="s">
        <v>52</v>
      </c>
      <c r="C1466" t="s">
        <v>55</v>
      </c>
      <c r="E1466">
        <v>162483</v>
      </c>
      <c r="F1466">
        <v>1839</v>
      </c>
      <c r="G1466">
        <v>371.8</v>
      </c>
      <c r="I1466">
        <v>107</v>
      </c>
      <c r="J1466" t="s">
        <v>40</v>
      </c>
      <c r="K1466" t="s">
        <v>54</v>
      </c>
      <c r="L1466" t="s">
        <v>54</v>
      </c>
      <c r="M1466" t="s">
        <v>54</v>
      </c>
    </row>
    <row r="1467" spans="1:13" x14ac:dyDescent="0.2">
      <c r="A1467" s="1">
        <v>46064</v>
      </c>
      <c r="B1467" t="s">
        <v>56</v>
      </c>
      <c r="C1467" t="s">
        <v>57</v>
      </c>
      <c r="E1467">
        <v>19958</v>
      </c>
      <c r="F1467">
        <v>1305</v>
      </c>
      <c r="G1467">
        <v>356.35</v>
      </c>
      <c r="I1467">
        <v>92</v>
      </c>
      <c r="J1467" t="s">
        <v>40</v>
      </c>
      <c r="K1467" t="s">
        <v>58</v>
      </c>
      <c r="L1467" t="s">
        <v>42</v>
      </c>
      <c r="M1467" t="s">
        <v>43</v>
      </c>
    </row>
    <row r="1468" spans="1:13" x14ac:dyDescent="0.2">
      <c r="A1468" s="1">
        <v>46064</v>
      </c>
      <c r="B1468" t="s">
        <v>56</v>
      </c>
      <c r="C1468" t="s">
        <v>57</v>
      </c>
      <c r="E1468">
        <v>70630</v>
      </c>
      <c r="F1468">
        <v>3875</v>
      </c>
      <c r="G1468">
        <v>1070.8699999999999</v>
      </c>
      <c r="I1468">
        <v>222</v>
      </c>
      <c r="J1468" t="s">
        <v>40</v>
      </c>
      <c r="K1468" t="s">
        <v>59</v>
      </c>
      <c r="L1468" t="s">
        <v>38</v>
      </c>
      <c r="M1468" t="s">
        <v>43</v>
      </c>
    </row>
    <row r="1469" spans="1:13" x14ac:dyDescent="0.2">
      <c r="A1469" s="1">
        <v>46064</v>
      </c>
      <c r="B1469" t="s">
        <v>63</v>
      </c>
      <c r="C1469" t="s">
        <v>64</v>
      </c>
      <c r="E1469">
        <v>34377</v>
      </c>
      <c r="F1469">
        <v>2178</v>
      </c>
      <c r="G1469">
        <v>487.65</v>
      </c>
      <c r="I1469">
        <v>137</v>
      </c>
      <c r="J1469" t="s">
        <v>40</v>
      </c>
      <c r="K1469" t="s">
        <v>65</v>
      </c>
      <c r="L1469" t="s">
        <v>38</v>
      </c>
      <c r="M1469" t="s">
        <v>43</v>
      </c>
    </row>
    <row r="1470" spans="1:13" x14ac:dyDescent="0.2">
      <c r="A1470" s="1">
        <v>46064</v>
      </c>
      <c r="B1470" t="s">
        <v>63</v>
      </c>
      <c r="C1470" t="s">
        <v>64</v>
      </c>
      <c r="E1470">
        <v>70331</v>
      </c>
      <c r="F1470">
        <v>3858</v>
      </c>
      <c r="G1470">
        <v>707.41</v>
      </c>
      <c r="I1470">
        <v>304</v>
      </c>
      <c r="J1470" t="s">
        <v>40</v>
      </c>
      <c r="K1470" t="s">
        <v>66</v>
      </c>
      <c r="L1470" t="s">
        <v>42</v>
      </c>
      <c r="M1470" t="s">
        <v>47</v>
      </c>
    </row>
    <row r="1471" spans="1:13" x14ac:dyDescent="0.2">
      <c r="A1471" s="1">
        <v>46065</v>
      </c>
      <c r="B1471" t="s">
        <v>35</v>
      </c>
      <c r="C1471" t="s">
        <v>36</v>
      </c>
      <c r="E1471">
        <v>70086</v>
      </c>
      <c r="F1471">
        <v>4538</v>
      </c>
      <c r="G1471">
        <v>1096.01</v>
      </c>
      <c r="I1471">
        <v>371</v>
      </c>
      <c r="J1471" t="s">
        <v>40</v>
      </c>
      <c r="K1471" t="s">
        <v>37</v>
      </c>
      <c r="L1471" t="s">
        <v>38</v>
      </c>
      <c r="M1471" t="s">
        <v>39</v>
      </c>
    </row>
    <row r="1472" spans="1:13" x14ac:dyDescent="0.2">
      <c r="A1472" s="1">
        <v>46065</v>
      </c>
      <c r="B1472" t="s">
        <v>35</v>
      </c>
      <c r="C1472" t="s">
        <v>36</v>
      </c>
      <c r="E1472">
        <v>53720</v>
      </c>
      <c r="F1472">
        <v>2887</v>
      </c>
      <c r="G1472">
        <v>519.74</v>
      </c>
      <c r="I1472">
        <v>176</v>
      </c>
      <c r="J1472" t="s">
        <v>40</v>
      </c>
      <c r="K1472" t="s">
        <v>41</v>
      </c>
      <c r="L1472" t="s">
        <v>42</v>
      </c>
      <c r="M1472" t="s">
        <v>43</v>
      </c>
    </row>
    <row r="1473" spans="1:13" x14ac:dyDescent="0.2">
      <c r="A1473" s="1">
        <v>46065</v>
      </c>
      <c r="B1473" t="s">
        <v>44</v>
      </c>
      <c r="C1473" t="s">
        <v>45</v>
      </c>
      <c r="E1473">
        <v>44932</v>
      </c>
      <c r="F1473">
        <v>2997</v>
      </c>
      <c r="G1473">
        <v>645.29</v>
      </c>
      <c r="I1473">
        <v>212</v>
      </c>
      <c r="J1473" t="s">
        <v>40</v>
      </c>
      <c r="K1473" t="s">
        <v>46</v>
      </c>
      <c r="L1473" t="s">
        <v>42</v>
      </c>
      <c r="M1473" t="s">
        <v>47</v>
      </c>
    </row>
    <row r="1474" spans="1:13" x14ac:dyDescent="0.2">
      <c r="A1474" s="1">
        <v>46065</v>
      </c>
      <c r="B1474" t="s">
        <v>44</v>
      </c>
      <c r="C1474" t="s">
        <v>48</v>
      </c>
      <c r="E1474">
        <v>37003</v>
      </c>
      <c r="F1474">
        <v>2235</v>
      </c>
      <c r="G1474">
        <v>567</v>
      </c>
      <c r="I1474">
        <v>129</v>
      </c>
      <c r="J1474" t="s">
        <v>40</v>
      </c>
      <c r="K1474" t="s">
        <v>49</v>
      </c>
      <c r="L1474" t="s">
        <v>50</v>
      </c>
      <c r="M1474" t="s">
        <v>51</v>
      </c>
    </row>
    <row r="1475" spans="1:13" x14ac:dyDescent="0.2">
      <c r="A1475" s="1">
        <v>46065</v>
      </c>
      <c r="B1475" t="s">
        <v>52</v>
      </c>
      <c r="C1475" t="s">
        <v>53</v>
      </c>
      <c r="E1475">
        <v>162908</v>
      </c>
      <c r="F1475">
        <v>2239</v>
      </c>
      <c r="G1475">
        <v>565.6</v>
      </c>
      <c r="I1475">
        <v>173</v>
      </c>
      <c r="J1475" t="s">
        <v>40</v>
      </c>
      <c r="K1475" t="s">
        <v>54</v>
      </c>
      <c r="L1475" t="s">
        <v>54</v>
      </c>
      <c r="M1475" t="s">
        <v>54</v>
      </c>
    </row>
    <row r="1476" spans="1:13" x14ac:dyDescent="0.2">
      <c r="A1476" s="1">
        <v>46065</v>
      </c>
      <c r="B1476" t="s">
        <v>52</v>
      </c>
      <c r="C1476" t="s">
        <v>55</v>
      </c>
      <c r="E1476">
        <v>266249</v>
      </c>
      <c r="F1476">
        <v>3392</v>
      </c>
      <c r="G1476">
        <v>937.31</v>
      </c>
      <c r="I1476">
        <v>224</v>
      </c>
      <c r="J1476" t="s">
        <v>40</v>
      </c>
      <c r="K1476" t="s">
        <v>54</v>
      </c>
      <c r="L1476" t="s">
        <v>54</v>
      </c>
      <c r="M1476" t="s">
        <v>54</v>
      </c>
    </row>
    <row r="1477" spans="1:13" x14ac:dyDescent="0.2">
      <c r="A1477" s="1">
        <v>46065</v>
      </c>
      <c r="B1477" t="s">
        <v>56</v>
      </c>
      <c r="C1477" t="s">
        <v>57</v>
      </c>
      <c r="E1477">
        <v>36396</v>
      </c>
      <c r="F1477">
        <v>2144</v>
      </c>
      <c r="G1477">
        <v>472.53</v>
      </c>
      <c r="I1477">
        <v>118</v>
      </c>
      <c r="J1477" t="s">
        <v>40</v>
      </c>
      <c r="K1477" t="s">
        <v>58</v>
      </c>
      <c r="L1477" t="s">
        <v>42</v>
      </c>
      <c r="M1477" t="s">
        <v>43</v>
      </c>
    </row>
    <row r="1478" spans="1:13" x14ac:dyDescent="0.2">
      <c r="A1478" s="1">
        <v>46065</v>
      </c>
      <c r="B1478" t="s">
        <v>56</v>
      </c>
      <c r="C1478" t="s">
        <v>57</v>
      </c>
      <c r="E1478">
        <v>34353</v>
      </c>
      <c r="F1478">
        <v>1984</v>
      </c>
      <c r="G1478">
        <v>378.24</v>
      </c>
      <c r="I1478">
        <v>114</v>
      </c>
      <c r="J1478" t="s">
        <v>40</v>
      </c>
      <c r="K1478" t="s">
        <v>59</v>
      </c>
      <c r="L1478" t="s">
        <v>38</v>
      </c>
      <c r="M1478" t="s">
        <v>43</v>
      </c>
    </row>
    <row r="1479" spans="1:13" x14ac:dyDescent="0.2">
      <c r="A1479" s="1">
        <v>46065</v>
      </c>
      <c r="B1479" t="s">
        <v>63</v>
      </c>
      <c r="C1479" t="s">
        <v>64</v>
      </c>
      <c r="E1479">
        <v>46854</v>
      </c>
      <c r="F1479">
        <v>2631</v>
      </c>
      <c r="G1479">
        <v>504.37</v>
      </c>
      <c r="I1479">
        <v>198</v>
      </c>
      <c r="J1479" t="s">
        <v>40</v>
      </c>
      <c r="K1479" t="s">
        <v>65</v>
      </c>
      <c r="L1479" t="s">
        <v>38</v>
      </c>
      <c r="M1479" t="s">
        <v>43</v>
      </c>
    </row>
    <row r="1480" spans="1:13" x14ac:dyDescent="0.2">
      <c r="A1480" s="1">
        <v>46065</v>
      </c>
      <c r="B1480" t="s">
        <v>63</v>
      </c>
      <c r="C1480" t="s">
        <v>64</v>
      </c>
      <c r="E1480">
        <v>43020</v>
      </c>
      <c r="F1480">
        <v>2969</v>
      </c>
      <c r="G1480">
        <v>775.84</v>
      </c>
      <c r="I1480">
        <v>231</v>
      </c>
      <c r="J1480" t="s">
        <v>40</v>
      </c>
      <c r="K1480" t="s">
        <v>66</v>
      </c>
      <c r="L1480" t="s">
        <v>42</v>
      </c>
      <c r="M1480" t="s">
        <v>47</v>
      </c>
    </row>
    <row r="1481" spans="1:13" x14ac:dyDescent="0.2">
      <c r="A1481" s="1">
        <v>46066</v>
      </c>
      <c r="B1481" t="s">
        <v>35</v>
      </c>
      <c r="C1481" t="s">
        <v>36</v>
      </c>
      <c r="E1481">
        <v>62427</v>
      </c>
      <c r="F1481">
        <v>4443</v>
      </c>
      <c r="G1481">
        <v>1049.96</v>
      </c>
      <c r="I1481">
        <v>381</v>
      </c>
      <c r="J1481" t="s">
        <v>40</v>
      </c>
      <c r="K1481" t="s">
        <v>37</v>
      </c>
      <c r="L1481" t="s">
        <v>38</v>
      </c>
      <c r="M1481" t="s">
        <v>39</v>
      </c>
    </row>
    <row r="1482" spans="1:13" x14ac:dyDescent="0.2">
      <c r="A1482" s="1">
        <v>46066</v>
      </c>
      <c r="B1482" t="s">
        <v>35</v>
      </c>
      <c r="C1482" t="s">
        <v>36</v>
      </c>
      <c r="E1482">
        <v>51616</v>
      </c>
      <c r="F1482">
        <v>3668</v>
      </c>
      <c r="G1482">
        <v>828.55</v>
      </c>
      <c r="I1482">
        <v>269</v>
      </c>
      <c r="J1482" t="s">
        <v>40</v>
      </c>
      <c r="K1482" t="s">
        <v>41</v>
      </c>
      <c r="L1482" t="s">
        <v>42</v>
      </c>
      <c r="M1482" t="s">
        <v>43</v>
      </c>
    </row>
    <row r="1483" spans="1:13" x14ac:dyDescent="0.2">
      <c r="A1483" s="1">
        <v>46066</v>
      </c>
      <c r="B1483" t="s">
        <v>44</v>
      </c>
      <c r="C1483" t="s">
        <v>45</v>
      </c>
      <c r="E1483">
        <v>18867</v>
      </c>
      <c r="F1483">
        <v>1123</v>
      </c>
      <c r="G1483">
        <v>231.09</v>
      </c>
      <c r="I1483">
        <v>78</v>
      </c>
      <c r="J1483" t="s">
        <v>40</v>
      </c>
      <c r="K1483" t="s">
        <v>46</v>
      </c>
      <c r="L1483" t="s">
        <v>42</v>
      </c>
      <c r="M1483" t="s">
        <v>47</v>
      </c>
    </row>
    <row r="1484" spans="1:13" x14ac:dyDescent="0.2">
      <c r="A1484" s="1">
        <v>46066</v>
      </c>
      <c r="B1484" t="s">
        <v>44</v>
      </c>
      <c r="C1484" t="s">
        <v>48</v>
      </c>
      <c r="E1484">
        <v>39107</v>
      </c>
      <c r="F1484">
        <v>2512</v>
      </c>
      <c r="G1484">
        <v>509.92</v>
      </c>
      <c r="I1484">
        <v>169</v>
      </c>
      <c r="J1484" t="s">
        <v>40</v>
      </c>
      <c r="K1484" t="s">
        <v>49</v>
      </c>
      <c r="L1484" t="s">
        <v>50</v>
      </c>
      <c r="M1484" t="s">
        <v>51</v>
      </c>
    </row>
    <row r="1485" spans="1:13" x14ac:dyDescent="0.2">
      <c r="A1485" s="1">
        <v>46066</v>
      </c>
      <c r="B1485" t="s">
        <v>52</v>
      </c>
      <c r="C1485" t="s">
        <v>53</v>
      </c>
      <c r="E1485">
        <v>218049</v>
      </c>
      <c r="F1485">
        <v>2961</v>
      </c>
      <c r="G1485">
        <v>535.86</v>
      </c>
      <c r="I1485">
        <v>261</v>
      </c>
      <c r="J1485" t="s">
        <v>40</v>
      </c>
      <c r="K1485" t="s">
        <v>54</v>
      </c>
      <c r="L1485" t="s">
        <v>54</v>
      </c>
      <c r="M1485" t="s">
        <v>54</v>
      </c>
    </row>
    <row r="1486" spans="1:13" x14ac:dyDescent="0.2">
      <c r="A1486" s="1">
        <v>46066</v>
      </c>
      <c r="B1486" t="s">
        <v>52</v>
      </c>
      <c r="C1486" t="s">
        <v>55</v>
      </c>
      <c r="E1486">
        <v>196062</v>
      </c>
      <c r="F1486">
        <v>2438</v>
      </c>
      <c r="G1486">
        <v>536.1</v>
      </c>
      <c r="I1486">
        <v>207</v>
      </c>
      <c r="J1486" t="s">
        <v>40</v>
      </c>
      <c r="K1486" t="s">
        <v>54</v>
      </c>
      <c r="L1486" t="s">
        <v>54</v>
      </c>
      <c r="M1486" t="s">
        <v>54</v>
      </c>
    </row>
    <row r="1487" spans="1:13" x14ac:dyDescent="0.2">
      <c r="A1487" s="1">
        <v>46066</v>
      </c>
      <c r="B1487" t="s">
        <v>56</v>
      </c>
      <c r="C1487" t="s">
        <v>57</v>
      </c>
      <c r="E1487">
        <v>51859</v>
      </c>
      <c r="F1487">
        <v>2583</v>
      </c>
      <c r="G1487">
        <v>705.52</v>
      </c>
      <c r="I1487">
        <v>191</v>
      </c>
      <c r="J1487" t="s">
        <v>40</v>
      </c>
      <c r="K1487" t="s">
        <v>58</v>
      </c>
      <c r="L1487" t="s">
        <v>42</v>
      </c>
      <c r="M1487" t="s">
        <v>43</v>
      </c>
    </row>
    <row r="1488" spans="1:13" x14ac:dyDescent="0.2">
      <c r="A1488" s="1">
        <v>46066</v>
      </c>
      <c r="B1488" t="s">
        <v>56</v>
      </c>
      <c r="C1488" t="s">
        <v>57</v>
      </c>
      <c r="E1488">
        <v>53070</v>
      </c>
      <c r="F1488">
        <v>2825</v>
      </c>
      <c r="G1488">
        <v>670.57</v>
      </c>
      <c r="I1488">
        <v>176</v>
      </c>
      <c r="J1488" t="s">
        <v>40</v>
      </c>
      <c r="K1488" t="s">
        <v>59</v>
      </c>
      <c r="L1488" t="s">
        <v>38</v>
      </c>
      <c r="M1488" t="s">
        <v>43</v>
      </c>
    </row>
    <row r="1489" spans="1:13" x14ac:dyDescent="0.2">
      <c r="A1489" s="1">
        <v>46066</v>
      </c>
      <c r="B1489" t="s">
        <v>63</v>
      </c>
      <c r="C1489" t="s">
        <v>64</v>
      </c>
      <c r="E1489">
        <v>35939</v>
      </c>
      <c r="F1489">
        <v>2155</v>
      </c>
      <c r="G1489">
        <v>430.93</v>
      </c>
      <c r="I1489">
        <v>181</v>
      </c>
      <c r="J1489" t="s">
        <v>40</v>
      </c>
      <c r="K1489" t="s">
        <v>65</v>
      </c>
      <c r="L1489" t="s">
        <v>38</v>
      </c>
      <c r="M1489" t="s">
        <v>43</v>
      </c>
    </row>
    <row r="1490" spans="1:13" x14ac:dyDescent="0.2">
      <c r="A1490" s="1">
        <v>46066</v>
      </c>
      <c r="B1490" t="s">
        <v>63</v>
      </c>
      <c r="C1490" t="s">
        <v>64</v>
      </c>
      <c r="E1490">
        <v>43828</v>
      </c>
      <c r="F1490">
        <v>2321</v>
      </c>
      <c r="G1490">
        <v>464.84</v>
      </c>
      <c r="I1490">
        <v>150</v>
      </c>
      <c r="J1490" t="s">
        <v>40</v>
      </c>
      <c r="K1490" t="s">
        <v>66</v>
      </c>
      <c r="L1490" t="s">
        <v>42</v>
      </c>
      <c r="M1490" t="s">
        <v>47</v>
      </c>
    </row>
    <row r="1491" spans="1:13" x14ac:dyDescent="0.2">
      <c r="A1491" s="1">
        <v>46067</v>
      </c>
      <c r="B1491" t="s">
        <v>35</v>
      </c>
      <c r="C1491" t="s">
        <v>36</v>
      </c>
      <c r="E1491">
        <v>53331</v>
      </c>
      <c r="F1491">
        <v>2759</v>
      </c>
      <c r="G1491">
        <v>526.05999999999995</v>
      </c>
      <c r="I1491">
        <v>253</v>
      </c>
      <c r="J1491" t="s">
        <v>40</v>
      </c>
      <c r="K1491" t="s">
        <v>37</v>
      </c>
      <c r="L1491" t="s">
        <v>38</v>
      </c>
      <c r="M1491" t="s">
        <v>39</v>
      </c>
    </row>
    <row r="1492" spans="1:13" x14ac:dyDescent="0.2">
      <c r="A1492" s="1">
        <v>46067</v>
      </c>
      <c r="B1492" t="s">
        <v>35</v>
      </c>
      <c r="C1492" t="s">
        <v>36</v>
      </c>
      <c r="E1492">
        <v>67659</v>
      </c>
      <c r="F1492">
        <v>4244</v>
      </c>
      <c r="G1492">
        <v>1088.27</v>
      </c>
      <c r="I1492">
        <v>325</v>
      </c>
      <c r="J1492" t="s">
        <v>40</v>
      </c>
      <c r="K1492" t="s">
        <v>41</v>
      </c>
      <c r="L1492" t="s">
        <v>42</v>
      </c>
      <c r="M1492" t="s">
        <v>43</v>
      </c>
    </row>
    <row r="1493" spans="1:13" x14ac:dyDescent="0.2">
      <c r="A1493" s="1">
        <v>46067</v>
      </c>
      <c r="B1493" t="s">
        <v>44</v>
      </c>
      <c r="C1493" t="s">
        <v>45</v>
      </c>
      <c r="E1493">
        <v>20430</v>
      </c>
      <c r="F1493">
        <v>1396</v>
      </c>
      <c r="G1493">
        <v>303.10000000000002</v>
      </c>
      <c r="I1493">
        <v>94</v>
      </c>
      <c r="J1493" t="s">
        <v>40</v>
      </c>
      <c r="K1493" t="s">
        <v>46</v>
      </c>
      <c r="L1493" t="s">
        <v>42</v>
      </c>
      <c r="M1493" t="s">
        <v>47</v>
      </c>
    </row>
    <row r="1494" spans="1:13" x14ac:dyDescent="0.2">
      <c r="A1494" s="1">
        <v>46067</v>
      </c>
      <c r="B1494" t="s">
        <v>44</v>
      </c>
      <c r="C1494" t="s">
        <v>48</v>
      </c>
      <c r="E1494">
        <v>44806</v>
      </c>
      <c r="F1494">
        <v>2678</v>
      </c>
      <c r="G1494">
        <v>745.66</v>
      </c>
      <c r="I1494">
        <v>245</v>
      </c>
      <c r="J1494" t="s">
        <v>40</v>
      </c>
      <c r="K1494" t="s">
        <v>49</v>
      </c>
      <c r="L1494" t="s">
        <v>50</v>
      </c>
      <c r="M1494" t="s">
        <v>51</v>
      </c>
    </row>
    <row r="1495" spans="1:13" x14ac:dyDescent="0.2">
      <c r="A1495" s="1">
        <v>46067</v>
      </c>
      <c r="B1495" t="s">
        <v>52</v>
      </c>
      <c r="C1495" t="s">
        <v>53</v>
      </c>
      <c r="E1495">
        <v>202776</v>
      </c>
      <c r="F1495">
        <v>2633</v>
      </c>
      <c r="G1495">
        <v>671.46</v>
      </c>
      <c r="I1495">
        <v>158</v>
      </c>
      <c r="J1495" t="s">
        <v>40</v>
      </c>
      <c r="K1495" t="s">
        <v>54</v>
      </c>
      <c r="L1495" t="s">
        <v>54</v>
      </c>
      <c r="M1495" t="s">
        <v>54</v>
      </c>
    </row>
    <row r="1496" spans="1:13" x14ac:dyDescent="0.2">
      <c r="A1496" s="1">
        <v>46067</v>
      </c>
      <c r="B1496" t="s">
        <v>52</v>
      </c>
      <c r="C1496" t="s">
        <v>55</v>
      </c>
      <c r="E1496">
        <v>254254</v>
      </c>
      <c r="F1496">
        <v>3812</v>
      </c>
      <c r="G1496">
        <v>868.5</v>
      </c>
      <c r="I1496">
        <v>292</v>
      </c>
      <c r="J1496" t="s">
        <v>40</v>
      </c>
      <c r="K1496" t="s">
        <v>54</v>
      </c>
      <c r="L1496" t="s">
        <v>54</v>
      </c>
      <c r="M1496" t="s">
        <v>54</v>
      </c>
    </row>
    <row r="1497" spans="1:13" x14ac:dyDescent="0.2">
      <c r="A1497" s="1">
        <v>46067</v>
      </c>
      <c r="B1497" t="s">
        <v>56</v>
      </c>
      <c r="C1497" t="s">
        <v>57</v>
      </c>
      <c r="E1497">
        <v>68688</v>
      </c>
      <c r="F1497">
        <v>3869</v>
      </c>
      <c r="G1497">
        <v>1029.31</v>
      </c>
      <c r="I1497">
        <v>332</v>
      </c>
      <c r="J1497" t="s">
        <v>40</v>
      </c>
      <c r="K1497" t="s">
        <v>58</v>
      </c>
      <c r="L1497" t="s">
        <v>42</v>
      </c>
      <c r="M1497" t="s">
        <v>43</v>
      </c>
    </row>
    <row r="1498" spans="1:13" x14ac:dyDescent="0.2">
      <c r="A1498" s="1">
        <v>46067</v>
      </c>
      <c r="B1498" t="s">
        <v>56</v>
      </c>
      <c r="C1498" t="s">
        <v>57</v>
      </c>
      <c r="E1498">
        <v>63939</v>
      </c>
      <c r="F1498">
        <v>4567</v>
      </c>
      <c r="G1498">
        <v>1140.95</v>
      </c>
      <c r="I1498">
        <v>335</v>
      </c>
      <c r="J1498" t="s">
        <v>40</v>
      </c>
      <c r="K1498" t="s">
        <v>59</v>
      </c>
      <c r="L1498" t="s">
        <v>38</v>
      </c>
      <c r="M1498" t="s">
        <v>43</v>
      </c>
    </row>
    <row r="1499" spans="1:13" x14ac:dyDescent="0.2">
      <c r="A1499" s="1">
        <v>46067</v>
      </c>
      <c r="B1499" t="s">
        <v>63</v>
      </c>
      <c r="C1499" t="s">
        <v>64</v>
      </c>
      <c r="E1499">
        <v>16881</v>
      </c>
      <c r="F1499">
        <v>815</v>
      </c>
      <c r="G1499">
        <v>163.88</v>
      </c>
      <c r="I1499">
        <v>63</v>
      </c>
      <c r="J1499" t="s">
        <v>40</v>
      </c>
      <c r="K1499" t="s">
        <v>65</v>
      </c>
      <c r="L1499" t="s">
        <v>38</v>
      </c>
      <c r="M1499" t="s">
        <v>43</v>
      </c>
    </row>
    <row r="1500" spans="1:13" x14ac:dyDescent="0.2">
      <c r="A1500" s="1">
        <v>46067</v>
      </c>
      <c r="B1500" t="s">
        <v>63</v>
      </c>
      <c r="C1500" t="s">
        <v>64</v>
      </c>
      <c r="E1500">
        <v>50123</v>
      </c>
      <c r="F1500">
        <v>2840</v>
      </c>
      <c r="G1500">
        <v>755.96</v>
      </c>
      <c r="I1500">
        <v>177</v>
      </c>
      <c r="J1500" t="s">
        <v>40</v>
      </c>
      <c r="K1500" t="s">
        <v>66</v>
      </c>
      <c r="L1500" t="s">
        <v>42</v>
      </c>
      <c r="M1500" t="s">
        <v>47</v>
      </c>
    </row>
    <row r="1501" spans="1:13" x14ac:dyDescent="0.2">
      <c r="A1501" s="1">
        <v>46068</v>
      </c>
      <c r="B1501" t="s">
        <v>35</v>
      </c>
      <c r="C1501" t="s">
        <v>36</v>
      </c>
      <c r="E1501">
        <v>43561</v>
      </c>
      <c r="F1501">
        <v>2338</v>
      </c>
      <c r="G1501">
        <v>531.04</v>
      </c>
      <c r="I1501">
        <v>185</v>
      </c>
      <c r="J1501" t="s">
        <v>40</v>
      </c>
      <c r="K1501" t="s">
        <v>37</v>
      </c>
      <c r="L1501" t="s">
        <v>38</v>
      </c>
      <c r="M1501" t="s">
        <v>39</v>
      </c>
    </row>
    <row r="1502" spans="1:13" x14ac:dyDescent="0.2">
      <c r="A1502" s="1">
        <v>46068</v>
      </c>
      <c r="B1502" t="s">
        <v>35</v>
      </c>
      <c r="C1502" t="s">
        <v>36</v>
      </c>
      <c r="E1502">
        <v>54369</v>
      </c>
      <c r="F1502">
        <v>2849</v>
      </c>
      <c r="G1502">
        <v>633.6</v>
      </c>
      <c r="I1502">
        <v>204</v>
      </c>
      <c r="J1502" t="s">
        <v>40</v>
      </c>
      <c r="K1502" t="s">
        <v>41</v>
      </c>
      <c r="L1502" t="s">
        <v>42</v>
      </c>
      <c r="M1502" t="s">
        <v>43</v>
      </c>
    </row>
    <row r="1503" spans="1:13" x14ac:dyDescent="0.2">
      <c r="A1503" s="1">
        <v>46068</v>
      </c>
      <c r="B1503" t="s">
        <v>44</v>
      </c>
      <c r="C1503" t="s">
        <v>45</v>
      </c>
      <c r="E1503">
        <v>55038</v>
      </c>
      <c r="F1503">
        <v>3124</v>
      </c>
      <c r="G1503">
        <v>687.47</v>
      </c>
      <c r="I1503">
        <v>228</v>
      </c>
      <c r="J1503" t="s">
        <v>40</v>
      </c>
      <c r="K1503" t="s">
        <v>46</v>
      </c>
      <c r="L1503" t="s">
        <v>42</v>
      </c>
      <c r="M1503" t="s">
        <v>47</v>
      </c>
    </row>
    <row r="1504" spans="1:13" x14ac:dyDescent="0.2">
      <c r="A1504" s="1">
        <v>46068</v>
      </c>
      <c r="B1504" t="s">
        <v>44</v>
      </c>
      <c r="C1504" t="s">
        <v>48</v>
      </c>
      <c r="E1504">
        <v>29750</v>
      </c>
      <c r="F1504">
        <v>2127</v>
      </c>
      <c r="G1504">
        <v>528.77</v>
      </c>
      <c r="I1504">
        <v>186</v>
      </c>
      <c r="J1504" t="s">
        <v>40</v>
      </c>
      <c r="K1504" t="s">
        <v>49</v>
      </c>
      <c r="L1504" t="s">
        <v>50</v>
      </c>
      <c r="M1504" t="s">
        <v>51</v>
      </c>
    </row>
    <row r="1505" spans="1:13" x14ac:dyDescent="0.2">
      <c r="A1505" s="1">
        <v>46068</v>
      </c>
      <c r="B1505" t="s">
        <v>52</v>
      </c>
      <c r="C1505" t="s">
        <v>53</v>
      </c>
      <c r="E1505">
        <v>200611</v>
      </c>
      <c r="F1505">
        <v>3013</v>
      </c>
      <c r="G1505">
        <v>709.66</v>
      </c>
      <c r="I1505">
        <v>268</v>
      </c>
      <c r="J1505" t="s">
        <v>40</v>
      </c>
      <c r="K1505" t="s">
        <v>54</v>
      </c>
      <c r="L1505" t="s">
        <v>54</v>
      </c>
      <c r="M1505" t="s">
        <v>54</v>
      </c>
    </row>
    <row r="1506" spans="1:13" x14ac:dyDescent="0.2">
      <c r="A1506" s="1">
        <v>46068</v>
      </c>
      <c r="B1506" t="s">
        <v>52</v>
      </c>
      <c r="C1506" t="s">
        <v>55</v>
      </c>
      <c r="E1506">
        <v>185116</v>
      </c>
      <c r="F1506">
        <v>2171</v>
      </c>
      <c r="G1506">
        <v>599.01</v>
      </c>
      <c r="I1506">
        <v>132</v>
      </c>
      <c r="J1506" t="s">
        <v>40</v>
      </c>
      <c r="K1506" t="s">
        <v>54</v>
      </c>
      <c r="L1506" t="s">
        <v>54</v>
      </c>
      <c r="M1506" t="s">
        <v>54</v>
      </c>
    </row>
    <row r="1507" spans="1:13" x14ac:dyDescent="0.2">
      <c r="A1507" s="1">
        <v>46068</v>
      </c>
      <c r="B1507" t="s">
        <v>56</v>
      </c>
      <c r="C1507" t="s">
        <v>57</v>
      </c>
      <c r="E1507">
        <v>17020</v>
      </c>
      <c r="F1507">
        <v>889</v>
      </c>
      <c r="G1507">
        <v>204.43</v>
      </c>
      <c r="I1507">
        <v>84</v>
      </c>
      <c r="J1507" t="s">
        <v>40</v>
      </c>
      <c r="K1507" t="s">
        <v>58</v>
      </c>
      <c r="L1507" t="s">
        <v>42</v>
      </c>
      <c r="M1507" t="s">
        <v>43</v>
      </c>
    </row>
    <row r="1508" spans="1:13" x14ac:dyDescent="0.2">
      <c r="A1508" s="1">
        <v>46068</v>
      </c>
      <c r="B1508" t="s">
        <v>56</v>
      </c>
      <c r="C1508" t="s">
        <v>57</v>
      </c>
      <c r="E1508">
        <v>70211</v>
      </c>
      <c r="F1508">
        <v>4269</v>
      </c>
      <c r="G1508">
        <v>903.2</v>
      </c>
      <c r="I1508">
        <v>317</v>
      </c>
      <c r="J1508" t="s">
        <v>40</v>
      </c>
      <c r="K1508" t="s">
        <v>59</v>
      </c>
      <c r="L1508" t="s">
        <v>38</v>
      </c>
      <c r="M1508" t="s">
        <v>43</v>
      </c>
    </row>
    <row r="1509" spans="1:13" x14ac:dyDescent="0.2">
      <c r="A1509" s="1">
        <v>46068</v>
      </c>
      <c r="B1509" t="s">
        <v>63</v>
      </c>
      <c r="C1509" t="s">
        <v>64</v>
      </c>
      <c r="E1509">
        <v>42315</v>
      </c>
      <c r="F1509">
        <v>2602</v>
      </c>
      <c r="G1509">
        <v>616.11</v>
      </c>
      <c r="I1509">
        <v>184</v>
      </c>
      <c r="J1509" t="s">
        <v>40</v>
      </c>
      <c r="K1509" t="s">
        <v>65</v>
      </c>
      <c r="L1509" t="s">
        <v>38</v>
      </c>
      <c r="M1509" t="s">
        <v>43</v>
      </c>
    </row>
    <row r="1510" spans="1:13" x14ac:dyDescent="0.2">
      <c r="A1510" s="1">
        <v>46068</v>
      </c>
      <c r="B1510" t="s">
        <v>63</v>
      </c>
      <c r="C1510" t="s">
        <v>64</v>
      </c>
      <c r="E1510">
        <v>33126</v>
      </c>
      <c r="F1510">
        <v>1637</v>
      </c>
      <c r="G1510">
        <v>427.88</v>
      </c>
      <c r="I1510">
        <v>121</v>
      </c>
      <c r="J1510" t="s">
        <v>40</v>
      </c>
      <c r="K1510" t="s">
        <v>66</v>
      </c>
      <c r="L1510" t="s">
        <v>42</v>
      </c>
      <c r="M1510" t="s">
        <v>47</v>
      </c>
    </row>
    <row r="1511" spans="1:13" x14ac:dyDescent="0.2">
      <c r="A1511" s="1">
        <v>46069</v>
      </c>
      <c r="B1511" t="s">
        <v>35</v>
      </c>
      <c r="C1511" t="s">
        <v>36</v>
      </c>
      <c r="E1511">
        <v>26097</v>
      </c>
      <c r="F1511">
        <v>1534</v>
      </c>
      <c r="G1511">
        <v>327.45999999999998</v>
      </c>
      <c r="I1511">
        <v>106</v>
      </c>
      <c r="J1511" t="s">
        <v>40</v>
      </c>
      <c r="K1511" t="s">
        <v>37</v>
      </c>
      <c r="L1511" t="s">
        <v>38</v>
      </c>
      <c r="M1511" t="s">
        <v>39</v>
      </c>
    </row>
    <row r="1512" spans="1:13" x14ac:dyDescent="0.2">
      <c r="A1512" s="1">
        <v>46069</v>
      </c>
      <c r="B1512" t="s">
        <v>35</v>
      </c>
      <c r="C1512" t="s">
        <v>36</v>
      </c>
      <c r="E1512">
        <v>43022</v>
      </c>
      <c r="F1512">
        <v>2420</v>
      </c>
      <c r="G1512">
        <v>535.25</v>
      </c>
      <c r="I1512">
        <v>167</v>
      </c>
      <c r="J1512" t="s">
        <v>40</v>
      </c>
      <c r="K1512" t="s">
        <v>41</v>
      </c>
      <c r="L1512" t="s">
        <v>42</v>
      </c>
      <c r="M1512" t="s">
        <v>43</v>
      </c>
    </row>
    <row r="1513" spans="1:13" x14ac:dyDescent="0.2">
      <c r="A1513" s="1">
        <v>46069</v>
      </c>
      <c r="B1513" t="s">
        <v>44</v>
      </c>
      <c r="C1513" t="s">
        <v>45</v>
      </c>
      <c r="E1513">
        <v>36860</v>
      </c>
      <c r="F1513">
        <v>2279</v>
      </c>
      <c r="G1513">
        <v>558.32000000000005</v>
      </c>
      <c r="I1513">
        <v>174</v>
      </c>
      <c r="J1513" t="s">
        <v>40</v>
      </c>
      <c r="K1513" t="s">
        <v>46</v>
      </c>
      <c r="L1513" t="s">
        <v>42</v>
      </c>
      <c r="M1513" t="s">
        <v>47</v>
      </c>
    </row>
    <row r="1514" spans="1:13" x14ac:dyDescent="0.2">
      <c r="A1514" s="1">
        <v>46069</v>
      </c>
      <c r="B1514" t="s">
        <v>44</v>
      </c>
      <c r="C1514" t="s">
        <v>48</v>
      </c>
      <c r="E1514">
        <v>45843</v>
      </c>
      <c r="F1514">
        <v>2591</v>
      </c>
      <c r="G1514">
        <v>640.79999999999995</v>
      </c>
      <c r="I1514">
        <v>193</v>
      </c>
      <c r="J1514" t="s">
        <v>40</v>
      </c>
      <c r="K1514" t="s">
        <v>49</v>
      </c>
      <c r="L1514" t="s">
        <v>50</v>
      </c>
      <c r="M1514" t="s">
        <v>51</v>
      </c>
    </row>
    <row r="1515" spans="1:13" x14ac:dyDescent="0.2">
      <c r="A1515" s="1">
        <v>46069</v>
      </c>
      <c r="B1515" t="s">
        <v>52</v>
      </c>
      <c r="C1515" t="s">
        <v>53</v>
      </c>
      <c r="E1515">
        <v>237728</v>
      </c>
      <c r="F1515">
        <v>3672</v>
      </c>
      <c r="G1515">
        <v>800.89</v>
      </c>
      <c r="I1515">
        <v>244</v>
      </c>
      <c r="J1515" t="s">
        <v>40</v>
      </c>
      <c r="K1515" t="s">
        <v>54</v>
      </c>
      <c r="L1515" t="s">
        <v>54</v>
      </c>
      <c r="M1515" t="s">
        <v>54</v>
      </c>
    </row>
    <row r="1516" spans="1:13" x14ac:dyDescent="0.2">
      <c r="A1516" s="1">
        <v>46069</v>
      </c>
      <c r="B1516" t="s">
        <v>52</v>
      </c>
      <c r="C1516" t="s">
        <v>55</v>
      </c>
      <c r="E1516">
        <v>174376</v>
      </c>
      <c r="F1516">
        <v>2675</v>
      </c>
      <c r="G1516">
        <v>652.86</v>
      </c>
      <c r="I1516">
        <v>246</v>
      </c>
      <c r="J1516" t="s">
        <v>40</v>
      </c>
      <c r="K1516" t="s">
        <v>54</v>
      </c>
      <c r="L1516" t="s">
        <v>54</v>
      </c>
      <c r="M1516" t="s">
        <v>54</v>
      </c>
    </row>
    <row r="1517" spans="1:13" x14ac:dyDescent="0.2">
      <c r="A1517" s="1">
        <v>46069</v>
      </c>
      <c r="B1517" t="s">
        <v>56</v>
      </c>
      <c r="C1517" t="s">
        <v>57</v>
      </c>
      <c r="E1517">
        <v>60230</v>
      </c>
      <c r="F1517">
        <v>3803</v>
      </c>
      <c r="G1517">
        <v>901.93</v>
      </c>
      <c r="I1517">
        <v>338</v>
      </c>
      <c r="J1517" t="s">
        <v>40</v>
      </c>
      <c r="K1517" t="s">
        <v>58</v>
      </c>
      <c r="L1517" t="s">
        <v>42</v>
      </c>
      <c r="M1517" t="s">
        <v>43</v>
      </c>
    </row>
    <row r="1518" spans="1:13" x14ac:dyDescent="0.2">
      <c r="A1518" s="1">
        <v>46069</v>
      </c>
      <c r="B1518" t="s">
        <v>56</v>
      </c>
      <c r="C1518" t="s">
        <v>57</v>
      </c>
      <c r="E1518">
        <v>23480</v>
      </c>
      <c r="F1518">
        <v>1171</v>
      </c>
      <c r="G1518">
        <v>251.02</v>
      </c>
      <c r="I1518">
        <v>79</v>
      </c>
      <c r="J1518" t="s">
        <v>40</v>
      </c>
      <c r="K1518" t="s">
        <v>59</v>
      </c>
      <c r="L1518" t="s">
        <v>38</v>
      </c>
      <c r="M1518" t="s">
        <v>43</v>
      </c>
    </row>
    <row r="1519" spans="1:13" x14ac:dyDescent="0.2">
      <c r="A1519" s="1">
        <v>46069</v>
      </c>
      <c r="B1519" t="s">
        <v>63</v>
      </c>
      <c r="C1519" t="s">
        <v>64</v>
      </c>
      <c r="E1519">
        <v>46550</v>
      </c>
      <c r="F1519">
        <v>3028</v>
      </c>
      <c r="G1519">
        <v>728.35</v>
      </c>
      <c r="I1519">
        <v>214</v>
      </c>
      <c r="J1519" t="s">
        <v>40</v>
      </c>
      <c r="K1519" t="s">
        <v>65</v>
      </c>
      <c r="L1519" t="s">
        <v>38</v>
      </c>
      <c r="M1519" t="s">
        <v>43</v>
      </c>
    </row>
    <row r="1520" spans="1:13" x14ac:dyDescent="0.2">
      <c r="A1520" s="1">
        <v>46069</v>
      </c>
      <c r="B1520" t="s">
        <v>63</v>
      </c>
      <c r="C1520" t="s">
        <v>64</v>
      </c>
      <c r="E1520">
        <v>62649</v>
      </c>
      <c r="F1520">
        <v>4181</v>
      </c>
      <c r="G1520">
        <v>1145.08</v>
      </c>
      <c r="I1520">
        <v>355</v>
      </c>
      <c r="J1520" t="s">
        <v>40</v>
      </c>
      <c r="K1520" t="s">
        <v>66</v>
      </c>
      <c r="L1520" t="s">
        <v>42</v>
      </c>
      <c r="M1520" t="s">
        <v>47</v>
      </c>
    </row>
    <row r="1521" spans="1:13" x14ac:dyDescent="0.2">
      <c r="A1521" s="1">
        <v>46070</v>
      </c>
      <c r="B1521" t="s">
        <v>35</v>
      </c>
      <c r="C1521" t="s">
        <v>36</v>
      </c>
      <c r="E1521">
        <v>44140</v>
      </c>
      <c r="F1521">
        <v>3141</v>
      </c>
      <c r="G1521">
        <v>695.41</v>
      </c>
      <c r="I1521">
        <v>195</v>
      </c>
      <c r="J1521" t="s">
        <v>40</v>
      </c>
      <c r="K1521" t="s">
        <v>37</v>
      </c>
      <c r="L1521" t="s">
        <v>38</v>
      </c>
      <c r="M1521" t="s">
        <v>39</v>
      </c>
    </row>
    <row r="1522" spans="1:13" x14ac:dyDescent="0.2">
      <c r="A1522" s="1">
        <v>46070</v>
      </c>
      <c r="B1522" t="s">
        <v>35</v>
      </c>
      <c r="C1522" t="s">
        <v>36</v>
      </c>
      <c r="E1522">
        <v>11513</v>
      </c>
      <c r="F1522">
        <v>587</v>
      </c>
      <c r="G1522">
        <v>119.43</v>
      </c>
      <c r="I1522">
        <v>38</v>
      </c>
      <c r="J1522" t="s">
        <v>40</v>
      </c>
      <c r="K1522" t="s">
        <v>41</v>
      </c>
      <c r="L1522" t="s">
        <v>42</v>
      </c>
      <c r="M1522" t="s">
        <v>43</v>
      </c>
    </row>
    <row r="1523" spans="1:13" x14ac:dyDescent="0.2">
      <c r="A1523" s="1">
        <v>46070</v>
      </c>
      <c r="B1523" t="s">
        <v>44</v>
      </c>
      <c r="C1523" t="s">
        <v>45</v>
      </c>
      <c r="E1523">
        <v>15247</v>
      </c>
      <c r="F1523">
        <v>808</v>
      </c>
      <c r="G1523">
        <v>177.52</v>
      </c>
      <c r="I1523">
        <v>47</v>
      </c>
      <c r="J1523" t="s">
        <v>40</v>
      </c>
      <c r="K1523" t="s">
        <v>46</v>
      </c>
      <c r="L1523" t="s">
        <v>42</v>
      </c>
      <c r="M1523" t="s">
        <v>47</v>
      </c>
    </row>
    <row r="1524" spans="1:13" x14ac:dyDescent="0.2">
      <c r="A1524" s="1">
        <v>46070</v>
      </c>
      <c r="B1524" t="s">
        <v>44</v>
      </c>
      <c r="C1524" t="s">
        <v>48</v>
      </c>
      <c r="E1524">
        <v>41010</v>
      </c>
      <c r="F1524">
        <v>2508</v>
      </c>
      <c r="G1524">
        <v>458.05</v>
      </c>
      <c r="I1524">
        <v>177</v>
      </c>
      <c r="J1524" t="s">
        <v>40</v>
      </c>
      <c r="K1524" t="s">
        <v>49</v>
      </c>
      <c r="L1524" t="s">
        <v>50</v>
      </c>
      <c r="M1524" t="s">
        <v>51</v>
      </c>
    </row>
    <row r="1525" spans="1:13" x14ac:dyDescent="0.2">
      <c r="A1525" s="1">
        <v>46070</v>
      </c>
      <c r="B1525" t="s">
        <v>52</v>
      </c>
      <c r="C1525" t="s">
        <v>53</v>
      </c>
      <c r="E1525">
        <v>100911</v>
      </c>
      <c r="F1525">
        <v>1162</v>
      </c>
      <c r="G1525">
        <v>280.98</v>
      </c>
      <c r="I1525">
        <v>67</v>
      </c>
      <c r="J1525" t="s">
        <v>40</v>
      </c>
      <c r="K1525" t="s">
        <v>54</v>
      </c>
      <c r="L1525" t="s">
        <v>54</v>
      </c>
      <c r="M1525" t="s">
        <v>54</v>
      </c>
    </row>
    <row r="1526" spans="1:13" x14ac:dyDescent="0.2">
      <c r="A1526" s="1">
        <v>46070</v>
      </c>
      <c r="B1526" t="s">
        <v>52</v>
      </c>
      <c r="C1526" t="s">
        <v>55</v>
      </c>
      <c r="E1526">
        <v>141097</v>
      </c>
      <c r="F1526">
        <v>1770</v>
      </c>
      <c r="G1526">
        <v>362.39</v>
      </c>
      <c r="I1526">
        <v>117</v>
      </c>
      <c r="J1526" t="s">
        <v>40</v>
      </c>
      <c r="K1526" t="s">
        <v>54</v>
      </c>
      <c r="L1526" t="s">
        <v>54</v>
      </c>
      <c r="M1526" t="s">
        <v>54</v>
      </c>
    </row>
    <row r="1527" spans="1:13" x14ac:dyDescent="0.2">
      <c r="A1527" s="1">
        <v>46070</v>
      </c>
      <c r="B1527" t="s">
        <v>56</v>
      </c>
      <c r="C1527" t="s">
        <v>57</v>
      </c>
      <c r="E1527">
        <v>18284</v>
      </c>
      <c r="F1527">
        <v>935</v>
      </c>
      <c r="G1527">
        <v>246.7</v>
      </c>
      <c r="I1527">
        <v>52</v>
      </c>
      <c r="J1527" t="s">
        <v>40</v>
      </c>
      <c r="K1527" t="s">
        <v>58</v>
      </c>
      <c r="L1527" t="s">
        <v>42</v>
      </c>
      <c r="M1527" t="s">
        <v>43</v>
      </c>
    </row>
    <row r="1528" spans="1:13" x14ac:dyDescent="0.2">
      <c r="A1528" s="1">
        <v>46070</v>
      </c>
      <c r="B1528" t="s">
        <v>56</v>
      </c>
      <c r="C1528" t="s">
        <v>57</v>
      </c>
      <c r="E1528">
        <v>33385</v>
      </c>
      <c r="F1528">
        <v>2291</v>
      </c>
      <c r="G1528">
        <v>486.88</v>
      </c>
      <c r="I1528">
        <v>169</v>
      </c>
      <c r="J1528" t="s">
        <v>40</v>
      </c>
      <c r="K1528" t="s">
        <v>59</v>
      </c>
      <c r="L1528" t="s">
        <v>38</v>
      </c>
      <c r="M1528" t="s">
        <v>43</v>
      </c>
    </row>
    <row r="1529" spans="1:13" x14ac:dyDescent="0.2">
      <c r="A1529" s="1">
        <v>46071</v>
      </c>
      <c r="B1529" t="s">
        <v>35</v>
      </c>
      <c r="C1529" t="s">
        <v>36</v>
      </c>
      <c r="E1529">
        <v>27852</v>
      </c>
      <c r="F1529">
        <v>1703</v>
      </c>
      <c r="G1529">
        <v>329.55</v>
      </c>
      <c r="I1529">
        <v>158</v>
      </c>
      <c r="J1529" t="s">
        <v>40</v>
      </c>
      <c r="K1529" t="s">
        <v>37</v>
      </c>
      <c r="L1529" t="s">
        <v>38</v>
      </c>
      <c r="M1529" t="s">
        <v>39</v>
      </c>
    </row>
    <row r="1530" spans="1:13" x14ac:dyDescent="0.2">
      <c r="A1530" s="1">
        <v>46071</v>
      </c>
      <c r="B1530" t="s">
        <v>35</v>
      </c>
      <c r="C1530" t="s">
        <v>36</v>
      </c>
      <c r="E1530">
        <v>21602</v>
      </c>
      <c r="F1530">
        <v>1343</v>
      </c>
      <c r="G1530">
        <v>303.05</v>
      </c>
      <c r="I1530">
        <v>114</v>
      </c>
      <c r="J1530" t="s">
        <v>40</v>
      </c>
      <c r="K1530" t="s">
        <v>41</v>
      </c>
      <c r="L1530" t="s">
        <v>42</v>
      </c>
      <c r="M1530" t="s">
        <v>43</v>
      </c>
    </row>
    <row r="1531" spans="1:13" x14ac:dyDescent="0.2">
      <c r="A1531" s="1">
        <v>46071</v>
      </c>
      <c r="B1531" t="s">
        <v>44</v>
      </c>
      <c r="C1531" t="s">
        <v>45</v>
      </c>
      <c r="E1531">
        <v>38506</v>
      </c>
      <c r="F1531">
        <v>2332</v>
      </c>
      <c r="G1531">
        <v>568.9</v>
      </c>
      <c r="I1531">
        <v>157</v>
      </c>
      <c r="J1531" t="s">
        <v>40</v>
      </c>
      <c r="K1531" t="s">
        <v>46</v>
      </c>
      <c r="L1531" t="s">
        <v>42</v>
      </c>
      <c r="M1531" t="s">
        <v>47</v>
      </c>
    </row>
    <row r="1532" spans="1:13" x14ac:dyDescent="0.2">
      <c r="A1532" s="1">
        <v>46071</v>
      </c>
      <c r="B1532" t="s">
        <v>44</v>
      </c>
      <c r="C1532" t="s">
        <v>48</v>
      </c>
      <c r="E1532">
        <v>32752</v>
      </c>
      <c r="F1532">
        <v>1950</v>
      </c>
      <c r="G1532">
        <v>395.29</v>
      </c>
      <c r="I1532">
        <v>114</v>
      </c>
      <c r="J1532" t="s">
        <v>40</v>
      </c>
      <c r="K1532" t="s">
        <v>49</v>
      </c>
      <c r="L1532" t="s">
        <v>50</v>
      </c>
      <c r="M1532" t="s">
        <v>51</v>
      </c>
    </row>
    <row r="1533" spans="1:13" x14ac:dyDescent="0.2">
      <c r="A1533" s="1">
        <v>46071</v>
      </c>
      <c r="B1533" t="s">
        <v>52</v>
      </c>
      <c r="C1533" t="s">
        <v>53</v>
      </c>
      <c r="E1533">
        <v>130352</v>
      </c>
      <c r="F1533">
        <v>1672</v>
      </c>
      <c r="G1533">
        <v>344.4</v>
      </c>
      <c r="I1533">
        <v>112</v>
      </c>
      <c r="J1533" t="s">
        <v>40</v>
      </c>
      <c r="K1533" t="s">
        <v>54</v>
      </c>
      <c r="L1533" t="s">
        <v>54</v>
      </c>
      <c r="M1533" t="s">
        <v>54</v>
      </c>
    </row>
    <row r="1534" spans="1:13" x14ac:dyDescent="0.2">
      <c r="A1534" s="1">
        <v>46071</v>
      </c>
      <c r="B1534" t="s">
        <v>52</v>
      </c>
      <c r="C1534" t="s">
        <v>55</v>
      </c>
      <c r="E1534">
        <v>90012</v>
      </c>
      <c r="F1534">
        <v>1225</v>
      </c>
      <c r="G1534">
        <v>313.39</v>
      </c>
      <c r="I1534">
        <v>74</v>
      </c>
      <c r="J1534" t="s">
        <v>40</v>
      </c>
      <c r="K1534" t="s">
        <v>54</v>
      </c>
      <c r="L1534" t="s">
        <v>54</v>
      </c>
      <c r="M1534" t="s">
        <v>54</v>
      </c>
    </row>
    <row r="1535" spans="1:13" x14ac:dyDescent="0.2">
      <c r="A1535" s="1">
        <v>46071</v>
      </c>
      <c r="B1535" t="s">
        <v>56</v>
      </c>
      <c r="C1535" t="s">
        <v>57</v>
      </c>
      <c r="E1535">
        <v>28793</v>
      </c>
      <c r="F1535">
        <v>1706</v>
      </c>
      <c r="G1535">
        <v>308.5</v>
      </c>
      <c r="I1535">
        <v>156</v>
      </c>
      <c r="J1535" t="s">
        <v>40</v>
      </c>
      <c r="K1535" t="s">
        <v>58</v>
      </c>
      <c r="L1535" t="s">
        <v>42</v>
      </c>
      <c r="M1535" t="s">
        <v>43</v>
      </c>
    </row>
    <row r="1536" spans="1:13" x14ac:dyDescent="0.2">
      <c r="A1536" s="1">
        <v>46071</v>
      </c>
      <c r="B1536" t="s">
        <v>56</v>
      </c>
      <c r="C1536" t="s">
        <v>57</v>
      </c>
      <c r="E1536">
        <v>41265</v>
      </c>
      <c r="F1536">
        <v>2277</v>
      </c>
      <c r="G1536">
        <v>584.25</v>
      </c>
      <c r="I1536">
        <v>197</v>
      </c>
      <c r="J1536" t="s">
        <v>40</v>
      </c>
      <c r="K1536" t="s">
        <v>59</v>
      </c>
      <c r="L1536" t="s">
        <v>38</v>
      </c>
      <c r="M1536" t="s">
        <v>43</v>
      </c>
    </row>
    <row r="1537" spans="1:13" x14ac:dyDescent="0.2">
      <c r="A1537" s="1">
        <v>46072</v>
      </c>
      <c r="B1537" t="s">
        <v>35</v>
      </c>
      <c r="C1537" t="s">
        <v>36</v>
      </c>
      <c r="E1537">
        <v>25152</v>
      </c>
      <c r="F1537">
        <v>1688</v>
      </c>
      <c r="G1537">
        <v>396.38</v>
      </c>
      <c r="I1537">
        <v>105</v>
      </c>
      <c r="J1537" t="s">
        <v>40</v>
      </c>
      <c r="K1537" t="s">
        <v>37</v>
      </c>
      <c r="L1537" t="s">
        <v>38</v>
      </c>
      <c r="M1537" t="s">
        <v>39</v>
      </c>
    </row>
    <row r="1538" spans="1:13" x14ac:dyDescent="0.2">
      <c r="A1538" s="1">
        <v>46072</v>
      </c>
      <c r="B1538" t="s">
        <v>35</v>
      </c>
      <c r="C1538" t="s">
        <v>36</v>
      </c>
      <c r="E1538">
        <v>38646</v>
      </c>
      <c r="F1538">
        <v>2221</v>
      </c>
      <c r="G1538">
        <v>436.04</v>
      </c>
      <c r="I1538">
        <v>187</v>
      </c>
      <c r="J1538" t="s">
        <v>40</v>
      </c>
      <c r="K1538" t="s">
        <v>41</v>
      </c>
      <c r="L1538" t="s">
        <v>42</v>
      </c>
      <c r="M1538" t="s">
        <v>43</v>
      </c>
    </row>
    <row r="1539" spans="1:13" x14ac:dyDescent="0.2">
      <c r="A1539" s="1">
        <v>46072</v>
      </c>
      <c r="B1539" t="s">
        <v>44</v>
      </c>
      <c r="C1539" t="s">
        <v>45</v>
      </c>
      <c r="E1539">
        <v>35540</v>
      </c>
      <c r="F1539">
        <v>2412</v>
      </c>
      <c r="G1539">
        <v>487.37</v>
      </c>
      <c r="I1539">
        <v>140</v>
      </c>
      <c r="J1539" t="s">
        <v>40</v>
      </c>
      <c r="K1539" t="s">
        <v>46</v>
      </c>
      <c r="L1539" t="s">
        <v>42</v>
      </c>
      <c r="M1539" t="s">
        <v>47</v>
      </c>
    </row>
    <row r="1540" spans="1:13" x14ac:dyDescent="0.2">
      <c r="A1540" s="1">
        <v>46072</v>
      </c>
      <c r="B1540" t="s">
        <v>44</v>
      </c>
      <c r="C1540" t="s">
        <v>48</v>
      </c>
      <c r="E1540">
        <v>25699</v>
      </c>
      <c r="F1540">
        <v>1552</v>
      </c>
      <c r="G1540">
        <v>403.51</v>
      </c>
      <c r="I1540">
        <v>123</v>
      </c>
      <c r="J1540" t="s">
        <v>40</v>
      </c>
      <c r="K1540" t="s">
        <v>49</v>
      </c>
      <c r="L1540" t="s">
        <v>50</v>
      </c>
      <c r="M1540" t="s">
        <v>51</v>
      </c>
    </row>
    <row r="1541" spans="1:13" x14ac:dyDescent="0.2">
      <c r="A1541" s="1">
        <v>46072</v>
      </c>
      <c r="B1541" t="s">
        <v>52</v>
      </c>
      <c r="C1541" t="s">
        <v>53</v>
      </c>
      <c r="E1541">
        <v>125633</v>
      </c>
      <c r="F1541">
        <v>1560</v>
      </c>
      <c r="G1541">
        <v>396.7</v>
      </c>
      <c r="I1541">
        <v>136</v>
      </c>
      <c r="J1541" t="s">
        <v>40</v>
      </c>
      <c r="K1541" t="s">
        <v>54</v>
      </c>
      <c r="L1541" t="s">
        <v>54</v>
      </c>
      <c r="M1541" t="s">
        <v>54</v>
      </c>
    </row>
    <row r="1542" spans="1:13" x14ac:dyDescent="0.2">
      <c r="A1542" s="1">
        <v>46072</v>
      </c>
      <c r="B1542" t="s">
        <v>52</v>
      </c>
      <c r="C1542" t="s">
        <v>55</v>
      </c>
      <c r="E1542">
        <v>144120</v>
      </c>
      <c r="F1542">
        <v>1720</v>
      </c>
      <c r="G1542">
        <v>321.38</v>
      </c>
      <c r="I1542">
        <v>103</v>
      </c>
      <c r="J1542" t="s">
        <v>40</v>
      </c>
      <c r="K1542" t="s">
        <v>54</v>
      </c>
      <c r="L1542" t="s">
        <v>54</v>
      </c>
      <c r="M1542" t="s">
        <v>54</v>
      </c>
    </row>
    <row r="1543" spans="1:13" x14ac:dyDescent="0.2">
      <c r="A1543" s="1">
        <v>46072</v>
      </c>
      <c r="B1543" t="s">
        <v>56</v>
      </c>
      <c r="C1543" t="s">
        <v>57</v>
      </c>
      <c r="E1543">
        <v>17232</v>
      </c>
      <c r="F1543">
        <v>1090</v>
      </c>
      <c r="G1543">
        <v>263.52999999999997</v>
      </c>
      <c r="I1543">
        <v>71</v>
      </c>
      <c r="J1543" t="s">
        <v>40</v>
      </c>
      <c r="K1543" t="s">
        <v>58</v>
      </c>
      <c r="L1543" t="s">
        <v>42</v>
      </c>
      <c r="M1543" t="s">
        <v>43</v>
      </c>
    </row>
    <row r="1544" spans="1:13" x14ac:dyDescent="0.2">
      <c r="A1544" s="1">
        <v>46072</v>
      </c>
      <c r="B1544" t="s">
        <v>56</v>
      </c>
      <c r="C1544" t="s">
        <v>57</v>
      </c>
      <c r="E1544">
        <v>42243</v>
      </c>
      <c r="F1544">
        <v>2218</v>
      </c>
      <c r="G1544">
        <v>403.54</v>
      </c>
      <c r="I1544">
        <v>126</v>
      </c>
      <c r="J1544" t="s">
        <v>40</v>
      </c>
      <c r="K1544" t="s">
        <v>59</v>
      </c>
      <c r="L1544" t="s">
        <v>38</v>
      </c>
      <c r="M1544" t="s">
        <v>43</v>
      </c>
    </row>
    <row r="1545" spans="1:13" x14ac:dyDescent="0.2">
      <c r="A1545" s="1">
        <v>46073</v>
      </c>
      <c r="B1545" t="s">
        <v>35</v>
      </c>
      <c r="C1545" t="s">
        <v>36</v>
      </c>
      <c r="E1545">
        <v>11450</v>
      </c>
      <c r="F1545">
        <v>600</v>
      </c>
      <c r="G1545">
        <v>114.14</v>
      </c>
      <c r="I1545">
        <v>39</v>
      </c>
      <c r="J1545" t="s">
        <v>40</v>
      </c>
      <c r="K1545" t="s">
        <v>37</v>
      </c>
      <c r="L1545" t="s">
        <v>38</v>
      </c>
      <c r="M1545" t="s">
        <v>39</v>
      </c>
    </row>
    <row r="1546" spans="1:13" x14ac:dyDescent="0.2">
      <c r="A1546" s="1">
        <v>46073</v>
      </c>
      <c r="B1546" t="s">
        <v>35</v>
      </c>
      <c r="C1546" t="s">
        <v>36</v>
      </c>
      <c r="E1546">
        <v>38732</v>
      </c>
      <c r="F1546">
        <v>2535</v>
      </c>
      <c r="G1546">
        <v>515.32000000000005</v>
      </c>
      <c r="I1546">
        <v>154</v>
      </c>
      <c r="J1546" t="s">
        <v>40</v>
      </c>
      <c r="K1546" t="s">
        <v>41</v>
      </c>
      <c r="L1546" t="s">
        <v>42</v>
      </c>
      <c r="M1546" t="s">
        <v>43</v>
      </c>
    </row>
    <row r="1547" spans="1:13" x14ac:dyDescent="0.2">
      <c r="A1547" s="1">
        <v>46073</v>
      </c>
      <c r="B1547" t="s">
        <v>44</v>
      </c>
      <c r="C1547" t="s">
        <v>45</v>
      </c>
      <c r="E1547">
        <v>42347</v>
      </c>
      <c r="F1547">
        <v>2253</v>
      </c>
      <c r="G1547">
        <v>500.22</v>
      </c>
      <c r="I1547">
        <v>194</v>
      </c>
      <c r="J1547" t="s">
        <v>40</v>
      </c>
      <c r="K1547" t="s">
        <v>46</v>
      </c>
      <c r="L1547" t="s">
        <v>42</v>
      </c>
      <c r="M1547" t="s">
        <v>47</v>
      </c>
    </row>
    <row r="1548" spans="1:13" x14ac:dyDescent="0.2">
      <c r="A1548" s="1">
        <v>46073</v>
      </c>
      <c r="B1548" t="s">
        <v>44</v>
      </c>
      <c r="C1548" t="s">
        <v>48</v>
      </c>
      <c r="E1548">
        <v>42662</v>
      </c>
      <c r="F1548">
        <v>3069</v>
      </c>
      <c r="G1548">
        <v>694.72</v>
      </c>
      <c r="I1548">
        <v>265</v>
      </c>
      <c r="J1548" t="s">
        <v>40</v>
      </c>
      <c r="K1548" t="s">
        <v>49</v>
      </c>
      <c r="L1548" t="s">
        <v>50</v>
      </c>
      <c r="M1548" t="s">
        <v>51</v>
      </c>
    </row>
    <row r="1549" spans="1:13" x14ac:dyDescent="0.2">
      <c r="A1549" s="1">
        <v>46073</v>
      </c>
      <c r="B1549" t="s">
        <v>52</v>
      </c>
      <c r="C1549" t="s">
        <v>53</v>
      </c>
      <c r="E1549">
        <v>133286</v>
      </c>
      <c r="F1549">
        <v>1519</v>
      </c>
      <c r="G1549">
        <v>387.43</v>
      </c>
      <c r="I1549">
        <v>92</v>
      </c>
      <c r="J1549" t="s">
        <v>40</v>
      </c>
      <c r="K1549" t="s">
        <v>54</v>
      </c>
      <c r="L1549" t="s">
        <v>54</v>
      </c>
      <c r="M1549" t="s">
        <v>54</v>
      </c>
    </row>
    <row r="1550" spans="1:13" x14ac:dyDescent="0.2">
      <c r="A1550" s="1">
        <v>46073</v>
      </c>
      <c r="B1550" t="s">
        <v>52</v>
      </c>
      <c r="C1550" t="s">
        <v>55</v>
      </c>
      <c r="E1550">
        <v>124931</v>
      </c>
      <c r="F1550">
        <v>1858</v>
      </c>
      <c r="G1550">
        <v>347.7</v>
      </c>
      <c r="I1550">
        <v>137</v>
      </c>
      <c r="J1550" t="s">
        <v>40</v>
      </c>
      <c r="K1550" t="s">
        <v>54</v>
      </c>
      <c r="L1550" t="s">
        <v>54</v>
      </c>
      <c r="M1550" t="s">
        <v>54</v>
      </c>
    </row>
    <row r="1551" spans="1:13" x14ac:dyDescent="0.2">
      <c r="A1551" s="1">
        <v>46073</v>
      </c>
      <c r="B1551" t="s">
        <v>56</v>
      </c>
      <c r="C1551" t="s">
        <v>57</v>
      </c>
      <c r="E1551">
        <v>22595</v>
      </c>
      <c r="F1551">
        <v>1570</v>
      </c>
      <c r="G1551">
        <v>321.86</v>
      </c>
      <c r="I1551">
        <v>110</v>
      </c>
      <c r="J1551" t="s">
        <v>40</v>
      </c>
      <c r="K1551" t="s">
        <v>58</v>
      </c>
      <c r="L1551" t="s">
        <v>42</v>
      </c>
      <c r="M1551" t="s">
        <v>43</v>
      </c>
    </row>
    <row r="1552" spans="1:13" x14ac:dyDescent="0.2">
      <c r="A1552" s="1">
        <v>46073</v>
      </c>
      <c r="B1552" t="s">
        <v>56</v>
      </c>
      <c r="C1552" t="s">
        <v>57</v>
      </c>
      <c r="E1552">
        <v>10826</v>
      </c>
      <c r="F1552">
        <v>551</v>
      </c>
      <c r="G1552">
        <v>141.5</v>
      </c>
      <c r="I1552">
        <v>35</v>
      </c>
      <c r="J1552" t="s">
        <v>40</v>
      </c>
      <c r="K1552" t="s">
        <v>59</v>
      </c>
      <c r="L1552" t="s">
        <v>38</v>
      </c>
      <c r="M1552" t="s">
        <v>43</v>
      </c>
    </row>
    <row r="1553" spans="1:13" x14ac:dyDescent="0.2">
      <c r="A1553" s="1">
        <v>46074</v>
      </c>
      <c r="B1553" t="s">
        <v>35</v>
      </c>
      <c r="C1553" t="s">
        <v>36</v>
      </c>
      <c r="E1553">
        <v>54640</v>
      </c>
      <c r="F1553">
        <v>2946</v>
      </c>
      <c r="G1553">
        <v>823.27</v>
      </c>
      <c r="I1553">
        <v>185</v>
      </c>
      <c r="J1553" t="s">
        <v>40</v>
      </c>
      <c r="K1553" t="s">
        <v>37</v>
      </c>
      <c r="L1553" t="s">
        <v>38</v>
      </c>
      <c r="M1553" t="s">
        <v>39</v>
      </c>
    </row>
    <row r="1554" spans="1:13" x14ac:dyDescent="0.2">
      <c r="A1554" s="1">
        <v>46074</v>
      </c>
      <c r="B1554" t="s">
        <v>35</v>
      </c>
      <c r="C1554" t="s">
        <v>36</v>
      </c>
      <c r="E1554">
        <v>22619</v>
      </c>
      <c r="F1554">
        <v>1368</v>
      </c>
      <c r="G1554">
        <v>380.59</v>
      </c>
      <c r="I1554">
        <v>101</v>
      </c>
      <c r="J1554" t="s">
        <v>40</v>
      </c>
      <c r="K1554" t="s">
        <v>41</v>
      </c>
      <c r="L1554" t="s">
        <v>42</v>
      </c>
      <c r="M1554" t="s">
        <v>43</v>
      </c>
    </row>
    <row r="1555" spans="1:13" x14ac:dyDescent="0.2">
      <c r="A1555" s="1">
        <v>46074</v>
      </c>
      <c r="B1555" t="s">
        <v>44</v>
      </c>
      <c r="C1555" t="s">
        <v>45</v>
      </c>
      <c r="E1555">
        <v>42635</v>
      </c>
      <c r="F1555">
        <v>3004</v>
      </c>
      <c r="G1555">
        <v>588.37</v>
      </c>
      <c r="I1555">
        <v>252</v>
      </c>
      <c r="J1555" t="s">
        <v>40</v>
      </c>
      <c r="K1555" t="s">
        <v>46</v>
      </c>
      <c r="L1555" t="s">
        <v>42</v>
      </c>
      <c r="M1555" t="s">
        <v>47</v>
      </c>
    </row>
    <row r="1556" spans="1:13" x14ac:dyDescent="0.2">
      <c r="A1556" s="1">
        <v>46074</v>
      </c>
      <c r="B1556" t="s">
        <v>44</v>
      </c>
      <c r="C1556" t="s">
        <v>48</v>
      </c>
      <c r="E1556">
        <v>61794</v>
      </c>
      <c r="F1556">
        <v>3147</v>
      </c>
      <c r="G1556">
        <v>717.9</v>
      </c>
      <c r="I1556">
        <v>210</v>
      </c>
      <c r="J1556" t="s">
        <v>40</v>
      </c>
      <c r="K1556" t="s">
        <v>49</v>
      </c>
      <c r="L1556" t="s">
        <v>50</v>
      </c>
      <c r="M1556" t="s">
        <v>51</v>
      </c>
    </row>
    <row r="1557" spans="1:13" x14ac:dyDescent="0.2">
      <c r="A1557" s="1">
        <v>46074</v>
      </c>
      <c r="B1557" t="s">
        <v>52</v>
      </c>
      <c r="C1557" t="s">
        <v>53</v>
      </c>
      <c r="E1557">
        <v>192137</v>
      </c>
      <c r="F1557">
        <v>2966</v>
      </c>
      <c r="G1557">
        <v>790.04</v>
      </c>
      <c r="I1557">
        <v>188</v>
      </c>
      <c r="J1557" t="s">
        <v>40</v>
      </c>
      <c r="K1557" t="s">
        <v>54</v>
      </c>
      <c r="L1557" t="s">
        <v>54</v>
      </c>
      <c r="M1557" t="s">
        <v>54</v>
      </c>
    </row>
    <row r="1558" spans="1:13" x14ac:dyDescent="0.2">
      <c r="A1558" s="1">
        <v>46074</v>
      </c>
      <c r="B1558" t="s">
        <v>52</v>
      </c>
      <c r="C1558" t="s">
        <v>55</v>
      </c>
      <c r="E1558">
        <v>146721</v>
      </c>
      <c r="F1558">
        <v>1787</v>
      </c>
      <c r="G1558">
        <v>399.24</v>
      </c>
      <c r="I1558">
        <v>99</v>
      </c>
      <c r="J1558" t="s">
        <v>40</v>
      </c>
      <c r="K1558" t="s">
        <v>54</v>
      </c>
      <c r="L1558" t="s">
        <v>54</v>
      </c>
      <c r="M1558" t="s">
        <v>54</v>
      </c>
    </row>
    <row r="1559" spans="1:13" x14ac:dyDescent="0.2">
      <c r="A1559" s="1">
        <v>46074</v>
      </c>
      <c r="B1559" t="s">
        <v>56</v>
      </c>
      <c r="C1559" t="s">
        <v>57</v>
      </c>
      <c r="E1559">
        <v>39331</v>
      </c>
      <c r="F1559">
        <v>2439</v>
      </c>
      <c r="G1559">
        <v>535.55999999999995</v>
      </c>
      <c r="I1559">
        <v>157</v>
      </c>
      <c r="J1559" t="s">
        <v>40</v>
      </c>
      <c r="K1559" t="s">
        <v>58</v>
      </c>
      <c r="L1559" t="s">
        <v>42</v>
      </c>
      <c r="M1559" t="s">
        <v>43</v>
      </c>
    </row>
    <row r="1560" spans="1:13" x14ac:dyDescent="0.2">
      <c r="A1560" s="1">
        <v>46074</v>
      </c>
      <c r="B1560" t="s">
        <v>56</v>
      </c>
      <c r="C1560" t="s">
        <v>57</v>
      </c>
      <c r="E1560">
        <v>17852</v>
      </c>
      <c r="F1560">
        <v>1105</v>
      </c>
      <c r="G1560">
        <v>275.23</v>
      </c>
      <c r="I1560">
        <v>91</v>
      </c>
      <c r="J1560" t="s">
        <v>40</v>
      </c>
      <c r="K1560" t="s">
        <v>59</v>
      </c>
      <c r="L1560" t="s">
        <v>38</v>
      </c>
      <c r="M1560" t="s">
        <v>43</v>
      </c>
    </row>
    <row r="1561" spans="1:13" x14ac:dyDescent="0.2">
      <c r="A1561" s="1">
        <v>46075</v>
      </c>
      <c r="B1561" t="s">
        <v>35</v>
      </c>
      <c r="C1561" t="s">
        <v>36</v>
      </c>
      <c r="E1561">
        <v>28219</v>
      </c>
      <c r="F1561">
        <v>1606</v>
      </c>
      <c r="G1561">
        <v>303.45</v>
      </c>
      <c r="I1561">
        <v>98</v>
      </c>
      <c r="J1561" t="s">
        <v>40</v>
      </c>
      <c r="K1561" t="s">
        <v>37</v>
      </c>
      <c r="L1561" t="s">
        <v>38</v>
      </c>
      <c r="M1561" t="s">
        <v>39</v>
      </c>
    </row>
    <row r="1562" spans="1:13" x14ac:dyDescent="0.2">
      <c r="A1562" s="1">
        <v>46075</v>
      </c>
      <c r="B1562" t="s">
        <v>35</v>
      </c>
      <c r="C1562" t="s">
        <v>36</v>
      </c>
      <c r="E1562">
        <v>22386</v>
      </c>
      <c r="F1562">
        <v>1443</v>
      </c>
      <c r="G1562">
        <v>308.57</v>
      </c>
      <c r="I1562">
        <v>135</v>
      </c>
      <c r="J1562" t="s">
        <v>40</v>
      </c>
      <c r="K1562" t="s">
        <v>41</v>
      </c>
      <c r="L1562" t="s">
        <v>42</v>
      </c>
      <c r="M1562" t="s">
        <v>43</v>
      </c>
    </row>
    <row r="1563" spans="1:13" x14ac:dyDescent="0.2">
      <c r="A1563" s="1">
        <v>46075</v>
      </c>
      <c r="B1563" t="s">
        <v>44</v>
      </c>
      <c r="C1563" t="s">
        <v>45</v>
      </c>
      <c r="E1563">
        <v>19509</v>
      </c>
      <c r="F1563">
        <v>964</v>
      </c>
      <c r="G1563">
        <v>235.66</v>
      </c>
      <c r="I1563">
        <v>80</v>
      </c>
      <c r="J1563" t="s">
        <v>40</v>
      </c>
      <c r="K1563" t="s">
        <v>46</v>
      </c>
      <c r="L1563" t="s">
        <v>42</v>
      </c>
      <c r="M1563" t="s">
        <v>47</v>
      </c>
    </row>
    <row r="1564" spans="1:13" x14ac:dyDescent="0.2">
      <c r="A1564" s="1">
        <v>46075</v>
      </c>
      <c r="B1564" t="s">
        <v>44</v>
      </c>
      <c r="C1564" t="s">
        <v>48</v>
      </c>
      <c r="E1564">
        <v>23853</v>
      </c>
      <c r="F1564">
        <v>1216</v>
      </c>
      <c r="G1564">
        <v>247.17</v>
      </c>
      <c r="I1564">
        <v>114</v>
      </c>
      <c r="J1564" t="s">
        <v>40</v>
      </c>
      <c r="K1564" t="s">
        <v>49</v>
      </c>
      <c r="L1564" t="s">
        <v>50</v>
      </c>
      <c r="M1564" t="s">
        <v>51</v>
      </c>
    </row>
    <row r="1565" spans="1:13" x14ac:dyDescent="0.2">
      <c r="A1565" s="1">
        <v>46075</v>
      </c>
      <c r="B1565" t="s">
        <v>52</v>
      </c>
      <c r="C1565" t="s">
        <v>53</v>
      </c>
      <c r="E1565">
        <v>189732</v>
      </c>
      <c r="F1565">
        <v>2851</v>
      </c>
      <c r="G1565">
        <v>638.26</v>
      </c>
      <c r="I1565">
        <v>178</v>
      </c>
      <c r="J1565" t="s">
        <v>40</v>
      </c>
      <c r="K1565" t="s">
        <v>54</v>
      </c>
      <c r="L1565" t="s">
        <v>54</v>
      </c>
      <c r="M1565" t="s">
        <v>54</v>
      </c>
    </row>
    <row r="1566" spans="1:13" x14ac:dyDescent="0.2">
      <c r="A1566" s="1">
        <v>46075</v>
      </c>
      <c r="B1566" t="s">
        <v>52</v>
      </c>
      <c r="C1566" t="s">
        <v>55</v>
      </c>
      <c r="E1566">
        <v>195319</v>
      </c>
      <c r="F1566">
        <v>2498</v>
      </c>
      <c r="G1566">
        <v>483.3</v>
      </c>
      <c r="I1566">
        <v>227</v>
      </c>
      <c r="J1566" t="s">
        <v>40</v>
      </c>
      <c r="K1566" t="s">
        <v>54</v>
      </c>
      <c r="L1566" t="s">
        <v>54</v>
      </c>
      <c r="M1566" t="s">
        <v>54</v>
      </c>
    </row>
    <row r="1567" spans="1:13" x14ac:dyDescent="0.2">
      <c r="A1567" s="1">
        <v>46075</v>
      </c>
      <c r="B1567" t="s">
        <v>56</v>
      </c>
      <c r="C1567" t="s">
        <v>57</v>
      </c>
      <c r="E1567">
        <v>58525</v>
      </c>
      <c r="F1567">
        <v>3801</v>
      </c>
      <c r="G1567">
        <v>896.67</v>
      </c>
      <c r="I1567">
        <v>291</v>
      </c>
      <c r="J1567" t="s">
        <v>40</v>
      </c>
      <c r="K1567" t="s">
        <v>58</v>
      </c>
      <c r="L1567" t="s">
        <v>42</v>
      </c>
      <c r="M1567" t="s">
        <v>43</v>
      </c>
    </row>
    <row r="1568" spans="1:13" x14ac:dyDescent="0.2">
      <c r="A1568" s="1">
        <v>46075</v>
      </c>
      <c r="B1568" t="s">
        <v>56</v>
      </c>
      <c r="C1568" t="s">
        <v>57</v>
      </c>
      <c r="E1568">
        <v>58965</v>
      </c>
      <c r="F1568">
        <v>3098</v>
      </c>
      <c r="G1568">
        <v>615.46</v>
      </c>
      <c r="I1568">
        <v>213</v>
      </c>
      <c r="J1568" t="s">
        <v>40</v>
      </c>
      <c r="K1568" t="s">
        <v>59</v>
      </c>
      <c r="L1568" t="s">
        <v>38</v>
      </c>
      <c r="M1568" t="s">
        <v>43</v>
      </c>
    </row>
    <row r="1569" spans="1:13" x14ac:dyDescent="0.2">
      <c r="A1569" s="1">
        <v>46076</v>
      </c>
      <c r="B1569" t="s">
        <v>35</v>
      </c>
      <c r="C1569" t="s">
        <v>36</v>
      </c>
      <c r="E1569">
        <v>40696</v>
      </c>
      <c r="F1569">
        <v>2222</v>
      </c>
      <c r="G1569">
        <v>584.69000000000005</v>
      </c>
      <c r="I1569">
        <v>203</v>
      </c>
      <c r="J1569" t="s">
        <v>40</v>
      </c>
      <c r="K1569" t="s">
        <v>37</v>
      </c>
      <c r="L1569" t="s">
        <v>38</v>
      </c>
      <c r="M1569" t="s">
        <v>39</v>
      </c>
    </row>
    <row r="1570" spans="1:13" x14ac:dyDescent="0.2">
      <c r="A1570" s="1">
        <v>46076</v>
      </c>
      <c r="B1570" t="s">
        <v>35</v>
      </c>
      <c r="C1570" t="s">
        <v>36</v>
      </c>
      <c r="E1570">
        <v>20508</v>
      </c>
      <c r="F1570">
        <v>1018</v>
      </c>
      <c r="G1570">
        <v>199.02</v>
      </c>
      <c r="I1570">
        <v>68</v>
      </c>
      <c r="J1570" t="s">
        <v>40</v>
      </c>
      <c r="K1570" t="s">
        <v>41</v>
      </c>
      <c r="L1570" t="s">
        <v>42</v>
      </c>
      <c r="M1570" t="s">
        <v>43</v>
      </c>
    </row>
    <row r="1571" spans="1:13" x14ac:dyDescent="0.2">
      <c r="A1571" s="1">
        <v>46076</v>
      </c>
      <c r="B1571" t="s">
        <v>44</v>
      </c>
      <c r="C1571" t="s">
        <v>45</v>
      </c>
      <c r="E1571">
        <v>27258</v>
      </c>
      <c r="F1571">
        <v>1662</v>
      </c>
      <c r="G1571">
        <v>374.63</v>
      </c>
      <c r="I1571">
        <v>142</v>
      </c>
      <c r="J1571" t="s">
        <v>40</v>
      </c>
      <c r="K1571" t="s">
        <v>46</v>
      </c>
      <c r="L1571" t="s">
        <v>42</v>
      </c>
      <c r="M1571" t="s">
        <v>47</v>
      </c>
    </row>
    <row r="1572" spans="1:13" x14ac:dyDescent="0.2">
      <c r="A1572" s="1">
        <v>46076</v>
      </c>
      <c r="B1572" t="s">
        <v>44</v>
      </c>
      <c r="C1572" t="s">
        <v>48</v>
      </c>
      <c r="E1572">
        <v>43158</v>
      </c>
      <c r="F1572">
        <v>2464</v>
      </c>
      <c r="G1572">
        <v>489.24</v>
      </c>
      <c r="I1572">
        <v>137</v>
      </c>
      <c r="J1572" t="s">
        <v>40</v>
      </c>
      <c r="K1572" t="s">
        <v>49</v>
      </c>
      <c r="L1572" t="s">
        <v>50</v>
      </c>
      <c r="M1572" t="s">
        <v>51</v>
      </c>
    </row>
    <row r="1573" spans="1:13" x14ac:dyDescent="0.2">
      <c r="A1573" s="1">
        <v>46076</v>
      </c>
      <c r="B1573" t="s">
        <v>52</v>
      </c>
      <c r="C1573" t="s">
        <v>53</v>
      </c>
      <c r="E1573">
        <v>137720</v>
      </c>
      <c r="F1573">
        <v>2049</v>
      </c>
      <c r="G1573">
        <v>417.75</v>
      </c>
      <c r="I1573">
        <v>171</v>
      </c>
      <c r="J1573" t="s">
        <v>40</v>
      </c>
      <c r="K1573" t="s">
        <v>54</v>
      </c>
      <c r="L1573" t="s">
        <v>54</v>
      </c>
      <c r="M1573" t="s">
        <v>54</v>
      </c>
    </row>
    <row r="1574" spans="1:13" x14ac:dyDescent="0.2">
      <c r="A1574" s="1">
        <v>46076</v>
      </c>
      <c r="B1574" t="s">
        <v>52</v>
      </c>
      <c r="C1574" t="s">
        <v>55</v>
      </c>
      <c r="E1574">
        <v>160642</v>
      </c>
      <c r="F1574">
        <v>2424</v>
      </c>
      <c r="G1574">
        <v>482.34</v>
      </c>
      <c r="I1574">
        <v>199</v>
      </c>
      <c r="J1574" t="s">
        <v>40</v>
      </c>
      <c r="K1574" t="s">
        <v>54</v>
      </c>
      <c r="L1574" t="s">
        <v>54</v>
      </c>
      <c r="M1574" t="s">
        <v>54</v>
      </c>
    </row>
    <row r="1575" spans="1:13" x14ac:dyDescent="0.2">
      <c r="A1575" s="1">
        <v>46076</v>
      </c>
      <c r="B1575" t="s">
        <v>56</v>
      </c>
      <c r="C1575" t="s">
        <v>57</v>
      </c>
      <c r="E1575">
        <v>20101</v>
      </c>
      <c r="F1575">
        <v>1260</v>
      </c>
      <c r="G1575">
        <v>267.45</v>
      </c>
      <c r="I1575">
        <v>101</v>
      </c>
      <c r="J1575" t="s">
        <v>40</v>
      </c>
      <c r="K1575" t="s">
        <v>58</v>
      </c>
      <c r="L1575" t="s">
        <v>42</v>
      </c>
      <c r="M1575" t="s">
        <v>43</v>
      </c>
    </row>
    <row r="1576" spans="1:13" x14ac:dyDescent="0.2">
      <c r="A1576" s="1">
        <v>46076</v>
      </c>
      <c r="B1576" t="s">
        <v>56</v>
      </c>
      <c r="C1576" t="s">
        <v>57</v>
      </c>
      <c r="E1576">
        <v>17239</v>
      </c>
      <c r="F1576">
        <v>867</v>
      </c>
      <c r="G1576">
        <v>213.19</v>
      </c>
      <c r="I1576">
        <v>49</v>
      </c>
      <c r="J1576" t="s">
        <v>40</v>
      </c>
      <c r="K1576" t="s">
        <v>59</v>
      </c>
      <c r="L1576" t="s">
        <v>38</v>
      </c>
      <c r="M1576" t="s">
        <v>43</v>
      </c>
    </row>
    <row r="1577" spans="1:13" x14ac:dyDescent="0.2">
      <c r="A1577" s="1">
        <v>46077</v>
      </c>
      <c r="B1577" t="s">
        <v>35</v>
      </c>
      <c r="C1577" t="s">
        <v>36</v>
      </c>
      <c r="E1577">
        <v>18504</v>
      </c>
      <c r="F1577">
        <v>967</v>
      </c>
      <c r="G1577">
        <v>177.08</v>
      </c>
      <c r="I1577">
        <v>57</v>
      </c>
      <c r="J1577" t="s">
        <v>40</v>
      </c>
      <c r="K1577" t="s">
        <v>37</v>
      </c>
      <c r="L1577" t="s">
        <v>38</v>
      </c>
      <c r="M1577" t="s">
        <v>39</v>
      </c>
    </row>
    <row r="1578" spans="1:13" x14ac:dyDescent="0.2">
      <c r="A1578" s="1">
        <v>46077</v>
      </c>
      <c r="B1578" t="s">
        <v>35</v>
      </c>
      <c r="C1578" t="s">
        <v>36</v>
      </c>
      <c r="E1578">
        <v>22557</v>
      </c>
      <c r="F1578">
        <v>1136</v>
      </c>
      <c r="G1578">
        <v>269.35000000000002</v>
      </c>
      <c r="I1578">
        <v>100</v>
      </c>
      <c r="J1578" t="s">
        <v>40</v>
      </c>
      <c r="K1578" t="s">
        <v>41</v>
      </c>
      <c r="L1578" t="s">
        <v>42</v>
      </c>
      <c r="M1578" t="s">
        <v>43</v>
      </c>
    </row>
    <row r="1579" spans="1:13" x14ac:dyDescent="0.2">
      <c r="A1579" s="1">
        <v>46077</v>
      </c>
      <c r="B1579" t="s">
        <v>44</v>
      </c>
      <c r="C1579" t="s">
        <v>45</v>
      </c>
      <c r="E1579">
        <v>42106</v>
      </c>
      <c r="F1579">
        <v>2552</v>
      </c>
      <c r="G1579">
        <v>638.34</v>
      </c>
      <c r="I1579">
        <v>166</v>
      </c>
      <c r="J1579" t="s">
        <v>40</v>
      </c>
      <c r="K1579" t="s">
        <v>46</v>
      </c>
      <c r="L1579" t="s">
        <v>42</v>
      </c>
      <c r="M1579" t="s">
        <v>47</v>
      </c>
    </row>
    <row r="1580" spans="1:13" x14ac:dyDescent="0.2">
      <c r="A1580" s="1">
        <v>46077</v>
      </c>
      <c r="B1580" t="s">
        <v>44</v>
      </c>
      <c r="C1580" t="s">
        <v>48</v>
      </c>
      <c r="E1580">
        <v>34009</v>
      </c>
      <c r="F1580">
        <v>1812</v>
      </c>
      <c r="G1580">
        <v>456.23</v>
      </c>
      <c r="I1580">
        <v>100</v>
      </c>
      <c r="J1580" t="s">
        <v>40</v>
      </c>
      <c r="K1580" t="s">
        <v>49</v>
      </c>
      <c r="L1580" t="s">
        <v>50</v>
      </c>
      <c r="M1580" t="s">
        <v>51</v>
      </c>
    </row>
    <row r="1581" spans="1:13" x14ac:dyDescent="0.2">
      <c r="A1581" s="1">
        <v>46077</v>
      </c>
      <c r="B1581" t="s">
        <v>52</v>
      </c>
      <c r="C1581" t="s">
        <v>53</v>
      </c>
      <c r="E1581">
        <v>117359</v>
      </c>
      <c r="F1581">
        <v>1675</v>
      </c>
      <c r="G1581">
        <v>457.01</v>
      </c>
      <c r="I1581">
        <v>147</v>
      </c>
      <c r="J1581" t="s">
        <v>40</v>
      </c>
      <c r="K1581" t="s">
        <v>54</v>
      </c>
      <c r="L1581" t="s">
        <v>54</v>
      </c>
      <c r="M1581" t="s">
        <v>54</v>
      </c>
    </row>
    <row r="1582" spans="1:13" x14ac:dyDescent="0.2">
      <c r="A1582" s="1">
        <v>46077</v>
      </c>
      <c r="B1582" t="s">
        <v>52</v>
      </c>
      <c r="C1582" t="s">
        <v>55</v>
      </c>
      <c r="E1582">
        <v>151349</v>
      </c>
      <c r="F1582">
        <v>2271</v>
      </c>
      <c r="G1582">
        <v>422.57</v>
      </c>
      <c r="I1582">
        <v>175</v>
      </c>
      <c r="J1582" t="s">
        <v>40</v>
      </c>
      <c r="K1582" t="s">
        <v>54</v>
      </c>
      <c r="L1582" t="s">
        <v>54</v>
      </c>
      <c r="M1582" t="s">
        <v>54</v>
      </c>
    </row>
    <row r="1583" spans="1:13" x14ac:dyDescent="0.2">
      <c r="A1583" s="1">
        <v>46077</v>
      </c>
      <c r="B1583" t="s">
        <v>56</v>
      </c>
      <c r="C1583" t="s">
        <v>57</v>
      </c>
      <c r="E1583">
        <v>37259</v>
      </c>
      <c r="F1583">
        <v>2523</v>
      </c>
      <c r="G1583">
        <v>654.53</v>
      </c>
      <c r="I1583">
        <v>144</v>
      </c>
      <c r="J1583" t="s">
        <v>40</v>
      </c>
      <c r="K1583" t="s">
        <v>58</v>
      </c>
      <c r="L1583" t="s">
        <v>42</v>
      </c>
      <c r="M1583" t="s">
        <v>43</v>
      </c>
    </row>
    <row r="1584" spans="1:13" x14ac:dyDescent="0.2">
      <c r="A1584" s="1">
        <v>46077</v>
      </c>
      <c r="B1584" t="s">
        <v>56</v>
      </c>
      <c r="C1584" t="s">
        <v>57</v>
      </c>
      <c r="E1584">
        <v>27420</v>
      </c>
      <c r="F1584">
        <v>1664</v>
      </c>
      <c r="G1584">
        <v>421.71</v>
      </c>
      <c r="I1584">
        <v>147</v>
      </c>
      <c r="J1584" t="s">
        <v>40</v>
      </c>
      <c r="K1584" t="s">
        <v>59</v>
      </c>
      <c r="L1584" t="s">
        <v>38</v>
      </c>
      <c r="M1584" t="s">
        <v>43</v>
      </c>
    </row>
    <row r="1585" spans="1:13" x14ac:dyDescent="0.2">
      <c r="A1585" s="1">
        <v>46078</v>
      </c>
      <c r="B1585" t="s">
        <v>35</v>
      </c>
      <c r="C1585" t="s">
        <v>36</v>
      </c>
      <c r="E1585">
        <v>15107</v>
      </c>
      <c r="F1585">
        <v>1067</v>
      </c>
      <c r="G1585">
        <v>294.55</v>
      </c>
      <c r="I1585">
        <v>62</v>
      </c>
      <c r="J1585" t="s">
        <v>40</v>
      </c>
      <c r="K1585" t="s">
        <v>37</v>
      </c>
      <c r="L1585" t="s">
        <v>38</v>
      </c>
      <c r="M1585" t="s">
        <v>39</v>
      </c>
    </row>
    <row r="1586" spans="1:13" x14ac:dyDescent="0.2">
      <c r="A1586" s="1">
        <v>46078</v>
      </c>
      <c r="B1586" t="s">
        <v>35</v>
      </c>
      <c r="C1586" t="s">
        <v>36</v>
      </c>
      <c r="E1586">
        <v>25139</v>
      </c>
      <c r="F1586">
        <v>1527</v>
      </c>
      <c r="G1586">
        <v>303.79000000000002</v>
      </c>
      <c r="I1586">
        <v>116</v>
      </c>
      <c r="J1586" t="s">
        <v>40</v>
      </c>
      <c r="K1586" t="s">
        <v>41</v>
      </c>
      <c r="L1586" t="s">
        <v>42</v>
      </c>
      <c r="M1586" t="s">
        <v>43</v>
      </c>
    </row>
    <row r="1587" spans="1:13" x14ac:dyDescent="0.2">
      <c r="A1587" s="1">
        <v>46078</v>
      </c>
      <c r="B1587" t="s">
        <v>44</v>
      </c>
      <c r="C1587" t="s">
        <v>45</v>
      </c>
      <c r="E1587">
        <v>26302</v>
      </c>
      <c r="F1587">
        <v>1622</v>
      </c>
      <c r="G1587">
        <v>445.65</v>
      </c>
      <c r="I1587">
        <v>125</v>
      </c>
      <c r="J1587" t="s">
        <v>40</v>
      </c>
      <c r="K1587" t="s">
        <v>46</v>
      </c>
      <c r="L1587" t="s">
        <v>42</v>
      </c>
      <c r="M1587" t="s">
        <v>47</v>
      </c>
    </row>
    <row r="1588" spans="1:13" x14ac:dyDescent="0.2">
      <c r="A1588" s="1">
        <v>46078</v>
      </c>
      <c r="B1588" t="s">
        <v>44</v>
      </c>
      <c r="C1588" t="s">
        <v>48</v>
      </c>
      <c r="E1588">
        <v>37209</v>
      </c>
      <c r="F1588">
        <v>2452</v>
      </c>
      <c r="G1588">
        <v>629.25</v>
      </c>
      <c r="I1588">
        <v>191</v>
      </c>
      <c r="J1588" t="s">
        <v>40</v>
      </c>
      <c r="K1588" t="s">
        <v>49</v>
      </c>
      <c r="L1588" t="s">
        <v>50</v>
      </c>
      <c r="M1588" t="s">
        <v>51</v>
      </c>
    </row>
    <row r="1589" spans="1:13" x14ac:dyDescent="0.2">
      <c r="A1589" s="1">
        <v>46078</v>
      </c>
      <c r="B1589" t="s">
        <v>52</v>
      </c>
      <c r="C1589" t="s">
        <v>53</v>
      </c>
      <c r="E1589">
        <v>150125</v>
      </c>
      <c r="F1589">
        <v>2178</v>
      </c>
      <c r="G1589">
        <v>485.06</v>
      </c>
      <c r="I1589">
        <v>128</v>
      </c>
      <c r="J1589" t="s">
        <v>40</v>
      </c>
      <c r="K1589" t="s">
        <v>54</v>
      </c>
      <c r="L1589" t="s">
        <v>54</v>
      </c>
      <c r="M1589" t="s">
        <v>54</v>
      </c>
    </row>
    <row r="1590" spans="1:13" x14ac:dyDescent="0.2">
      <c r="A1590" s="1">
        <v>46078</v>
      </c>
      <c r="B1590" t="s">
        <v>52</v>
      </c>
      <c r="C1590" t="s">
        <v>55</v>
      </c>
      <c r="E1590">
        <v>113644</v>
      </c>
      <c r="F1590">
        <v>1562</v>
      </c>
      <c r="G1590">
        <v>359.99</v>
      </c>
      <c r="I1590">
        <v>126</v>
      </c>
      <c r="J1590" t="s">
        <v>40</v>
      </c>
      <c r="K1590" t="s">
        <v>54</v>
      </c>
      <c r="L1590" t="s">
        <v>54</v>
      </c>
      <c r="M1590" t="s">
        <v>54</v>
      </c>
    </row>
    <row r="1591" spans="1:13" x14ac:dyDescent="0.2">
      <c r="A1591" s="1">
        <v>46078</v>
      </c>
      <c r="B1591" t="s">
        <v>56</v>
      </c>
      <c r="C1591" t="s">
        <v>57</v>
      </c>
      <c r="E1591">
        <v>44989</v>
      </c>
      <c r="F1591">
        <v>3237</v>
      </c>
      <c r="G1591">
        <v>726.06</v>
      </c>
      <c r="I1591">
        <v>223</v>
      </c>
      <c r="J1591" t="s">
        <v>40</v>
      </c>
      <c r="K1591" t="s">
        <v>58</v>
      </c>
      <c r="L1591" t="s">
        <v>42</v>
      </c>
      <c r="M1591" t="s">
        <v>43</v>
      </c>
    </row>
    <row r="1592" spans="1:13" x14ac:dyDescent="0.2">
      <c r="A1592" s="1">
        <v>46078</v>
      </c>
      <c r="B1592" t="s">
        <v>56</v>
      </c>
      <c r="C1592" t="s">
        <v>57</v>
      </c>
      <c r="E1592">
        <v>30653</v>
      </c>
      <c r="F1592">
        <v>1876</v>
      </c>
      <c r="G1592">
        <v>524.69000000000005</v>
      </c>
      <c r="I1592">
        <v>166</v>
      </c>
      <c r="J1592" t="s">
        <v>40</v>
      </c>
      <c r="K1592" t="s">
        <v>59</v>
      </c>
      <c r="L1592" t="s">
        <v>38</v>
      </c>
      <c r="M1592" t="s">
        <v>43</v>
      </c>
    </row>
    <row r="1593" spans="1:13" x14ac:dyDescent="0.2">
      <c r="A1593" s="1">
        <v>46079</v>
      </c>
      <c r="B1593" t="s">
        <v>35</v>
      </c>
      <c r="C1593" t="s">
        <v>36</v>
      </c>
      <c r="E1593">
        <v>37023</v>
      </c>
      <c r="F1593">
        <v>2456</v>
      </c>
      <c r="G1593">
        <v>547.83000000000004</v>
      </c>
      <c r="I1593">
        <v>206</v>
      </c>
      <c r="J1593" t="s">
        <v>40</v>
      </c>
      <c r="K1593" t="s">
        <v>37</v>
      </c>
      <c r="L1593" t="s">
        <v>38</v>
      </c>
      <c r="M1593" t="s">
        <v>39</v>
      </c>
    </row>
    <row r="1594" spans="1:13" x14ac:dyDescent="0.2">
      <c r="A1594" s="1">
        <v>46079</v>
      </c>
      <c r="B1594" t="s">
        <v>35</v>
      </c>
      <c r="C1594" t="s">
        <v>36</v>
      </c>
      <c r="E1594">
        <v>25775</v>
      </c>
      <c r="F1594">
        <v>1585</v>
      </c>
      <c r="G1594">
        <v>319.20999999999998</v>
      </c>
      <c r="I1594">
        <v>135</v>
      </c>
      <c r="J1594" t="s">
        <v>40</v>
      </c>
      <c r="K1594" t="s">
        <v>41</v>
      </c>
      <c r="L1594" t="s">
        <v>42</v>
      </c>
      <c r="M1594" t="s">
        <v>43</v>
      </c>
    </row>
    <row r="1595" spans="1:13" x14ac:dyDescent="0.2">
      <c r="A1595" s="1">
        <v>46079</v>
      </c>
      <c r="B1595" t="s">
        <v>44</v>
      </c>
      <c r="C1595" t="s">
        <v>45</v>
      </c>
      <c r="E1595">
        <v>26651</v>
      </c>
      <c r="F1595">
        <v>1509</v>
      </c>
      <c r="G1595">
        <v>339.89</v>
      </c>
      <c r="I1595">
        <v>140</v>
      </c>
      <c r="J1595" t="s">
        <v>40</v>
      </c>
      <c r="K1595" t="s">
        <v>46</v>
      </c>
      <c r="L1595" t="s">
        <v>42</v>
      </c>
      <c r="M1595" t="s">
        <v>47</v>
      </c>
    </row>
    <row r="1596" spans="1:13" x14ac:dyDescent="0.2">
      <c r="A1596" s="1">
        <v>46079</v>
      </c>
      <c r="B1596" t="s">
        <v>44</v>
      </c>
      <c r="C1596" t="s">
        <v>48</v>
      </c>
      <c r="E1596">
        <v>10012</v>
      </c>
      <c r="F1596">
        <v>655</v>
      </c>
      <c r="G1596">
        <v>182.28</v>
      </c>
      <c r="I1596">
        <v>51</v>
      </c>
      <c r="J1596" t="s">
        <v>40</v>
      </c>
      <c r="K1596" t="s">
        <v>49</v>
      </c>
      <c r="L1596" t="s">
        <v>50</v>
      </c>
      <c r="M1596" t="s">
        <v>51</v>
      </c>
    </row>
    <row r="1597" spans="1:13" x14ac:dyDescent="0.2">
      <c r="A1597" s="1">
        <v>46079</v>
      </c>
      <c r="B1597" t="s">
        <v>52</v>
      </c>
      <c r="C1597" t="s">
        <v>53</v>
      </c>
      <c r="E1597">
        <v>157844</v>
      </c>
      <c r="F1597">
        <v>1842</v>
      </c>
      <c r="G1597">
        <v>495.56</v>
      </c>
      <c r="I1597">
        <v>101</v>
      </c>
      <c r="J1597" t="s">
        <v>40</v>
      </c>
      <c r="K1597" t="s">
        <v>54</v>
      </c>
      <c r="L1597" t="s">
        <v>54</v>
      </c>
      <c r="M1597" t="s">
        <v>54</v>
      </c>
    </row>
    <row r="1598" spans="1:13" x14ac:dyDescent="0.2">
      <c r="A1598" s="1">
        <v>46079</v>
      </c>
      <c r="B1598" t="s">
        <v>52</v>
      </c>
      <c r="C1598" t="s">
        <v>55</v>
      </c>
      <c r="E1598">
        <v>119083</v>
      </c>
      <c r="F1598">
        <v>1437</v>
      </c>
      <c r="G1598">
        <v>303.91000000000003</v>
      </c>
      <c r="I1598">
        <v>123</v>
      </c>
      <c r="J1598" t="s">
        <v>40</v>
      </c>
      <c r="K1598" t="s">
        <v>54</v>
      </c>
      <c r="L1598" t="s">
        <v>54</v>
      </c>
      <c r="M1598" t="s">
        <v>54</v>
      </c>
    </row>
    <row r="1599" spans="1:13" x14ac:dyDescent="0.2">
      <c r="A1599" s="1">
        <v>46079</v>
      </c>
      <c r="B1599" t="s">
        <v>56</v>
      </c>
      <c r="C1599" t="s">
        <v>57</v>
      </c>
      <c r="E1599">
        <v>28085</v>
      </c>
      <c r="F1599">
        <v>1967</v>
      </c>
      <c r="G1599">
        <v>454.63</v>
      </c>
      <c r="I1599">
        <v>153</v>
      </c>
      <c r="J1599" t="s">
        <v>40</v>
      </c>
      <c r="K1599" t="s">
        <v>58</v>
      </c>
      <c r="L1599" t="s">
        <v>42</v>
      </c>
      <c r="M1599" t="s">
        <v>43</v>
      </c>
    </row>
    <row r="1600" spans="1:13" x14ac:dyDescent="0.2">
      <c r="A1600" s="1">
        <v>46079</v>
      </c>
      <c r="B1600" t="s">
        <v>56</v>
      </c>
      <c r="C1600" t="s">
        <v>57</v>
      </c>
      <c r="E1600">
        <v>20139</v>
      </c>
      <c r="F1600">
        <v>1012</v>
      </c>
      <c r="G1600">
        <v>228.75</v>
      </c>
      <c r="I1600">
        <v>61</v>
      </c>
      <c r="J1600" t="s">
        <v>40</v>
      </c>
      <c r="K1600" t="s">
        <v>59</v>
      </c>
      <c r="L1600" t="s">
        <v>38</v>
      </c>
      <c r="M1600" t="s">
        <v>43</v>
      </c>
    </row>
    <row r="1601" spans="1:13" x14ac:dyDescent="0.2">
      <c r="A1601" s="1">
        <v>46080</v>
      </c>
      <c r="B1601" t="s">
        <v>35</v>
      </c>
      <c r="C1601" t="s">
        <v>36</v>
      </c>
      <c r="E1601">
        <v>27366</v>
      </c>
      <c r="F1601">
        <v>1554</v>
      </c>
      <c r="G1601">
        <v>370.19</v>
      </c>
      <c r="I1601">
        <v>99</v>
      </c>
      <c r="J1601" t="s">
        <v>40</v>
      </c>
      <c r="K1601" t="s">
        <v>37</v>
      </c>
      <c r="L1601" t="s">
        <v>38</v>
      </c>
      <c r="M1601" t="s">
        <v>39</v>
      </c>
    </row>
    <row r="1602" spans="1:13" x14ac:dyDescent="0.2">
      <c r="A1602" s="1">
        <v>46080</v>
      </c>
      <c r="B1602" t="s">
        <v>35</v>
      </c>
      <c r="C1602" t="s">
        <v>36</v>
      </c>
      <c r="E1602">
        <v>29680</v>
      </c>
      <c r="F1602">
        <v>1490</v>
      </c>
      <c r="G1602">
        <v>327.77</v>
      </c>
      <c r="I1602">
        <v>136</v>
      </c>
      <c r="J1602" t="s">
        <v>40</v>
      </c>
      <c r="K1602" t="s">
        <v>41</v>
      </c>
      <c r="L1602" t="s">
        <v>42</v>
      </c>
      <c r="M1602" t="s">
        <v>43</v>
      </c>
    </row>
    <row r="1603" spans="1:13" x14ac:dyDescent="0.2">
      <c r="A1603" s="1">
        <v>46080</v>
      </c>
      <c r="B1603" t="s">
        <v>44</v>
      </c>
      <c r="C1603" t="s">
        <v>45</v>
      </c>
      <c r="E1603">
        <v>15059</v>
      </c>
      <c r="F1603">
        <v>984</v>
      </c>
      <c r="G1603">
        <v>255.14</v>
      </c>
      <c r="I1603">
        <v>60</v>
      </c>
      <c r="J1603" t="s">
        <v>40</v>
      </c>
      <c r="K1603" t="s">
        <v>46</v>
      </c>
      <c r="L1603" t="s">
        <v>42</v>
      </c>
      <c r="M1603" t="s">
        <v>47</v>
      </c>
    </row>
    <row r="1604" spans="1:13" x14ac:dyDescent="0.2">
      <c r="A1604" s="1">
        <v>46080</v>
      </c>
      <c r="B1604" t="s">
        <v>44</v>
      </c>
      <c r="C1604" t="s">
        <v>48</v>
      </c>
      <c r="E1604">
        <v>16249</v>
      </c>
      <c r="F1604">
        <v>1012</v>
      </c>
      <c r="G1604">
        <v>212.56</v>
      </c>
      <c r="I1604">
        <v>85</v>
      </c>
      <c r="J1604" t="s">
        <v>40</v>
      </c>
      <c r="K1604" t="s">
        <v>49</v>
      </c>
      <c r="L1604" t="s">
        <v>50</v>
      </c>
      <c r="M1604" t="s">
        <v>51</v>
      </c>
    </row>
    <row r="1605" spans="1:13" x14ac:dyDescent="0.2">
      <c r="A1605" s="1">
        <v>46080</v>
      </c>
      <c r="B1605" t="s">
        <v>52</v>
      </c>
      <c r="C1605" t="s">
        <v>53</v>
      </c>
      <c r="E1605">
        <v>165534</v>
      </c>
      <c r="F1605">
        <v>2136</v>
      </c>
      <c r="G1605">
        <v>551.11</v>
      </c>
      <c r="I1605">
        <v>196</v>
      </c>
      <c r="J1605" t="s">
        <v>40</v>
      </c>
      <c r="K1605" t="s">
        <v>54</v>
      </c>
      <c r="L1605" t="s">
        <v>54</v>
      </c>
      <c r="M1605" t="s">
        <v>54</v>
      </c>
    </row>
    <row r="1606" spans="1:13" x14ac:dyDescent="0.2">
      <c r="A1606" s="1">
        <v>46080</v>
      </c>
      <c r="B1606" t="s">
        <v>52</v>
      </c>
      <c r="C1606" t="s">
        <v>55</v>
      </c>
      <c r="E1606">
        <v>133829</v>
      </c>
      <c r="F1606">
        <v>1704</v>
      </c>
      <c r="G1606">
        <v>445.96</v>
      </c>
      <c r="I1606">
        <v>122</v>
      </c>
      <c r="J1606" t="s">
        <v>40</v>
      </c>
      <c r="K1606" t="s">
        <v>54</v>
      </c>
      <c r="L1606" t="s">
        <v>54</v>
      </c>
      <c r="M1606" t="s">
        <v>54</v>
      </c>
    </row>
    <row r="1607" spans="1:13" x14ac:dyDescent="0.2">
      <c r="A1607" s="1">
        <v>46080</v>
      </c>
      <c r="B1607" t="s">
        <v>56</v>
      </c>
      <c r="C1607" t="s">
        <v>57</v>
      </c>
      <c r="E1607">
        <v>17899</v>
      </c>
      <c r="F1607">
        <v>1232</v>
      </c>
      <c r="G1607">
        <v>249.69</v>
      </c>
      <c r="I1607">
        <v>99</v>
      </c>
      <c r="J1607" t="s">
        <v>40</v>
      </c>
      <c r="K1607" t="s">
        <v>58</v>
      </c>
      <c r="L1607" t="s">
        <v>42</v>
      </c>
      <c r="M1607" t="s">
        <v>43</v>
      </c>
    </row>
    <row r="1608" spans="1:13" x14ac:dyDescent="0.2">
      <c r="A1608" s="1">
        <v>46080</v>
      </c>
      <c r="B1608" t="s">
        <v>56</v>
      </c>
      <c r="C1608" t="s">
        <v>57</v>
      </c>
      <c r="E1608">
        <v>10749</v>
      </c>
      <c r="F1608">
        <v>679</v>
      </c>
      <c r="G1608">
        <v>165.15</v>
      </c>
      <c r="I1608">
        <v>38</v>
      </c>
      <c r="J1608" t="s">
        <v>40</v>
      </c>
      <c r="K1608" t="s">
        <v>59</v>
      </c>
      <c r="L1608" t="s">
        <v>38</v>
      </c>
      <c r="M1608" t="s">
        <v>43</v>
      </c>
    </row>
    <row r="1609" spans="1:13" x14ac:dyDescent="0.2">
      <c r="A1609" s="1">
        <v>46081</v>
      </c>
      <c r="B1609" t="s">
        <v>35</v>
      </c>
      <c r="C1609" t="s">
        <v>36</v>
      </c>
      <c r="E1609">
        <v>62110</v>
      </c>
      <c r="F1609">
        <v>3042</v>
      </c>
      <c r="G1609">
        <v>711.81</v>
      </c>
      <c r="I1609">
        <v>185</v>
      </c>
      <c r="J1609" t="s">
        <v>40</v>
      </c>
      <c r="K1609" t="s">
        <v>37</v>
      </c>
      <c r="L1609" t="s">
        <v>38</v>
      </c>
      <c r="M1609" t="s">
        <v>39</v>
      </c>
    </row>
    <row r="1610" spans="1:13" x14ac:dyDescent="0.2">
      <c r="A1610" s="1">
        <v>46081</v>
      </c>
      <c r="B1610" t="s">
        <v>35</v>
      </c>
      <c r="C1610" t="s">
        <v>36</v>
      </c>
      <c r="E1610">
        <v>60094</v>
      </c>
      <c r="F1610">
        <v>3890</v>
      </c>
      <c r="G1610">
        <v>759.79</v>
      </c>
      <c r="I1610">
        <v>318</v>
      </c>
      <c r="J1610" t="s">
        <v>40</v>
      </c>
      <c r="K1610" t="s">
        <v>41</v>
      </c>
      <c r="L1610" t="s">
        <v>42</v>
      </c>
      <c r="M1610" t="s">
        <v>43</v>
      </c>
    </row>
    <row r="1611" spans="1:13" x14ac:dyDescent="0.2">
      <c r="A1611" s="1">
        <v>46081</v>
      </c>
      <c r="B1611" t="s">
        <v>44</v>
      </c>
      <c r="C1611" t="s">
        <v>45</v>
      </c>
      <c r="E1611">
        <v>50045</v>
      </c>
      <c r="F1611">
        <v>3568</v>
      </c>
      <c r="G1611">
        <v>910.85</v>
      </c>
      <c r="I1611">
        <v>278</v>
      </c>
      <c r="J1611" t="s">
        <v>40</v>
      </c>
      <c r="K1611" t="s">
        <v>46</v>
      </c>
      <c r="L1611" t="s">
        <v>42</v>
      </c>
      <c r="M1611" t="s">
        <v>47</v>
      </c>
    </row>
    <row r="1612" spans="1:13" x14ac:dyDescent="0.2">
      <c r="A1612" s="1">
        <v>46081</v>
      </c>
      <c r="B1612" t="s">
        <v>44</v>
      </c>
      <c r="C1612" t="s">
        <v>48</v>
      </c>
      <c r="E1612">
        <v>22264</v>
      </c>
      <c r="F1612">
        <v>1187</v>
      </c>
      <c r="G1612">
        <v>248.06</v>
      </c>
      <c r="I1612">
        <v>84</v>
      </c>
      <c r="J1612" t="s">
        <v>40</v>
      </c>
      <c r="K1612" t="s">
        <v>49</v>
      </c>
      <c r="L1612" t="s">
        <v>50</v>
      </c>
      <c r="M1612" t="s">
        <v>51</v>
      </c>
    </row>
    <row r="1613" spans="1:13" x14ac:dyDescent="0.2">
      <c r="A1613" s="1">
        <v>46081</v>
      </c>
      <c r="B1613" t="s">
        <v>52</v>
      </c>
      <c r="C1613" t="s">
        <v>53</v>
      </c>
      <c r="E1613">
        <v>150256</v>
      </c>
      <c r="F1613">
        <v>1905</v>
      </c>
      <c r="G1613">
        <v>433.55</v>
      </c>
      <c r="I1613">
        <v>161</v>
      </c>
      <c r="J1613" t="s">
        <v>40</v>
      </c>
      <c r="K1613" t="s">
        <v>54</v>
      </c>
      <c r="L1613" t="s">
        <v>54</v>
      </c>
      <c r="M1613" t="s">
        <v>54</v>
      </c>
    </row>
    <row r="1614" spans="1:13" x14ac:dyDescent="0.2">
      <c r="A1614" s="1">
        <v>46081</v>
      </c>
      <c r="B1614" t="s">
        <v>52</v>
      </c>
      <c r="C1614" t="s">
        <v>55</v>
      </c>
      <c r="E1614">
        <v>226585</v>
      </c>
      <c r="F1614">
        <v>2944</v>
      </c>
      <c r="G1614">
        <v>554.97</v>
      </c>
      <c r="I1614">
        <v>221</v>
      </c>
      <c r="J1614" t="s">
        <v>40</v>
      </c>
      <c r="K1614" t="s">
        <v>54</v>
      </c>
      <c r="L1614" t="s">
        <v>54</v>
      </c>
      <c r="M1614" t="s">
        <v>54</v>
      </c>
    </row>
    <row r="1615" spans="1:13" x14ac:dyDescent="0.2">
      <c r="A1615" s="1">
        <v>46081</v>
      </c>
      <c r="B1615" t="s">
        <v>56</v>
      </c>
      <c r="C1615" t="s">
        <v>57</v>
      </c>
      <c r="E1615">
        <v>25961</v>
      </c>
      <c r="F1615">
        <v>1720</v>
      </c>
      <c r="G1615">
        <v>392.32</v>
      </c>
      <c r="I1615">
        <v>108</v>
      </c>
      <c r="J1615" t="s">
        <v>40</v>
      </c>
      <c r="K1615" t="s">
        <v>58</v>
      </c>
      <c r="L1615" t="s">
        <v>42</v>
      </c>
      <c r="M1615" t="s">
        <v>43</v>
      </c>
    </row>
    <row r="1616" spans="1:13" x14ac:dyDescent="0.2">
      <c r="A1616" s="1">
        <v>46081</v>
      </c>
      <c r="B1616" t="s">
        <v>56</v>
      </c>
      <c r="C1616" t="s">
        <v>57</v>
      </c>
      <c r="E1616">
        <v>50269</v>
      </c>
      <c r="F1616">
        <v>3199</v>
      </c>
      <c r="G1616">
        <v>638.54999999999995</v>
      </c>
      <c r="I1616">
        <v>254</v>
      </c>
      <c r="J1616" t="s">
        <v>40</v>
      </c>
      <c r="K1616" t="s">
        <v>59</v>
      </c>
      <c r="L1616" t="s">
        <v>38</v>
      </c>
      <c r="M1616" t="s">
        <v>43</v>
      </c>
    </row>
    <row r="1617" spans="1:13" x14ac:dyDescent="0.2">
      <c r="A1617" s="1">
        <v>46082</v>
      </c>
      <c r="B1617" t="s">
        <v>35</v>
      </c>
      <c r="C1617" t="s">
        <v>36</v>
      </c>
      <c r="E1617">
        <v>57664</v>
      </c>
      <c r="F1617">
        <v>3108</v>
      </c>
      <c r="G1617">
        <v>581.71</v>
      </c>
      <c r="I1617">
        <v>267</v>
      </c>
      <c r="J1617" t="s">
        <v>40</v>
      </c>
      <c r="K1617" t="s">
        <v>37</v>
      </c>
      <c r="L1617" t="s">
        <v>38</v>
      </c>
      <c r="M1617" t="s">
        <v>39</v>
      </c>
    </row>
    <row r="1618" spans="1:13" x14ac:dyDescent="0.2">
      <c r="A1618" s="1">
        <v>46082</v>
      </c>
      <c r="B1618" t="s">
        <v>35</v>
      </c>
      <c r="C1618" t="s">
        <v>36</v>
      </c>
      <c r="E1618">
        <v>40553</v>
      </c>
      <c r="F1618">
        <v>2612</v>
      </c>
      <c r="G1618">
        <v>620.62</v>
      </c>
      <c r="I1618">
        <v>155</v>
      </c>
      <c r="J1618" t="s">
        <v>40</v>
      </c>
      <c r="K1618" t="s">
        <v>41</v>
      </c>
      <c r="L1618" t="s">
        <v>42</v>
      </c>
      <c r="M1618" t="s">
        <v>43</v>
      </c>
    </row>
    <row r="1619" spans="1:13" x14ac:dyDescent="0.2">
      <c r="A1619" s="1">
        <v>46082</v>
      </c>
      <c r="B1619" t="s">
        <v>44</v>
      </c>
      <c r="C1619" t="s">
        <v>45</v>
      </c>
      <c r="E1619">
        <v>48235</v>
      </c>
      <c r="F1619">
        <v>2805</v>
      </c>
      <c r="G1619">
        <v>602.6</v>
      </c>
      <c r="I1619">
        <v>190</v>
      </c>
      <c r="J1619" t="s">
        <v>40</v>
      </c>
      <c r="K1619" t="s">
        <v>46</v>
      </c>
      <c r="L1619" t="s">
        <v>42</v>
      </c>
      <c r="M1619" t="s">
        <v>47</v>
      </c>
    </row>
    <row r="1620" spans="1:13" x14ac:dyDescent="0.2">
      <c r="A1620" s="1">
        <v>46082</v>
      </c>
      <c r="B1620" t="s">
        <v>44</v>
      </c>
      <c r="C1620" t="s">
        <v>48</v>
      </c>
      <c r="E1620">
        <v>15061</v>
      </c>
      <c r="F1620">
        <v>1001</v>
      </c>
      <c r="G1620">
        <v>197.12</v>
      </c>
      <c r="I1620">
        <v>69</v>
      </c>
      <c r="J1620" t="s">
        <v>40</v>
      </c>
      <c r="K1620" t="s">
        <v>49</v>
      </c>
      <c r="L1620" t="s">
        <v>50</v>
      </c>
      <c r="M1620" t="s">
        <v>51</v>
      </c>
    </row>
    <row r="1621" spans="1:13" x14ac:dyDescent="0.2">
      <c r="A1621" s="1">
        <v>46082</v>
      </c>
      <c r="B1621" t="s">
        <v>52</v>
      </c>
      <c r="C1621" t="s">
        <v>53</v>
      </c>
      <c r="E1621">
        <v>192349</v>
      </c>
      <c r="F1621">
        <v>2715</v>
      </c>
      <c r="G1621">
        <v>608.29</v>
      </c>
      <c r="I1621">
        <v>249</v>
      </c>
      <c r="J1621" t="s">
        <v>40</v>
      </c>
      <c r="K1621" t="s">
        <v>54</v>
      </c>
      <c r="L1621" t="s">
        <v>54</v>
      </c>
      <c r="M1621" t="s">
        <v>54</v>
      </c>
    </row>
    <row r="1622" spans="1:13" x14ac:dyDescent="0.2">
      <c r="A1622" s="1">
        <v>46082</v>
      </c>
      <c r="B1622" t="s">
        <v>52</v>
      </c>
      <c r="C1622" t="s">
        <v>55</v>
      </c>
      <c r="E1622">
        <v>156783</v>
      </c>
      <c r="F1622">
        <v>1881</v>
      </c>
      <c r="G1622">
        <v>408.9</v>
      </c>
      <c r="I1622">
        <v>160</v>
      </c>
      <c r="J1622" t="s">
        <v>40</v>
      </c>
      <c r="K1622" t="s">
        <v>54</v>
      </c>
      <c r="L1622" t="s">
        <v>54</v>
      </c>
      <c r="M1622" t="s">
        <v>54</v>
      </c>
    </row>
    <row r="1623" spans="1:13" x14ac:dyDescent="0.2">
      <c r="A1623" s="1">
        <v>46082</v>
      </c>
      <c r="B1623" t="s">
        <v>56</v>
      </c>
      <c r="C1623" t="s">
        <v>57</v>
      </c>
      <c r="E1623">
        <v>20309</v>
      </c>
      <c r="F1623">
        <v>1029</v>
      </c>
      <c r="G1623">
        <v>190.83</v>
      </c>
      <c r="I1623">
        <v>95</v>
      </c>
      <c r="J1623" t="s">
        <v>40</v>
      </c>
      <c r="K1623" t="s">
        <v>58</v>
      </c>
      <c r="L1623" t="s">
        <v>42</v>
      </c>
      <c r="M1623" t="s">
        <v>43</v>
      </c>
    </row>
    <row r="1624" spans="1:13" x14ac:dyDescent="0.2">
      <c r="A1624" s="1">
        <v>46082</v>
      </c>
      <c r="B1624" t="s">
        <v>56</v>
      </c>
      <c r="C1624" t="s">
        <v>57</v>
      </c>
      <c r="E1624">
        <v>25581</v>
      </c>
      <c r="F1624">
        <v>1761</v>
      </c>
      <c r="G1624">
        <v>461.41</v>
      </c>
      <c r="I1624">
        <v>97</v>
      </c>
      <c r="J1624" t="s">
        <v>40</v>
      </c>
      <c r="K1624" t="s">
        <v>59</v>
      </c>
      <c r="L1624" t="s">
        <v>38</v>
      </c>
      <c r="M1624" t="s">
        <v>43</v>
      </c>
    </row>
    <row r="1625" spans="1:13" x14ac:dyDescent="0.2">
      <c r="A1625" s="1">
        <v>46083</v>
      </c>
      <c r="B1625" t="s">
        <v>35</v>
      </c>
      <c r="C1625" t="s">
        <v>36</v>
      </c>
      <c r="E1625">
        <v>22479</v>
      </c>
      <c r="F1625">
        <v>1243</v>
      </c>
      <c r="G1625">
        <v>282.31</v>
      </c>
      <c r="I1625">
        <v>84</v>
      </c>
      <c r="J1625" t="s">
        <v>40</v>
      </c>
      <c r="K1625" t="s">
        <v>37</v>
      </c>
      <c r="L1625" t="s">
        <v>38</v>
      </c>
      <c r="M1625" t="s">
        <v>39</v>
      </c>
    </row>
    <row r="1626" spans="1:13" x14ac:dyDescent="0.2">
      <c r="A1626" s="1">
        <v>46083</v>
      </c>
      <c r="B1626" t="s">
        <v>35</v>
      </c>
      <c r="C1626" t="s">
        <v>36</v>
      </c>
      <c r="E1626">
        <v>31050</v>
      </c>
      <c r="F1626">
        <v>1642</v>
      </c>
      <c r="G1626">
        <v>381.48</v>
      </c>
      <c r="I1626">
        <v>107</v>
      </c>
      <c r="J1626" t="s">
        <v>40</v>
      </c>
      <c r="K1626" t="s">
        <v>41</v>
      </c>
      <c r="L1626" t="s">
        <v>42</v>
      </c>
      <c r="M1626" t="s">
        <v>43</v>
      </c>
    </row>
    <row r="1627" spans="1:13" x14ac:dyDescent="0.2">
      <c r="A1627" s="1">
        <v>46083</v>
      </c>
      <c r="B1627" t="s">
        <v>44</v>
      </c>
      <c r="C1627" t="s">
        <v>45</v>
      </c>
      <c r="E1627">
        <v>54151</v>
      </c>
      <c r="F1627">
        <v>3408</v>
      </c>
      <c r="G1627">
        <v>951.62</v>
      </c>
      <c r="I1627">
        <v>282</v>
      </c>
      <c r="J1627" t="s">
        <v>40</v>
      </c>
      <c r="K1627" t="s">
        <v>46</v>
      </c>
      <c r="L1627" t="s">
        <v>42</v>
      </c>
      <c r="M1627" t="s">
        <v>47</v>
      </c>
    </row>
    <row r="1628" spans="1:13" x14ac:dyDescent="0.2">
      <c r="A1628" s="1">
        <v>46083</v>
      </c>
      <c r="B1628" t="s">
        <v>44</v>
      </c>
      <c r="C1628" t="s">
        <v>48</v>
      </c>
      <c r="E1628">
        <v>14566</v>
      </c>
      <c r="F1628">
        <v>830</v>
      </c>
      <c r="G1628">
        <v>224.6</v>
      </c>
      <c r="I1628">
        <v>63</v>
      </c>
      <c r="J1628" t="s">
        <v>40</v>
      </c>
      <c r="K1628" t="s">
        <v>49</v>
      </c>
      <c r="L1628" t="s">
        <v>50</v>
      </c>
      <c r="M1628" t="s">
        <v>51</v>
      </c>
    </row>
    <row r="1629" spans="1:13" x14ac:dyDescent="0.2">
      <c r="A1629" s="1">
        <v>46083</v>
      </c>
      <c r="B1629" t="s">
        <v>52</v>
      </c>
      <c r="C1629" t="s">
        <v>53</v>
      </c>
      <c r="E1629">
        <v>160527</v>
      </c>
      <c r="F1629">
        <v>1902</v>
      </c>
      <c r="G1629">
        <v>396.38</v>
      </c>
      <c r="I1629">
        <v>164</v>
      </c>
      <c r="J1629" t="s">
        <v>40</v>
      </c>
      <c r="K1629" t="s">
        <v>54</v>
      </c>
      <c r="L1629" t="s">
        <v>54</v>
      </c>
      <c r="M1629" t="s">
        <v>54</v>
      </c>
    </row>
    <row r="1630" spans="1:13" x14ac:dyDescent="0.2">
      <c r="A1630" s="1">
        <v>46083</v>
      </c>
      <c r="B1630" t="s">
        <v>52</v>
      </c>
      <c r="C1630" t="s">
        <v>55</v>
      </c>
      <c r="E1630">
        <v>163224</v>
      </c>
      <c r="F1630">
        <v>1838</v>
      </c>
      <c r="G1630">
        <v>451.18</v>
      </c>
      <c r="I1630">
        <v>101</v>
      </c>
      <c r="J1630" t="s">
        <v>40</v>
      </c>
      <c r="K1630" t="s">
        <v>54</v>
      </c>
      <c r="L1630" t="s">
        <v>54</v>
      </c>
      <c r="M1630" t="s">
        <v>54</v>
      </c>
    </row>
    <row r="1631" spans="1:13" x14ac:dyDescent="0.2">
      <c r="A1631" s="1">
        <v>46083</v>
      </c>
      <c r="B1631" t="s">
        <v>56</v>
      </c>
      <c r="C1631" t="s">
        <v>57</v>
      </c>
      <c r="E1631">
        <v>46111</v>
      </c>
      <c r="F1631">
        <v>2944</v>
      </c>
      <c r="G1631">
        <v>725.1</v>
      </c>
      <c r="I1631">
        <v>269</v>
      </c>
      <c r="J1631" t="s">
        <v>40</v>
      </c>
      <c r="K1631" t="s">
        <v>58</v>
      </c>
      <c r="L1631" t="s">
        <v>42</v>
      </c>
      <c r="M1631" t="s">
        <v>43</v>
      </c>
    </row>
    <row r="1632" spans="1:13" x14ac:dyDescent="0.2">
      <c r="A1632" s="1">
        <v>46083</v>
      </c>
      <c r="B1632" t="s">
        <v>56</v>
      </c>
      <c r="C1632" t="s">
        <v>57</v>
      </c>
      <c r="E1632">
        <v>43689</v>
      </c>
      <c r="F1632">
        <v>3003</v>
      </c>
      <c r="G1632">
        <v>546.27</v>
      </c>
      <c r="I1632">
        <v>269</v>
      </c>
      <c r="J1632" t="s">
        <v>40</v>
      </c>
      <c r="K1632" t="s">
        <v>59</v>
      </c>
      <c r="L1632" t="s">
        <v>38</v>
      </c>
      <c r="M1632" t="s">
        <v>43</v>
      </c>
    </row>
    <row r="1633" spans="1:13" x14ac:dyDescent="0.2">
      <c r="A1633" s="1">
        <v>46084</v>
      </c>
      <c r="B1633" t="s">
        <v>35</v>
      </c>
      <c r="C1633" t="s">
        <v>36</v>
      </c>
      <c r="E1633">
        <v>45930</v>
      </c>
      <c r="F1633">
        <v>2459</v>
      </c>
      <c r="G1633">
        <v>536.23</v>
      </c>
      <c r="I1633">
        <v>231</v>
      </c>
      <c r="J1633" t="s">
        <v>40</v>
      </c>
      <c r="K1633" t="s">
        <v>37</v>
      </c>
      <c r="L1633" t="s">
        <v>38</v>
      </c>
      <c r="M1633" t="s">
        <v>39</v>
      </c>
    </row>
    <row r="1634" spans="1:13" x14ac:dyDescent="0.2">
      <c r="A1634" s="1">
        <v>46084</v>
      </c>
      <c r="B1634" t="s">
        <v>35</v>
      </c>
      <c r="C1634" t="s">
        <v>36</v>
      </c>
      <c r="E1634">
        <v>21485</v>
      </c>
      <c r="F1634">
        <v>1497</v>
      </c>
      <c r="G1634">
        <v>342.01</v>
      </c>
      <c r="I1634">
        <v>118</v>
      </c>
      <c r="J1634" t="s">
        <v>40</v>
      </c>
      <c r="K1634" t="s">
        <v>41</v>
      </c>
      <c r="L1634" t="s">
        <v>42</v>
      </c>
      <c r="M1634" t="s">
        <v>43</v>
      </c>
    </row>
    <row r="1635" spans="1:13" x14ac:dyDescent="0.2">
      <c r="A1635" s="1">
        <v>46084</v>
      </c>
      <c r="B1635" t="s">
        <v>44</v>
      </c>
      <c r="C1635" t="s">
        <v>45</v>
      </c>
      <c r="E1635">
        <v>20498</v>
      </c>
      <c r="F1635">
        <v>1075</v>
      </c>
      <c r="G1635">
        <v>247.32</v>
      </c>
      <c r="I1635">
        <v>78</v>
      </c>
      <c r="J1635" t="s">
        <v>40</v>
      </c>
      <c r="K1635" t="s">
        <v>46</v>
      </c>
      <c r="L1635" t="s">
        <v>42</v>
      </c>
      <c r="M1635" t="s">
        <v>47</v>
      </c>
    </row>
    <row r="1636" spans="1:13" x14ac:dyDescent="0.2">
      <c r="A1636" s="1">
        <v>46084</v>
      </c>
      <c r="B1636" t="s">
        <v>44</v>
      </c>
      <c r="C1636" t="s">
        <v>48</v>
      </c>
      <c r="E1636">
        <v>14830</v>
      </c>
      <c r="F1636">
        <v>725</v>
      </c>
      <c r="G1636">
        <v>197.36</v>
      </c>
      <c r="I1636">
        <v>48</v>
      </c>
      <c r="J1636" t="s">
        <v>40</v>
      </c>
      <c r="K1636" t="s">
        <v>49</v>
      </c>
      <c r="L1636" t="s">
        <v>50</v>
      </c>
      <c r="M1636" t="s">
        <v>51</v>
      </c>
    </row>
    <row r="1637" spans="1:13" x14ac:dyDescent="0.2">
      <c r="A1637" s="1">
        <v>46084</v>
      </c>
      <c r="B1637" t="s">
        <v>52</v>
      </c>
      <c r="C1637" t="s">
        <v>53</v>
      </c>
      <c r="E1637">
        <v>200480</v>
      </c>
      <c r="F1637">
        <v>2599</v>
      </c>
      <c r="G1637">
        <v>508.63</v>
      </c>
      <c r="I1637">
        <v>178</v>
      </c>
      <c r="J1637" t="s">
        <v>40</v>
      </c>
      <c r="K1637" t="s">
        <v>54</v>
      </c>
      <c r="L1637" t="s">
        <v>54</v>
      </c>
      <c r="M1637" t="s">
        <v>54</v>
      </c>
    </row>
    <row r="1638" spans="1:13" x14ac:dyDescent="0.2">
      <c r="A1638" s="1">
        <v>46084</v>
      </c>
      <c r="B1638" t="s">
        <v>52</v>
      </c>
      <c r="C1638" t="s">
        <v>55</v>
      </c>
      <c r="E1638">
        <v>176962</v>
      </c>
      <c r="F1638">
        <v>2261</v>
      </c>
      <c r="G1638">
        <v>475.34</v>
      </c>
      <c r="I1638">
        <v>214</v>
      </c>
      <c r="J1638" t="s">
        <v>40</v>
      </c>
      <c r="K1638" t="s">
        <v>54</v>
      </c>
      <c r="L1638" t="s">
        <v>54</v>
      </c>
      <c r="M1638" t="s">
        <v>54</v>
      </c>
    </row>
    <row r="1639" spans="1:13" x14ac:dyDescent="0.2">
      <c r="A1639" s="1">
        <v>46084</v>
      </c>
      <c r="B1639" t="s">
        <v>56</v>
      </c>
      <c r="C1639" t="s">
        <v>57</v>
      </c>
      <c r="E1639">
        <v>55705</v>
      </c>
      <c r="F1639">
        <v>3042</v>
      </c>
      <c r="G1639">
        <v>566.41999999999996</v>
      </c>
      <c r="I1639">
        <v>198</v>
      </c>
      <c r="J1639" t="s">
        <v>40</v>
      </c>
      <c r="K1639" t="s">
        <v>58</v>
      </c>
      <c r="L1639" t="s">
        <v>42</v>
      </c>
      <c r="M1639" t="s">
        <v>43</v>
      </c>
    </row>
    <row r="1640" spans="1:13" x14ac:dyDescent="0.2">
      <c r="A1640" s="1">
        <v>46084</v>
      </c>
      <c r="B1640" t="s">
        <v>56</v>
      </c>
      <c r="C1640" t="s">
        <v>57</v>
      </c>
      <c r="E1640">
        <v>45984</v>
      </c>
      <c r="F1640">
        <v>3189</v>
      </c>
      <c r="G1640">
        <v>833.88</v>
      </c>
      <c r="I1640">
        <v>179</v>
      </c>
      <c r="J1640" t="s">
        <v>40</v>
      </c>
      <c r="K1640" t="s">
        <v>59</v>
      </c>
      <c r="L1640" t="s">
        <v>38</v>
      </c>
      <c r="M1640" t="s">
        <v>43</v>
      </c>
    </row>
    <row r="1641" spans="1:13" x14ac:dyDescent="0.2">
      <c r="A1641" s="1">
        <v>46085</v>
      </c>
      <c r="B1641" t="s">
        <v>35</v>
      </c>
      <c r="C1641" t="s">
        <v>36</v>
      </c>
      <c r="E1641">
        <v>36870</v>
      </c>
      <c r="F1641">
        <v>1969</v>
      </c>
      <c r="G1641">
        <v>421.72</v>
      </c>
      <c r="I1641">
        <v>139</v>
      </c>
      <c r="J1641" t="s">
        <v>40</v>
      </c>
      <c r="K1641" t="s">
        <v>37</v>
      </c>
      <c r="L1641" t="s">
        <v>38</v>
      </c>
      <c r="M1641" t="s">
        <v>39</v>
      </c>
    </row>
    <row r="1642" spans="1:13" x14ac:dyDescent="0.2">
      <c r="A1642" s="1">
        <v>46085</v>
      </c>
      <c r="B1642" t="s">
        <v>35</v>
      </c>
      <c r="C1642" t="s">
        <v>36</v>
      </c>
      <c r="E1642">
        <v>24693</v>
      </c>
      <c r="F1642">
        <v>1237</v>
      </c>
      <c r="G1642">
        <v>269.94</v>
      </c>
      <c r="I1642">
        <v>115</v>
      </c>
      <c r="J1642" t="s">
        <v>40</v>
      </c>
      <c r="K1642" t="s">
        <v>41</v>
      </c>
      <c r="L1642" t="s">
        <v>42</v>
      </c>
      <c r="M1642" t="s">
        <v>43</v>
      </c>
    </row>
    <row r="1643" spans="1:13" x14ac:dyDescent="0.2">
      <c r="A1643" s="1">
        <v>46085</v>
      </c>
      <c r="B1643" t="s">
        <v>44</v>
      </c>
      <c r="C1643" t="s">
        <v>45</v>
      </c>
      <c r="E1643">
        <v>32375</v>
      </c>
      <c r="F1643">
        <v>1878</v>
      </c>
      <c r="G1643">
        <v>445.63</v>
      </c>
      <c r="I1643">
        <v>135</v>
      </c>
      <c r="J1643" t="s">
        <v>40</v>
      </c>
      <c r="K1643" t="s">
        <v>46</v>
      </c>
      <c r="L1643" t="s">
        <v>42</v>
      </c>
      <c r="M1643" t="s">
        <v>47</v>
      </c>
    </row>
    <row r="1644" spans="1:13" x14ac:dyDescent="0.2">
      <c r="A1644" s="1">
        <v>46085</v>
      </c>
      <c r="B1644" t="s">
        <v>44</v>
      </c>
      <c r="C1644" t="s">
        <v>48</v>
      </c>
      <c r="E1644">
        <v>39613</v>
      </c>
      <c r="F1644">
        <v>2766</v>
      </c>
      <c r="G1644">
        <v>588.96</v>
      </c>
      <c r="I1644">
        <v>212</v>
      </c>
      <c r="J1644" t="s">
        <v>40</v>
      </c>
      <c r="K1644" t="s">
        <v>49</v>
      </c>
      <c r="L1644" t="s">
        <v>50</v>
      </c>
      <c r="M1644" t="s">
        <v>51</v>
      </c>
    </row>
    <row r="1645" spans="1:13" x14ac:dyDescent="0.2">
      <c r="A1645" s="1">
        <v>46085</v>
      </c>
      <c r="B1645" t="s">
        <v>52</v>
      </c>
      <c r="C1645" t="s">
        <v>53</v>
      </c>
      <c r="E1645">
        <v>152230</v>
      </c>
      <c r="F1645">
        <v>2171</v>
      </c>
      <c r="G1645">
        <v>516.91999999999996</v>
      </c>
      <c r="I1645">
        <v>178</v>
      </c>
      <c r="J1645" t="s">
        <v>40</v>
      </c>
      <c r="K1645" t="s">
        <v>54</v>
      </c>
      <c r="L1645" t="s">
        <v>54</v>
      </c>
      <c r="M1645" t="s">
        <v>54</v>
      </c>
    </row>
    <row r="1646" spans="1:13" x14ac:dyDescent="0.2">
      <c r="A1646" s="1">
        <v>46085</v>
      </c>
      <c r="B1646" t="s">
        <v>52</v>
      </c>
      <c r="C1646" t="s">
        <v>55</v>
      </c>
      <c r="E1646">
        <v>151472</v>
      </c>
      <c r="F1646">
        <v>2319</v>
      </c>
      <c r="G1646">
        <v>489.08</v>
      </c>
      <c r="I1646">
        <v>192</v>
      </c>
      <c r="J1646" t="s">
        <v>40</v>
      </c>
      <c r="K1646" t="s">
        <v>54</v>
      </c>
      <c r="L1646" t="s">
        <v>54</v>
      </c>
      <c r="M1646" t="s">
        <v>54</v>
      </c>
    </row>
    <row r="1647" spans="1:13" x14ac:dyDescent="0.2">
      <c r="A1647" s="1">
        <v>46085</v>
      </c>
      <c r="B1647" t="s">
        <v>56</v>
      </c>
      <c r="C1647" t="s">
        <v>57</v>
      </c>
      <c r="E1647">
        <v>57626</v>
      </c>
      <c r="F1647">
        <v>4023</v>
      </c>
      <c r="G1647">
        <v>897.15</v>
      </c>
      <c r="I1647">
        <v>367</v>
      </c>
      <c r="J1647" t="s">
        <v>40</v>
      </c>
      <c r="K1647" t="s">
        <v>58</v>
      </c>
      <c r="L1647" t="s">
        <v>42</v>
      </c>
      <c r="M1647" t="s">
        <v>43</v>
      </c>
    </row>
    <row r="1648" spans="1:13" x14ac:dyDescent="0.2">
      <c r="A1648" s="1">
        <v>46085</v>
      </c>
      <c r="B1648" t="s">
        <v>56</v>
      </c>
      <c r="C1648" t="s">
        <v>57</v>
      </c>
      <c r="E1648">
        <v>25365</v>
      </c>
      <c r="F1648">
        <v>1617</v>
      </c>
      <c r="G1648">
        <v>382.4</v>
      </c>
      <c r="I1648">
        <v>99</v>
      </c>
      <c r="J1648" t="s">
        <v>40</v>
      </c>
      <c r="K1648" t="s">
        <v>59</v>
      </c>
      <c r="L1648" t="s">
        <v>38</v>
      </c>
      <c r="M1648" t="s">
        <v>43</v>
      </c>
    </row>
    <row r="1649" spans="1:13" x14ac:dyDescent="0.2">
      <c r="A1649" s="1">
        <v>46086</v>
      </c>
      <c r="B1649" t="s">
        <v>35</v>
      </c>
      <c r="C1649" t="s">
        <v>36</v>
      </c>
      <c r="E1649">
        <v>18777</v>
      </c>
      <c r="F1649">
        <v>1152</v>
      </c>
      <c r="G1649">
        <v>316.64</v>
      </c>
      <c r="I1649">
        <v>68</v>
      </c>
      <c r="J1649" t="s">
        <v>40</v>
      </c>
      <c r="K1649" t="s">
        <v>37</v>
      </c>
      <c r="L1649" t="s">
        <v>38</v>
      </c>
      <c r="M1649" t="s">
        <v>39</v>
      </c>
    </row>
    <row r="1650" spans="1:13" x14ac:dyDescent="0.2">
      <c r="A1650" s="1">
        <v>46086</v>
      </c>
      <c r="B1650" t="s">
        <v>35</v>
      </c>
      <c r="C1650" t="s">
        <v>36</v>
      </c>
      <c r="E1650">
        <v>40058</v>
      </c>
      <c r="F1650">
        <v>2729</v>
      </c>
      <c r="G1650">
        <v>530.92999999999995</v>
      </c>
      <c r="I1650">
        <v>153</v>
      </c>
      <c r="J1650" t="s">
        <v>40</v>
      </c>
      <c r="K1650" t="s">
        <v>41</v>
      </c>
      <c r="L1650" t="s">
        <v>42</v>
      </c>
      <c r="M1650" t="s">
        <v>43</v>
      </c>
    </row>
    <row r="1651" spans="1:13" x14ac:dyDescent="0.2">
      <c r="A1651" s="1">
        <v>46086</v>
      </c>
      <c r="B1651" t="s">
        <v>44</v>
      </c>
      <c r="C1651" t="s">
        <v>45</v>
      </c>
      <c r="E1651">
        <v>40150</v>
      </c>
      <c r="F1651">
        <v>2775</v>
      </c>
      <c r="G1651">
        <v>614.4</v>
      </c>
      <c r="I1651">
        <v>198</v>
      </c>
      <c r="J1651" t="s">
        <v>40</v>
      </c>
      <c r="K1651" t="s">
        <v>46</v>
      </c>
      <c r="L1651" t="s">
        <v>42</v>
      </c>
      <c r="M1651" t="s">
        <v>47</v>
      </c>
    </row>
    <row r="1652" spans="1:13" x14ac:dyDescent="0.2">
      <c r="A1652" s="1">
        <v>46086</v>
      </c>
      <c r="B1652" t="s">
        <v>44</v>
      </c>
      <c r="C1652" t="s">
        <v>48</v>
      </c>
      <c r="E1652">
        <v>50741</v>
      </c>
      <c r="F1652">
        <v>3343</v>
      </c>
      <c r="G1652">
        <v>876.43</v>
      </c>
      <c r="I1652">
        <v>269</v>
      </c>
      <c r="J1652" t="s">
        <v>40</v>
      </c>
      <c r="K1652" t="s">
        <v>49</v>
      </c>
      <c r="L1652" t="s">
        <v>50</v>
      </c>
      <c r="M1652" t="s">
        <v>51</v>
      </c>
    </row>
    <row r="1653" spans="1:13" x14ac:dyDescent="0.2">
      <c r="A1653" s="1">
        <v>46086</v>
      </c>
      <c r="B1653" t="s">
        <v>52</v>
      </c>
      <c r="C1653" t="s">
        <v>53</v>
      </c>
      <c r="E1653">
        <v>163653</v>
      </c>
      <c r="F1653">
        <v>1924</v>
      </c>
      <c r="G1653">
        <v>382.48</v>
      </c>
      <c r="I1653">
        <v>115</v>
      </c>
      <c r="J1653" t="s">
        <v>40</v>
      </c>
      <c r="K1653" t="s">
        <v>54</v>
      </c>
      <c r="L1653" t="s">
        <v>54</v>
      </c>
      <c r="M1653" t="s">
        <v>54</v>
      </c>
    </row>
    <row r="1654" spans="1:13" x14ac:dyDescent="0.2">
      <c r="A1654" s="1">
        <v>46086</v>
      </c>
      <c r="B1654" t="s">
        <v>52</v>
      </c>
      <c r="C1654" t="s">
        <v>55</v>
      </c>
      <c r="E1654">
        <v>121462</v>
      </c>
      <c r="F1654">
        <v>1799</v>
      </c>
      <c r="G1654">
        <v>433.92</v>
      </c>
      <c r="I1654">
        <v>118</v>
      </c>
      <c r="J1654" t="s">
        <v>40</v>
      </c>
      <c r="K1654" t="s">
        <v>54</v>
      </c>
      <c r="L1654" t="s">
        <v>54</v>
      </c>
      <c r="M1654" t="s">
        <v>54</v>
      </c>
    </row>
    <row r="1655" spans="1:13" x14ac:dyDescent="0.2">
      <c r="A1655" s="1">
        <v>46086</v>
      </c>
      <c r="B1655" t="s">
        <v>56</v>
      </c>
      <c r="C1655" t="s">
        <v>57</v>
      </c>
      <c r="E1655">
        <v>32672</v>
      </c>
      <c r="F1655">
        <v>2035</v>
      </c>
      <c r="G1655">
        <v>413.29</v>
      </c>
      <c r="I1655">
        <v>114</v>
      </c>
      <c r="J1655" t="s">
        <v>40</v>
      </c>
      <c r="K1655" t="s">
        <v>58</v>
      </c>
      <c r="L1655" t="s">
        <v>42</v>
      </c>
      <c r="M1655" t="s">
        <v>43</v>
      </c>
    </row>
    <row r="1656" spans="1:13" x14ac:dyDescent="0.2">
      <c r="A1656" s="1">
        <v>46086</v>
      </c>
      <c r="B1656" t="s">
        <v>56</v>
      </c>
      <c r="C1656" t="s">
        <v>57</v>
      </c>
      <c r="E1656">
        <v>19770</v>
      </c>
      <c r="F1656">
        <v>1275</v>
      </c>
      <c r="G1656">
        <v>290.27</v>
      </c>
      <c r="I1656">
        <v>95</v>
      </c>
      <c r="J1656" t="s">
        <v>40</v>
      </c>
      <c r="K1656" t="s">
        <v>59</v>
      </c>
      <c r="L1656" t="s">
        <v>38</v>
      </c>
      <c r="M1656" t="s">
        <v>43</v>
      </c>
    </row>
    <row r="1657" spans="1:13" x14ac:dyDescent="0.2">
      <c r="A1657" s="1">
        <v>46087</v>
      </c>
      <c r="B1657" t="s">
        <v>35</v>
      </c>
      <c r="C1657" t="s">
        <v>36</v>
      </c>
      <c r="E1657">
        <v>52936</v>
      </c>
      <c r="F1657">
        <v>3445</v>
      </c>
      <c r="G1657">
        <v>748.93</v>
      </c>
      <c r="I1657">
        <v>306</v>
      </c>
      <c r="J1657" t="s">
        <v>40</v>
      </c>
      <c r="K1657" t="s">
        <v>37</v>
      </c>
      <c r="L1657" t="s">
        <v>38</v>
      </c>
      <c r="M1657" t="s">
        <v>39</v>
      </c>
    </row>
    <row r="1658" spans="1:13" x14ac:dyDescent="0.2">
      <c r="A1658" s="1">
        <v>46087</v>
      </c>
      <c r="B1658" t="s">
        <v>35</v>
      </c>
      <c r="C1658" t="s">
        <v>36</v>
      </c>
      <c r="E1658">
        <v>54869</v>
      </c>
      <c r="F1658">
        <v>3257</v>
      </c>
      <c r="G1658">
        <v>639.61</v>
      </c>
      <c r="I1658">
        <v>208</v>
      </c>
      <c r="J1658" t="s">
        <v>40</v>
      </c>
      <c r="K1658" t="s">
        <v>41</v>
      </c>
      <c r="L1658" t="s">
        <v>42</v>
      </c>
      <c r="M1658" t="s">
        <v>43</v>
      </c>
    </row>
    <row r="1659" spans="1:13" x14ac:dyDescent="0.2">
      <c r="A1659" s="1">
        <v>46087</v>
      </c>
      <c r="B1659" t="s">
        <v>44</v>
      </c>
      <c r="C1659" t="s">
        <v>45</v>
      </c>
      <c r="E1659">
        <v>47810</v>
      </c>
      <c r="F1659">
        <v>3172</v>
      </c>
      <c r="G1659">
        <v>575.72</v>
      </c>
      <c r="I1659">
        <v>208</v>
      </c>
      <c r="J1659" t="s">
        <v>40</v>
      </c>
      <c r="K1659" t="s">
        <v>46</v>
      </c>
      <c r="L1659" t="s">
        <v>42</v>
      </c>
      <c r="M1659" t="s">
        <v>47</v>
      </c>
    </row>
    <row r="1660" spans="1:13" x14ac:dyDescent="0.2">
      <c r="A1660" s="1">
        <v>46087</v>
      </c>
      <c r="B1660" t="s">
        <v>44</v>
      </c>
      <c r="C1660" t="s">
        <v>48</v>
      </c>
      <c r="E1660">
        <v>48189</v>
      </c>
      <c r="F1660">
        <v>2570</v>
      </c>
      <c r="G1660">
        <v>635.13</v>
      </c>
      <c r="I1660">
        <v>162</v>
      </c>
      <c r="J1660" t="s">
        <v>40</v>
      </c>
      <c r="K1660" t="s">
        <v>49</v>
      </c>
      <c r="L1660" t="s">
        <v>50</v>
      </c>
      <c r="M1660" t="s">
        <v>51</v>
      </c>
    </row>
    <row r="1661" spans="1:13" x14ac:dyDescent="0.2">
      <c r="A1661" s="1">
        <v>46087</v>
      </c>
      <c r="B1661" t="s">
        <v>52</v>
      </c>
      <c r="C1661" t="s">
        <v>53</v>
      </c>
      <c r="E1661">
        <v>151855</v>
      </c>
      <c r="F1661">
        <v>1720</v>
      </c>
      <c r="G1661">
        <v>469.06</v>
      </c>
      <c r="I1661">
        <v>162</v>
      </c>
      <c r="J1661" t="s">
        <v>40</v>
      </c>
      <c r="K1661" t="s">
        <v>54</v>
      </c>
      <c r="L1661" t="s">
        <v>54</v>
      </c>
      <c r="M1661" t="s">
        <v>54</v>
      </c>
    </row>
    <row r="1662" spans="1:13" x14ac:dyDescent="0.2">
      <c r="A1662" s="1">
        <v>46087</v>
      </c>
      <c r="B1662" t="s">
        <v>52</v>
      </c>
      <c r="C1662" t="s">
        <v>55</v>
      </c>
      <c r="E1662">
        <v>200482</v>
      </c>
      <c r="F1662">
        <v>2894</v>
      </c>
      <c r="G1662">
        <v>771.76</v>
      </c>
      <c r="I1662">
        <v>261</v>
      </c>
      <c r="J1662" t="s">
        <v>40</v>
      </c>
      <c r="K1662" t="s">
        <v>54</v>
      </c>
      <c r="L1662" t="s">
        <v>54</v>
      </c>
      <c r="M1662" t="s">
        <v>54</v>
      </c>
    </row>
    <row r="1663" spans="1:13" x14ac:dyDescent="0.2">
      <c r="A1663" s="1">
        <v>46087</v>
      </c>
      <c r="B1663" t="s">
        <v>56</v>
      </c>
      <c r="C1663" t="s">
        <v>57</v>
      </c>
      <c r="E1663">
        <v>49426</v>
      </c>
      <c r="F1663">
        <v>2852</v>
      </c>
      <c r="G1663">
        <v>525.29</v>
      </c>
      <c r="I1663">
        <v>240</v>
      </c>
      <c r="J1663" t="s">
        <v>40</v>
      </c>
      <c r="K1663" t="s">
        <v>58</v>
      </c>
      <c r="L1663" t="s">
        <v>42</v>
      </c>
      <c r="M1663" t="s">
        <v>43</v>
      </c>
    </row>
    <row r="1664" spans="1:13" x14ac:dyDescent="0.2">
      <c r="A1664" s="1">
        <v>46087</v>
      </c>
      <c r="B1664" t="s">
        <v>56</v>
      </c>
      <c r="C1664" t="s">
        <v>57</v>
      </c>
      <c r="E1664">
        <v>45406</v>
      </c>
      <c r="F1664">
        <v>2964</v>
      </c>
      <c r="G1664">
        <v>650.35</v>
      </c>
      <c r="I1664">
        <v>274</v>
      </c>
      <c r="J1664" t="s">
        <v>40</v>
      </c>
      <c r="K1664" t="s">
        <v>59</v>
      </c>
      <c r="L1664" t="s">
        <v>38</v>
      </c>
      <c r="M1664" t="s">
        <v>43</v>
      </c>
    </row>
    <row r="1665" spans="1:13" x14ac:dyDescent="0.2">
      <c r="A1665" s="1">
        <v>46088</v>
      </c>
      <c r="B1665" t="s">
        <v>35</v>
      </c>
      <c r="C1665" t="s">
        <v>36</v>
      </c>
      <c r="E1665">
        <v>57747</v>
      </c>
      <c r="F1665">
        <v>3660</v>
      </c>
      <c r="G1665">
        <v>916.51</v>
      </c>
      <c r="I1665">
        <v>206</v>
      </c>
      <c r="J1665" t="s">
        <v>40</v>
      </c>
      <c r="K1665" t="s">
        <v>37</v>
      </c>
      <c r="L1665" t="s">
        <v>38</v>
      </c>
      <c r="M1665" t="s">
        <v>39</v>
      </c>
    </row>
    <row r="1666" spans="1:13" x14ac:dyDescent="0.2">
      <c r="A1666" s="1">
        <v>46088</v>
      </c>
      <c r="B1666" t="s">
        <v>35</v>
      </c>
      <c r="C1666" t="s">
        <v>36</v>
      </c>
      <c r="E1666">
        <v>22313</v>
      </c>
      <c r="F1666">
        <v>1312</v>
      </c>
      <c r="G1666">
        <v>344.66</v>
      </c>
      <c r="I1666">
        <v>74</v>
      </c>
      <c r="J1666" t="s">
        <v>40</v>
      </c>
      <c r="K1666" t="s">
        <v>41</v>
      </c>
      <c r="L1666" t="s">
        <v>42</v>
      </c>
      <c r="M1666" t="s">
        <v>43</v>
      </c>
    </row>
    <row r="1667" spans="1:13" x14ac:dyDescent="0.2">
      <c r="A1667" s="1">
        <v>46088</v>
      </c>
      <c r="B1667" t="s">
        <v>44</v>
      </c>
      <c r="C1667" t="s">
        <v>45</v>
      </c>
      <c r="E1667">
        <v>33933</v>
      </c>
      <c r="F1667">
        <v>2051</v>
      </c>
      <c r="G1667">
        <v>450.32</v>
      </c>
      <c r="I1667">
        <v>173</v>
      </c>
      <c r="J1667" t="s">
        <v>40</v>
      </c>
      <c r="K1667" t="s">
        <v>46</v>
      </c>
      <c r="L1667" t="s">
        <v>42</v>
      </c>
      <c r="M1667" t="s">
        <v>47</v>
      </c>
    </row>
    <row r="1668" spans="1:13" x14ac:dyDescent="0.2">
      <c r="A1668" s="1">
        <v>46088</v>
      </c>
      <c r="B1668" t="s">
        <v>44</v>
      </c>
      <c r="C1668" t="s">
        <v>48</v>
      </c>
      <c r="E1668">
        <v>46004</v>
      </c>
      <c r="F1668">
        <v>2778</v>
      </c>
      <c r="G1668">
        <v>675.23</v>
      </c>
      <c r="I1668">
        <v>158</v>
      </c>
      <c r="J1668" t="s">
        <v>40</v>
      </c>
      <c r="K1668" t="s">
        <v>49</v>
      </c>
      <c r="L1668" t="s">
        <v>50</v>
      </c>
      <c r="M1668" t="s">
        <v>51</v>
      </c>
    </row>
    <row r="1669" spans="1:13" x14ac:dyDescent="0.2">
      <c r="A1669" s="1">
        <v>46088</v>
      </c>
      <c r="B1669" t="s">
        <v>52</v>
      </c>
      <c r="C1669" t="s">
        <v>53</v>
      </c>
      <c r="E1669">
        <v>166614</v>
      </c>
      <c r="F1669">
        <v>2198</v>
      </c>
      <c r="G1669">
        <v>590.03</v>
      </c>
      <c r="I1669">
        <v>188</v>
      </c>
      <c r="J1669" t="s">
        <v>40</v>
      </c>
      <c r="K1669" t="s">
        <v>54</v>
      </c>
      <c r="L1669" t="s">
        <v>54</v>
      </c>
      <c r="M1669" t="s">
        <v>54</v>
      </c>
    </row>
    <row r="1670" spans="1:13" x14ac:dyDescent="0.2">
      <c r="A1670" s="1">
        <v>46088</v>
      </c>
      <c r="B1670" t="s">
        <v>52</v>
      </c>
      <c r="C1670" t="s">
        <v>55</v>
      </c>
      <c r="E1670">
        <v>165717</v>
      </c>
      <c r="F1670">
        <v>2205</v>
      </c>
      <c r="G1670">
        <v>490.05</v>
      </c>
      <c r="I1670">
        <v>175</v>
      </c>
      <c r="J1670" t="s">
        <v>40</v>
      </c>
      <c r="K1670" t="s">
        <v>54</v>
      </c>
      <c r="L1670" t="s">
        <v>54</v>
      </c>
      <c r="M1670" t="s">
        <v>54</v>
      </c>
    </row>
    <row r="1671" spans="1:13" x14ac:dyDescent="0.2">
      <c r="A1671" s="1">
        <v>46088</v>
      </c>
      <c r="B1671" t="s">
        <v>56</v>
      </c>
      <c r="C1671" t="s">
        <v>57</v>
      </c>
      <c r="E1671">
        <v>17646</v>
      </c>
      <c r="F1671">
        <v>1139</v>
      </c>
      <c r="G1671">
        <v>307.95</v>
      </c>
      <c r="I1671">
        <v>83</v>
      </c>
      <c r="J1671" t="s">
        <v>40</v>
      </c>
      <c r="K1671" t="s">
        <v>58</v>
      </c>
      <c r="L1671" t="s">
        <v>42</v>
      </c>
      <c r="M1671" t="s">
        <v>43</v>
      </c>
    </row>
    <row r="1672" spans="1:13" x14ac:dyDescent="0.2">
      <c r="A1672" s="1">
        <v>46088</v>
      </c>
      <c r="B1672" t="s">
        <v>56</v>
      </c>
      <c r="C1672" t="s">
        <v>57</v>
      </c>
      <c r="E1672">
        <v>51482</v>
      </c>
      <c r="F1672">
        <v>2582</v>
      </c>
      <c r="G1672">
        <v>594.03</v>
      </c>
      <c r="I1672">
        <v>160</v>
      </c>
      <c r="J1672" t="s">
        <v>40</v>
      </c>
      <c r="K1672" t="s">
        <v>59</v>
      </c>
      <c r="L1672" t="s">
        <v>38</v>
      </c>
      <c r="M1672" t="s">
        <v>43</v>
      </c>
    </row>
    <row r="1673" spans="1:13" x14ac:dyDescent="0.2">
      <c r="A1673" s="1">
        <v>46089</v>
      </c>
      <c r="B1673" t="s">
        <v>35</v>
      </c>
      <c r="C1673" t="s">
        <v>36</v>
      </c>
      <c r="E1673">
        <v>24527</v>
      </c>
      <c r="F1673">
        <v>1408</v>
      </c>
      <c r="G1673">
        <v>298.98</v>
      </c>
      <c r="I1673">
        <v>78</v>
      </c>
      <c r="J1673" t="s">
        <v>40</v>
      </c>
      <c r="K1673" t="s">
        <v>37</v>
      </c>
      <c r="L1673" t="s">
        <v>38</v>
      </c>
      <c r="M1673" t="s">
        <v>39</v>
      </c>
    </row>
    <row r="1674" spans="1:13" x14ac:dyDescent="0.2">
      <c r="A1674" s="1">
        <v>46089</v>
      </c>
      <c r="B1674" t="s">
        <v>35</v>
      </c>
      <c r="C1674" t="s">
        <v>36</v>
      </c>
      <c r="E1674">
        <v>51651</v>
      </c>
      <c r="F1674">
        <v>3211</v>
      </c>
      <c r="G1674">
        <v>806.81</v>
      </c>
      <c r="I1674">
        <v>202</v>
      </c>
      <c r="J1674" t="s">
        <v>40</v>
      </c>
      <c r="K1674" t="s">
        <v>41</v>
      </c>
      <c r="L1674" t="s">
        <v>42</v>
      </c>
      <c r="M1674" t="s">
        <v>43</v>
      </c>
    </row>
    <row r="1675" spans="1:13" x14ac:dyDescent="0.2">
      <c r="A1675" s="1">
        <v>46089</v>
      </c>
      <c r="B1675" t="s">
        <v>44</v>
      </c>
      <c r="C1675" t="s">
        <v>45</v>
      </c>
      <c r="E1675">
        <v>51737</v>
      </c>
      <c r="F1675">
        <v>2595</v>
      </c>
      <c r="G1675">
        <v>551.20000000000005</v>
      </c>
      <c r="I1675">
        <v>210</v>
      </c>
      <c r="J1675" t="s">
        <v>40</v>
      </c>
      <c r="K1675" t="s">
        <v>46</v>
      </c>
      <c r="L1675" t="s">
        <v>42</v>
      </c>
      <c r="M1675" t="s">
        <v>47</v>
      </c>
    </row>
    <row r="1676" spans="1:13" x14ac:dyDescent="0.2">
      <c r="A1676" s="1">
        <v>46089</v>
      </c>
      <c r="B1676" t="s">
        <v>44</v>
      </c>
      <c r="C1676" t="s">
        <v>48</v>
      </c>
      <c r="E1676">
        <v>26971</v>
      </c>
      <c r="F1676">
        <v>1759</v>
      </c>
      <c r="G1676">
        <v>338.35</v>
      </c>
      <c r="I1676">
        <v>104</v>
      </c>
      <c r="J1676" t="s">
        <v>40</v>
      </c>
      <c r="K1676" t="s">
        <v>49</v>
      </c>
      <c r="L1676" t="s">
        <v>50</v>
      </c>
      <c r="M1676" t="s">
        <v>51</v>
      </c>
    </row>
    <row r="1677" spans="1:13" x14ac:dyDescent="0.2">
      <c r="A1677" s="1">
        <v>46089</v>
      </c>
      <c r="B1677" t="s">
        <v>52</v>
      </c>
      <c r="C1677" t="s">
        <v>53</v>
      </c>
      <c r="E1677">
        <v>193573</v>
      </c>
      <c r="F1677">
        <v>2742</v>
      </c>
      <c r="G1677">
        <v>516.95000000000005</v>
      </c>
      <c r="I1677">
        <v>228</v>
      </c>
      <c r="J1677" t="s">
        <v>40</v>
      </c>
      <c r="K1677" t="s">
        <v>54</v>
      </c>
      <c r="L1677" t="s">
        <v>54</v>
      </c>
      <c r="M1677" t="s">
        <v>54</v>
      </c>
    </row>
    <row r="1678" spans="1:13" x14ac:dyDescent="0.2">
      <c r="A1678" s="1">
        <v>46089</v>
      </c>
      <c r="B1678" t="s">
        <v>52</v>
      </c>
      <c r="C1678" t="s">
        <v>55</v>
      </c>
      <c r="E1678">
        <v>204184</v>
      </c>
      <c r="F1678">
        <v>2870</v>
      </c>
      <c r="G1678">
        <v>562.49</v>
      </c>
      <c r="I1678">
        <v>221</v>
      </c>
      <c r="J1678" t="s">
        <v>40</v>
      </c>
      <c r="K1678" t="s">
        <v>54</v>
      </c>
      <c r="L1678" t="s">
        <v>54</v>
      </c>
      <c r="M1678" t="s">
        <v>54</v>
      </c>
    </row>
    <row r="1679" spans="1:13" x14ac:dyDescent="0.2">
      <c r="A1679" s="1">
        <v>46089</v>
      </c>
      <c r="B1679" t="s">
        <v>56</v>
      </c>
      <c r="C1679" t="s">
        <v>57</v>
      </c>
      <c r="E1679">
        <v>16740</v>
      </c>
      <c r="F1679">
        <v>1112</v>
      </c>
      <c r="G1679">
        <v>301.60000000000002</v>
      </c>
      <c r="I1679">
        <v>86</v>
      </c>
      <c r="J1679" t="s">
        <v>40</v>
      </c>
      <c r="K1679" t="s">
        <v>58</v>
      </c>
      <c r="L1679" t="s">
        <v>42</v>
      </c>
      <c r="M1679" t="s">
        <v>43</v>
      </c>
    </row>
    <row r="1680" spans="1:13" x14ac:dyDescent="0.2">
      <c r="A1680" s="1">
        <v>46089</v>
      </c>
      <c r="B1680" t="s">
        <v>56</v>
      </c>
      <c r="C1680" t="s">
        <v>57</v>
      </c>
      <c r="E1680">
        <v>25786</v>
      </c>
      <c r="F1680">
        <v>1338</v>
      </c>
      <c r="G1680">
        <v>260.19</v>
      </c>
      <c r="I1680">
        <v>114</v>
      </c>
      <c r="J1680" t="s">
        <v>40</v>
      </c>
      <c r="K1680" t="s">
        <v>59</v>
      </c>
      <c r="L1680" t="s">
        <v>38</v>
      </c>
      <c r="M1680" t="s">
        <v>43</v>
      </c>
    </row>
    <row r="1681" spans="1:13" x14ac:dyDescent="0.2">
      <c r="A1681" s="1">
        <v>46090</v>
      </c>
      <c r="B1681" t="s">
        <v>35</v>
      </c>
      <c r="C1681" t="s">
        <v>36</v>
      </c>
      <c r="E1681">
        <v>17370</v>
      </c>
      <c r="F1681">
        <v>1008</v>
      </c>
      <c r="G1681">
        <v>212.64</v>
      </c>
      <c r="I1681">
        <v>86</v>
      </c>
      <c r="J1681" t="s">
        <v>40</v>
      </c>
      <c r="K1681" t="s">
        <v>37</v>
      </c>
      <c r="L1681" t="s">
        <v>38</v>
      </c>
      <c r="M1681" t="s">
        <v>39</v>
      </c>
    </row>
    <row r="1682" spans="1:13" x14ac:dyDescent="0.2">
      <c r="A1682" s="1">
        <v>46090</v>
      </c>
      <c r="B1682" t="s">
        <v>35</v>
      </c>
      <c r="C1682" t="s">
        <v>36</v>
      </c>
      <c r="E1682">
        <v>51018</v>
      </c>
      <c r="F1682">
        <v>2802</v>
      </c>
      <c r="G1682">
        <v>554.99</v>
      </c>
      <c r="I1682">
        <v>254</v>
      </c>
      <c r="J1682" t="s">
        <v>40</v>
      </c>
      <c r="K1682" t="s">
        <v>41</v>
      </c>
      <c r="L1682" t="s">
        <v>42</v>
      </c>
      <c r="M1682" t="s">
        <v>43</v>
      </c>
    </row>
    <row r="1683" spans="1:13" x14ac:dyDescent="0.2">
      <c r="A1683" s="1">
        <v>46090</v>
      </c>
      <c r="B1683" t="s">
        <v>44</v>
      </c>
      <c r="C1683" t="s">
        <v>45</v>
      </c>
      <c r="E1683">
        <v>30282</v>
      </c>
      <c r="F1683">
        <v>1456</v>
      </c>
      <c r="G1683">
        <v>373.52</v>
      </c>
      <c r="I1683">
        <v>80</v>
      </c>
      <c r="J1683" t="s">
        <v>40</v>
      </c>
      <c r="K1683" t="s">
        <v>46</v>
      </c>
      <c r="L1683" t="s">
        <v>42</v>
      </c>
      <c r="M1683" t="s">
        <v>47</v>
      </c>
    </row>
    <row r="1684" spans="1:13" x14ac:dyDescent="0.2">
      <c r="A1684" s="1">
        <v>46090</v>
      </c>
      <c r="B1684" t="s">
        <v>44</v>
      </c>
      <c r="C1684" t="s">
        <v>48</v>
      </c>
      <c r="E1684">
        <v>55395</v>
      </c>
      <c r="F1684">
        <v>3796</v>
      </c>
      <c r="G1684">
        <v>889.59</v>
      </c>
      <c r="I1684">
        <v>209</v>
      </c>
      <c r="J1684" t="s">
        <v>40</v>
      </c>
      <c r="K1684" t="s">
        <v>49</v>
      </c>
      <c r="L1684" t="s">
        <v>50</v>
      </c>
      <c r="M1684" t="s">
        <v>51</v>
      </c>
    </row>
    <row r="1685" spans="1:13" x14ac:dyDescent="0.2">
      <c r="A1685" s="1">
        <v>46090</v>
      </c>
      <c r="B1685" t="s">
        <v>52</v>
      </c>
      <c r="C1685" t="s">
        <v>53</v>
      </c>
      <c r="E1685">
        <v>201082</v>
      </c>
      <c r="F1685">
        <v>2451</v>
      </c>
      <c r="G1685">
        <v>585.51</v>
      </c>
      <c r="I1685">
        <v>181</v>
      </c>
      <c r="J1685" t="s">
        <v>40</v>
      </c>
      <c r="K1685" t="s">
        <v>54</v>
      </c>
      <c r="L1685" t="s">
        <v>54</v>
      </c>
      <c r="M1685" t="s">
        <v>54</v>
      </c>
    </row>
    <row r="1686" spans="1:13" x14ac:dyDescent="0.2">
      <c r="A1686" s="1">
        <v>46090</v>
      </c>
      <c r="B1686" t="s">
        <v>52</v>
      </c>
      <c r="C1686" t="s">
        <v>55</v>
      </c>
      <c r="E1686">
        <v>186886</v>
      </c>
      <c r="F1686">
        <v>2468</v>
      </c>
      <c r="G1686">
        <v>592.62</v>
      </c>
      <c r="I1686">
        <v>136</v>
      </c>
      <c r="J1686" t="s">
        <v>40</v>
      </c>
      <c r="K1686" t="s">
        <v>54</v>
      </c>
      <c r="L1686" t="s">
        <v>54</v>
      </c>
      <c r="M1686" t="s">
        <v>54</v>
      </c>
    </row>
    <row r="1687" spans="1:13" x14ac:dyDescent="0.2">
      <c r="A1687" s="1">
        <v>46090</v>
      </c>
      <c r="B1687" t="s">
        <v>56</v>
      </c>
      <c r="C1687" t="s">
        <v>57</v>
      </c>
      <c r="E1687">
        <v>36693</v>
      </c>
      <c r="F1687">
        <v>2307</v>
      </c>
      <c r="G1687">
        <v>543.89</v>
      </c>
      <c r="I1687">
        <v>203</v>
      </c>
      <c r="J1687" t="s">
        <v>40</v>
      </c>
      <c r="K1687" t="s">
        <v>58</v>
      </c>
      <c r="L1687" t="s">
        <v>42</v>
      </c>
      <c r="M1687" t="s">
        <v>43</v>
      </c>
    </row>
    <row r="1688" spans="1:13" x14ac:dyDescent="0.2">
      <c r="A1688" s="1">
        <v>46090</v>
      </c>
      <c r="B1688" t="s">
        <v>56</v>
      </c>
      <c r="C1688" t="s">
        <v>57</v>
      </c>
      <c r="E1688">
        <v>17166</v>
      </c>
      <c r="F1688">
        <v>900</v>
      </c>
      <c r="G1688">
        <v>166.96</v>
      </c>
      <c r="I1688">
        <v>62</v>
      </c>
      <c r="J1688" t="s">
        <v>40</v>
      </c>
      <c r="K1688" t="s">
        <v>59</v>
      </c>
      <c r="L1688" t="s">
        <v>38</v>
      </c>
      <c r="M1688" t="s">
        <v>43</v>
      </c>
    </row>
    <row r="1689" spans="1:13" x14ac:dyDescent="0.2">
      <c r="A1689" s="1">
        <v>46091</v>
      </c>
      <c r="B1689" t="s">
        <v>35</v>
      </c>
      <c r="C1689" t="s">
        <v>36</v>
      </c>
      <c r="E1689">
        <v>25385</v>
      </c>
      <c r="F1689">
        <v>1738</v>
      </c>
      <c r="G1689">
        <v>428.76</v>
      </c>
      <c r="I1689">
        <v>153</v>
      </c>
      <c r="J1689" t="s">
        <v>40</v>
      </c>
      <c r="K1689" t="s">
        <v>37</v>
      </c>
      <c r="L1689" t="s">
        <v>38</v>
      </c>
      <c r="M1689" t="s">
        <v>39</v>
      </c>
    </row>
    <row r="1690" spans="1:13" x14ac:dyDescent="0.2">
      <c r="A1690" s="1">
        <v>46091</v>
      </c>
      <c r="B1690" t="s">
        <v>35</v>
      </c>
      <c r="C1690" t="s">
        <v>36</v>
      </c>
      <c r="E1690">
        <v>38425</v>
      </c>
      <c r="F1690">
        <v>2149</v>
      </c>
      <c r="G1690">
        <v>405.67</v>
      </c>
      <c r="I1690">
        <v>127</v>
      </c>
      <c r="J1690" t="s">
        <v>40</v>
      </c>
      <c r="K1690" t="s">
        <v>41</v>
      </c>
      <c r="L1690" t="s">
        <v>42</v>
      </c>
      <c r="M1690" t="s">
        <v>43</v>
      </c>
    </row>
    <row r="1691" spans="1:13" x14ac:dyDescent="0.2">
      <c r="A1691" s="1">
        <v>46091</v>
      </c>
      <c r="B1691" t="s">
        <v>44</v>
      </c>
      <c r="C1691" t="s">
        <v>45</v>
      </c>
      <c r="E1691">
        <v>28185</v>
      </c>
      <c r="F1691">
        <v>1462</v>
      </c>
      <c r="G1691">
        <v>304.74</v>
      </c>
      <c r="I1691">
        <v>119</v>
      </c>
      <c r="J1691" t="s">
        <v>40</v>
      </c>
      <c r="K1691" t="s">
        <v>46</v>
      </c>
      <c r="L1691" t="s">
        <v>42</v>
      </c>
      <c r="M1691" t="s">
        <v>47</v>
      </c>
    </row>
    <row r="1692" spans="1:13" x14ac:dyDescent="0.2">
      <c r="A1692" s="1">
        <v>46091</v>
      </c>
      <c r="B1692" t="s">
        <v>44</v>
      </c>
      <c r="C1692" t="s">
        <v>48</v>
      </c>
      <c r="E1692">
        <v>28115</v>
      </c>
      <c r="F1692">
        <v>2001</v>
      </c>
      <c r="G1692">
        <v>510.12</v>
      </c>
      <c r="I1692">
        <v>138</v>
      </c>
      <c r="J1692" t="s">
        <v>40</v>
      </c>
      <c r="K1692" t="s">
        <v>49</v>
      </c>
      <c r="L1692" t="s">
        <v>50</v>
      </c>
      <c r="M1692" t="s">
        <v>51</v>
      </c>
    </row>
    <row r="1693" spans="1:13" x14ac:dyDescent="0.2">
      <c r="A1693" s="1">
        <v>46091</v>
      </c>
      <c r="B1693" t="s">
        <v>52</v>
      </c>
      <c r="C1693" t="s">
        <v>53</v>
      </c>
      <c r="E1693">
        <v>123106</v>
      </c>
      <c r="F1693">
        <v>1411</v>
      </c>
      <c r="G1693">
        <v>296.20999999999998</v>
      </c>
      <c r="I1693">
        <v>98</v>
      </c>
      <c r="J1693" t="s">
        <v>40</v>
      </c>
      <c r="K1693" t="s">
        <v>54</v>
      </c>
      <c r="L1693" t="s">
        <v>54</v>
      </c>
      <c r="M1693" t="s">
        <v>54</v>
      </c>
    </row>
    <row r="1694" spans="1:13" x14ac:dyDescent="0.2">
      <c r="A1694" s="1">
        <v>46091</v>
      </c>
      <c r="B1694" t="s">
        <v>52</v>
      </c>
      <c r="C1694" t="s">
        <v>55</v>
      </c>
      <c r="E1694">
        <v>181568</v>
      </c>
      <c r="F1694">
        <v>2741</v>
      </c>
      <c r="G1694">
        <v>701.27</v>
      </c>
      <c r="I1694">
        <v>243</v>
      </c>
      <c r="J1694" t="s">
        <v>40</v>
      </c>
      <c r="K1694" t="s">
        <v>54</v>
      </c>
      <c r="L1694" t="s">
        <v>54</v>
      </c>
      <c r="M1694" t="s">
        <v>54</v>
      </c>
    </row>
    <row r="1695" spans="1:13" x14ac:dyDescent="0.2">
      <c r="A1695" s="1">
        <v>46091</v>
      </c>
      <c r="B1695" t="s">
        <v>56</v>
      </c>
      <c r="C1695" t="s">
        <v>57</v>
      </c>
      <c r="E1695">
        <v>18530</v>
      </c>
      <c r="F1695">
        <v>1019</v>
      </c>
      <c r="G1695">
        <v>197.13</v>
      </c>
      <c r="I1695">
        <v>84</v>
      </c>
      <c r="J1695" t="s">
        <v>40</v>
      </c>
      <c r="K1695" t="s">
        <v>58</v>
      </c>
      <c r="L1695" t="s">
        <v>42</v>
      </c>
      <c r="M1695" t="s">
        <v>43</v>
      </c>
    </row>
    <row r="1696" spans="1:13" x14ac:dyDescent="0.2">
      <c r="A1696" s="1">
        <v>46091</v>
      </c>
      <c r="B1696" t="s">
        <v>56</v>
      </c>
      <c r="C1696" t="s">
        <v>57</v>
      </c>
      <c r="E1696">
        <v>36379</v>
      </c>
      <c r="F1696">
        <v>2033</v>
      </c>
      <c r="G1696">
        <v>450.06</v>
      </c>
      <c r="I1696">
        <v>128</v>
      </c>
      <c r="J1696" t="s">
        <v>40</v>
      </c>
      <c r="K1696" t="s">
        <v>59</v>
      </c>
      <c r="L1696" t="s">
        <v>38</v>
      </c>
      <c r="M1696" t="s">
        <v>43</v>
      </c>
    </row>
    <row r="1697" spans="1:13" x14ac:dyDescent="0.2">
      <c r="A1697" s="1">
        <v>46092</v>
      </c>
      <c r="B1697" t="s">
        <v>35</v>
      </c>
      <c r="C1697" t="s">
        <v>36</v>
      </c>
      <c r="E1697">
        <v>30810</v>
      </c>
      <c r="F1697">
        <v>1931</v>
      </c>
      <c r="G1697">
        <v>368.69</v>
      </c>
      <c r="I1697">
        <v>162</v>
      </c>
      <c r="J1697" t="s">
        <v>40</v>
      </c>
      <c r="K1697" t="s">
        <v>37</v>
      </c>
      <c r="L1697" t="s">
        <v>38</v>
      </c>
      <c r="M1697" t="s">
        <v>39</v>
      </c>
    </row>
    <row r="1698" spans="1:13" x14ac:dyDescent="0.2">
      <c r="A1698" s="1">
        <v>46092</v>
      </c>
      <c r="B1698" t="s">
        <v>35</v>
      </c>
      <c r="C1698" t="s">
        <v>36</v>
      </c>
      <c r="E1698">
        <v>58064</v>
      </c>
      <c r="F1698">
        <v>4162</v>
      </c>
      <c r="G1698">
        <v>950.46</v>
      </c>
      <c r="I1698">
        <v>343</v>
      </c>
      <c r="J1698" t="s">
        <v>40</v>
      </c>
      <c r="K1698" t="s">
        <v>41</v>
      </c>
      <c r="L1698" t="s">
        <v>42</v>
      </c>
      <c r="M1698" t="s">
        <v>43</v>
      </c>
    </row>
    <row r="1699" spans="1:13" x14ac:dyDescent="0.2">
      <c r="A1699" s="1">
        <v>46092</v>
      </c>
      <c r="B1699" t="s">
        <v>44</v>
      </c>
      <c r="C1699" t="s">
        <v>45</v>
      </c>
      <c r="E1699">
        <v>37467</v>
      </c>
      <c r="F1699">
        <v>2182</v>
      </c>
      <c r="G1699">
        <v>577.75</v>
      </c>
      <c r="I1699">
        <v>142</v>
      </c>
      <c r="J1699" t="s">
        <v>40</v>
      </c>
      <c r="K1699" t="s">
        <v>46</v>
      </c>
      <c r="L1699" t="s">
        <v>42</v>
      </c>
      <c r="M1699" t="s">
        <v>47</v>
      </c>
    </row>
    <row r="1700" spans="1:13" x14ac:dyDescent="0.2">
      <c r="A1700" s="1">
        <v>46092</v>
      </c>
      <c r="B1700" t="s">
        <v>44</v>
      </c>
      <c r="C1700" t="s">
        <v>48</v>
      </c>
      <c r="E1700">
        <v>43147</v>
      </c>
      <c r="F1700">
        <v>3031</v>
      </c>
      <c r="G1700">
        <v>731.77</v>
      </c>
      <c r="I1700">
        <v>226</v>
      </c>
      <c r="J1700" t="s">
        <v>40</v>
      </c>
      <c r="K1700" t="s">
        <v>49</v>
      </c>
      <c r="L1700" t="s">
        <v>50</v>
      </c>
      <c r="M1700" t="s">
        <v>51</v>
      </c>
    </row>
    <row r="1701" spans="1:13" x14ac:dyDescent="0.2">
      <c r="A1701" s="1">
        <v>46092</v>
      </c>
      <c r="B1701" t="s">
        <v>52</v>
      </c>
      <c r="C1701" t="s">
        <v>53</v>
      </c>
      <c r="E1701">
        <v>201810</v>
      </c>
      <c r="F1701">
        <v>2716</v>
      </c>
      <c r="G1701">
        <v>537.74</v>
      </c>
      <c r="I1701">
        <v>215</v>
      </c>
      <c r="J1701" t="s">
        <v>40</v>
      </c>
      <c r="K1701" t="s">
        <v>54</v>
      </c>
      <c r="L1701" t="s">
        <v>54</v>
      </c>
      <c r="M1701" t="s">
        <v>54</v>
      </c>
    </row>
    <row r="1702" spans="1:13" x14ac:dyDescent="0.2">
      <c r="A1702" s="1">
        <v>46092</v>
      </c>
      <c r="B1702" t="s">
        <v>52</v>
      </c>
      <c r="C1702" t="s">
        <v>55</v>
      </c>
      <c r="E1702">
        <v>166496</v>
      </c>
      <c r="F1702">
        <v>2646</v>
      </c>
      <c r="G1702">
        <v>476.7</v>
      </c>
      <c r="I1702">
        <v>148</v>
      </c>
      <c r="J1702" t="s">
        <v>40</v>
      </c>
      <c r="K1702" t="s">
        <v>54</v>
      </c>
      <c r="L1702" t="s">
        <v>54</v>
      </c>
      <c r="M1702" t="s">
        <v>54</v>
      </c>
    </row>
    <row r="1703" spans="1:13" x14ac:dyDescent="0.2">
      <c r="A1703" s="1">
        <v>46092</v>
      </c>
      <c r="B1703" t="s">
        <v>56</v>
      </c>
      <c r="C1703" t="s">
        <v>57</v>
      </c>
      <c r="E1703">
        <v>23046</v>
      </c>
      <c r="F1703">
        <v>1514</v>
      </c>
      <c r="G1703">
        <v>303.91000000000003</v>
      </c>
      <c r="I1703">
        <v>120</v>
      </c>
      <c r="J1703" t="s">
        <v>40</v>
      </c>
      <c r="K1703" t="s">
        <v>58</v>
      </c>
      <c r="L1703" t="s">
        <v>42</v>
      </c>
      <c r="M1703" t="s">
        <v>43</v>
      </c>
    </row>
    <row r="1704" spans="1:13" x14ac:dyDescent="0.2">
      <c r="A1704" s="1">
        <v>46092</v>
      </c>
      <c r="B1704" t="s">
        <v>56</v>
      </c>
      <c r="C1704" t="s">
        <v>57</v>
      </c>
      <c r="E1704">
        <v>48324</v>
      </c>
      <c r="F1704">
        <v>2799</v>
      </c>
      <c r="G1704">
        <v>597.25</v>
      </c>
      <c r="I1704">
        <v>216</v>
      </c>
      <c r="J1704" t="s">
        <v>40</v>
      </c>
      <c r="K1704" t="s">
        <v>59</v>
      </c>
      <c r="L1704" t="s">
        <v>38</v>
      </c>
      <c r="M1704" t="s">
        <v>43</v>
      </c>
    </row>
    <row r="1705" spans="1:13" x14ac:dyDescent="0.2">
      <c r="A1705" s="1">
        <v>46093</v>
      </c>
      <c r="B1705" t="s">
        <v>35</v>
      </c>
      <c r="C1705" t="s">
        <v>36</v>
      </c>
      <c r="E1705">
        <v>31089</v>
      </c>
      <c r="F1705">
        <v>1500</v>
      </c>
      <c r="G1705">
        <v>300.18</v>
      </c>
      <c r="I1705">
        <v>99</v>
      </c>
      <c r="J1705" t="s">
        <v>40</v>
      </c>
      <c r="K1705" t="s">
        <v>37</v>
      </c>
      <c r="L1705" t="s">
        <v>38</v>
      </c>
      <c r="M1705" t="s">
        <v>39</v>
      </c>
    </row>
    <row r="1706" spans="1:13" x14ac:dyDescent="0.2">
      <c r="A1706" s="1">
        <v>46093</v>
      </c>
      <c r="B1706" t="s">
        <v>35</v>
      </c>
      <c r="C1706" t="s">
        <v>36</v>
      </c>
      <c r="E1706">
        <v>18778</v>
      </c>
      <c r="F1706">
        <v>1040</v>
      </c>
      <c r="G1706">
        <v>239.9</v>
      </c>
      <c r="I1706">
        <v>70</v>
      </c>
      <c r="J1706" t="s">
        <v>40</v>
      </c>
      <c r="K1706" t="s">
        <v>41</v>
      </c>
      <c r="L1706" t="s">
        <v>42</v>
      </c>
      <c r="M1706" t="s">
        <v>43</v>
      </c>
    </row>
    <row r="1707" spans="1:13" x14ac:dyDescent="0.2">
      <c r="A1707" s="1">
        <v>46093</v>
      </c>
      <c r="B1707" t="s">
        <v>44</v>
      </c>
      <c r="C1707" t="s">
        <v>45</v>
      </c>
      <c r="E1707">
        <v>13521</v>
      </c>
      <c r="F1707">
        <v>685</v>
      </c>
      <c r="G1707">
        <v>146.13</v>
      </c>
      <c r="I1707">
        <v>48</v>
      </c>
      <c r="J1707" t="s">
        <v>40</v>
      </c>
      <c r="K1707" t="s">
        <v>46</v>
      </c>
      <c r="L1707" t="s">
        <v>42</v>
      </c>
      <c r="M1707" t="s">
        <v>47</v>
      </c>
    </row>
    <row r="1708" spans="1:13" x14ac:dyDescent="0.2">
      <c r="A1708" s="1">
        <v>46093</v>
      </c>
      <c r="B1708" t="s">
        <v>44</v>
      </c>
      <c r="C1708" t="s">
        <v>48</v>
      </c>
      <c r="E1708">
        <v>15480</v>
      </c>
      <c r="F1708">
        <v>1052</v>
      </c>
      <c r="G1708">
        <v>209.77</v>
      </c>
      <c r="I1708">
        <v>92</v>
      </c>
      <c r="J1708" t="s">
        <v>40</v>
      </c>
      <c r="K1708" t="s">
        <v>49</v>
      </c>
      <c r="L1708" t="s">
        <v>50</v>
      </c>
      <c r="M1708" t="s">
        <v>51</v>
      </c>
    </row>
    <row r="1709" spans="1:13" x14ac:dyDescent="0.2">
      <c r="A1709" s="1">
        <v>46093</v>
      </c>
      <c r="B1709" t="s">
        <v>52</v>
      </c>
      <c r="C1709" t="s">
        <v>53</v>
      </c>
      <c r="E1709">
        <v>198636</v>
      </c>
      <c r="F1709">
        <v>3094</v>
      </c>
      <c r="G1709">
        <v>803.59</v>
      </c>
      <c r="I1709">
        <v>250</v>
      </c>
      <c r="J1709" t="s">
        <v>40</v>
      </c>
      <c r="K1709" t="s">
        <v>54</v>
      </c>
      <c r="L1709" t="s">
        <v>54</v>
      </c>
      <c r="M1709" t="s">
        <v>54</v>
      </c>
    </row>
    <row r="1710" spans="1:13" x14ac:dyDescent="0.2">
      <c r="A1710" s="1">
        <v>46093</v>
      </c>
      <c r="B1710" t="s">
        <v>52</v>
      </c>
      <c r="C1710" t="s">
        <v>55</v>
      </c>
      <c r="E1710">
        <v>199043</v>
      </c>
      <c r="F1710">
        <v>2344</v>
      </c>
      <c r="G1710">
        <v>529.89</v>
      </c>
      <c r="I1710">
        <v>210</v>
      </c>
      <c r="J1710" t="s">
        <v>40</v>
      </c>
      <c r="K1710" t="s">
        <v>54</v>
      </c>
      <c r="L1710" t="s">
        <v>54</v>
      </c>
      <c r="M1710" t="s">
        <v>54</v>
      </c>
    </row>
    <row r="1711" spans="1:13" x14ac:dyDescent="0.2">
      <c r="A1711" s="1">
        <v>46093</v>
      </c>
      <c r="B1711" t="s">
        <v>56</v>
      </c>
      <c r="C1711" t="s">
        <v>57</v>
      </c>
      <c r="E1711">
        <v>41549</v>
      </c>
      <c r="F1711">
        <v>2455</v>
      </c>
      <c r="G1711">
        <v>641.78</v>
      </c>
      <c r="I1711">
        <v>226</v>
      </c>
      <c r="J1711" t="s">
        <v>40</v>
      </c>
      <c r="K1711" t="s">
        <v>58</v>
      </c>
      <c r="L1711" t="s">
        <v>42</v>
      </c>
      <c r="M1711" t="s">
        <v>43</v>
      </c>
    </row>
    <row r="1712" spans="1:13" x14ac:dyDescent="0.2">
      <c r="A1712" s="1">
        <v>46093</v>
      </c>
      <c r="B1712" t="s">
        <v>56</v>
      </c>
      <c r="C1712" t="s">
        <v>57</v>
      </c>
      <c r="E1712">
        <v>17772</v>
      </c>
      <c r="F1712">
        <v>1209</v>
      </c>
      <c r="G1712">
        <v>253.81</v>
      </c>
      <c r="I1712">
        <v>101</v>
      </c>
      <c r="J1712" t="s">
        <v>40</v>
      </c>
      <c r="K1712" t="s">
        <v>59</v>
      </c>
      <c r="L1712" t="s">
        <v>38</v>
      </c>
      <c r="M1712" t="s">
        <v>43</v>
      </c>
    </row>
    <row r="1713" spans="1:13" x14ac:dyDescent="0.2">
      <c r="A1713" s="1">
        <v>46094</v>
      </c>
      <c r="B1713" t="s">
        <v>35</v>
      </c>
      <c r="C1713" t="s">
        <v>36</v>
      </c>
      <c r="E1713">
        <v>39878</v>
      </c>
      <c r="F1713">
        <v>2445</v>
      </c>
      <c r="G1713">
        <v>444.68</v>
      </c>
      <c r="I1713">
        <v>190</v>
      </c>
      <c r="J1713" t="s">
        <v>40</v>
      </c>
      <c r="K1713" t="s">
        <v>37</v>
      </c>
      <c r="L1713" t="s">
        <v>38</v>
      </c>
      <c r="M1713" t="s">
        <v>39</v>
      </c>
    </row>
    <row r="1714" spans="1:13" x14ac:dyDescent="0.2">
      <c r="A1714" s="1">
        <v>46094</v>
      </c>
      <c r="B1714" t="s">
        <v>35</v>
      </c>
      <c r="C1714" t="s">
        <v>36</v>
      </c>
      <c r="E1714">
        <v>41260</v>
      </c>
      <c r="F1714">
        <v>2772</v>
      </c>
      <c r="G1714">
        <v>745.12</v>
      </c>
      <c r="I1714">
        <v>191</v>
      </c>
      <c r="J1714" t="s">
        <v>40</v>
      </c>
      <c r="K1714" t="s">
        <v>41</v>
      </c>
      <c r="L1714" t="s">
        <v>42</v>
      </c>
      <c r="M1714" t="s">
        <v>43</v>
      </c>
    </row>
    <row r="1715" spans="1:13" x14ac:dyDescent="0.2">
      <c r="A1715" s="1">
        <v>46094</v>
      </c>
      <c r="B1715" t="s">
        <v>44</v>
      </c>
      <c r="C1715" t="s">
        <v>45</v>
      </c>
      <c r="E1715">
        <v>25719</v>
      </c>
      <c r="F1715">
        <v>1407</v>
      </c>
      <c r="G1715">
        <v>257.64999999999998</v>
      </c>
      <c r="I1715">
        <v>132</v>
      </c>
      <c r="J1715" t="s">
        <v>40</v>
      </c>
      <c r="K1715" t="s">
        <v>46</v>
      </c>
      <c r="L1715" t="s">
        <v>42</v>
      </c>
      <c r="M1715" t="s">
        <v>47</v>
      </c>
    </row>
    <row r="1716" spans="1:13" x14ac:dyDescent="0.2">
      <c r="A1716" s="1">
        <v>46094</v>
      </c>
      <c r="B1716" t="s">
        <v>44</v>
      </c>
      <c r="C1716" t="s">
        <v>48</v>
      </c>
      <c r="E1716">
        <v>27138</v>
      </c>
      <c r="F1716">
        <v>1674</v>
      </c>
      <c r="G1716">
        <v>366.53</v>
      </c>
      <c r="I1716">
        <v>131</v>
      </c>
      <c r="J1716" t="s">
        <v>40</v>
      </c>
      <c r="K1716" t="s">
        <v>49</v>
      </c>
      <c r="L1716" t="s">
        <v>50</v>
      </c>
      <c r="M1716" t="s">
        <v>51</v>
      </c>
    </row>
    <row r="1717" spans="1:13" x14ac:dyDescent="0.2">
      <c r="A1717" s="1">
        <v>46094</v>
      </c>
      <c r="B1717" t="s">
        <v>52</v>
      </c>
      <c r="C1717" t="s">
        <v>53</v>
      </c>
      <c r="E1717">
        <v>169529</v>
      </c>
      <c r="F1717">
        <v>2462</v>
      </c>
      <c r="G1717">
        <v>520.59</v>
      </c>
      <c r="I1717">
        <v>138</v>
      </c>
      <c r="J1717" t="s">
        <v>40</v>
      </c>
      <c r="K1717" t="s">
        <v>54</v>
      </c>
      <c r="L1717" t="s">
        <v>54</v>
      </c>
      <c r="M1717" t="s">
        <v>54</v>
      </c>
    </row>
    <row r="1718" spans="1:13" x14ac:dyDescent="0.2">
      <c r="A1718" s="1">
        <v>46094</v>
      </c>
      <c r="B1718" t="s">
        <v>52</v>
      </c>
      <c r="C1718" t="s">
        <v>55</v>
      </c>
      <c r="E1718">
        <v>187519</v>
      </c>
      <c r="F1718">
        <v>2144</v>
      </c>
      <c r="G1718">
        <v>573.96</v>
      </c>
      <c r="I1718">
        <v>149</v>
      </c>
      <c r="J1718" t="s">
        <v>40</v>
      </c>
      <c r="K1718" t="s">
        <v>54</v>
      </c>
      <c r="L1718" t="s">
        <v>54</v>
      </c>
      <c r="M1718" t="s">
        <v>54</v>
      </c>
    </row>
    <row r="1719" spans="1:13" x14ac:dyDescent="0.2">
      <c r="A1719" s="1">
        <v>46094</v>
      </c>
      <c r="B1719" t="s">
        <v>56</v>
      </c>
      <c r="C1719" t="s">
        <v>57</v>
      </c>
      <c r="E1719">
        <v>38782</v>
      </c>
      <c r="F1719">
        <v>2062</v>
      </c>
      <c r="G1719">
        <v>433.5</v>
      </c>
      <c r="I1719">
        <v>122</v>
      </c>
      <c r="J1719" t="s">
        <v>40</v>
      </c>
      <c r="K1719" t="s">
        <v>58</v>
      </c>
      <c r="L1719" t="s">
        <v>42</v>
      </c>
      <c r="M1719" t="s">
        <v>43</v>
      </c>
    </row>
    <row r="1720" spans="1:13" x14ac:dyDescent="0.2">
      <c r="A1720" s="1">
        <v>46094</v>
      </c>
      <c r="B1720" t="s">
        <v>56</v>
      </c>
      <c r="C1720" t="s">
        <v>57</v>
      </c>
      <c r="E1720">
        <v>16185</v>
      </c>
      <c r="F1720">
        <v>1079</v>
      </c>
      <c r="G1720">
        <v>292.77</v>
      </c>
      <c r="I1720">
        <v>78</v>
      </c>
      <c r="J1720" t="s">
        <v>40</v>
      </c>
      <c r="K1720" t="s">
        <v>59</v>
      </c>
      <c r="L1720" t="s">
        <v>38</v>
      </c>
      <c r="M1720" t="s">
        <v>43</v>
      </c>
    </row>
    <row r="1721" spans="1:13" x14ac:dyDescent="0.2">
      <c r="A1721" s="1">
        <v>46095</v>
      </c>
      <c r="B1721" t="s">
        <v>35</v>
      </c>
      <c r="C1721" t="s">
        <v>36</v>
      </c>
      <c r="E1721">
        <v>15124</v>
      </c>
      <c r="F1721">
        <v>1015</v>
      </c>
      <c r="G1721">
        <v>274.55</v>
      </c>
      <c r="I1721">
        <v>62</v>
      </c>
      <c r="J1721" t="s">
        <v>40</v>
      </c>
      <c r="K1721" t="s">
        <v>37</v>
      </c>
      <c r="L1721" t="s">
        <v>38</v>
      </c>
      <c r="M1721" t="s">
        <v>39</v>
      </c>
    </row>
    <row r="1722" spans="1:13" x14ac:dyDescent="0.2">
      <c r="A1722" s="1">
        <v>46095</v>
      </c>
      <c r="B1722" t="s">
        <v>35</v>
      </c>
      <c r="C1722" t="s">
        <v>36</v>
      </c>
      <c r="E1722">
        <v>41975</v>
      </c>
      <c r="F1722">
        <v>2945</v>
      </c>
      <c r="G1722">
        <v>745.8</v>
      </c>
      <c r="I1722">
        <v>223</v>
      </c>
      <c r="J1722" t="s">
        <v>40</v>
      </c>
      <c r="K1722" t="s">
        <v>41</v>
      </c>
      <c r="L1722" t="s">
        <v>42</v>
      </c>
      <c r="M1722" t="s">
        <v>43</v>
      </c>
    </row>
    <row r="1723" spans="1:13" x14ac:dyDescent="0.2">
      <c r="A1723" s="1">
        <v>46095</v>
      </c>
      <c r="B1723" t="s">
        <v>44</v>
      </c>
      <c r="C1723" t="s">
        <v>45</v>
      </c>
      <c r="E1723">
        <v>40887</v>
      </c>
      <c r="F1723">
        <v>2103</v>
      </c>
      <c r="G1723">
        <v>561.88</v>
      </c>
      <c r="I1723">
        <v>184</v>
      </c>
      <c r="J1723" t="s">
        <v>40</v>
      </c>
      <c r="K1723" t="s">
        <v>46</v>
      </c>
      <c r="L1723" t="s">
        <v>42</v>
      </c>
      <c r="M1723" t="s">
        <v>47</v>
      </c>
    </row>
    <row r="1724" spans="1:13" x14ac:dyDescent="0.2">
      <c r="A1724" s="1">
        <v>46095</v>
      </c>
      <c r="B1724" t="s">
        <v>44</v>
      </c>
      <c r="C1724" t="s">
        <v>48</v>
      </c>
      <c r="E1724">
        <v>56973</v>
      </c>
      <c r="F1724">
        <v>3660</v>
      </c>
      <c r="G1724">
        <v>707.37</v>
      </c>
      <c r="I1724">
        <v>307</v>
      </c>
      <c r="J1724" t="s">
        <v>40</v>
      </c>
      <c r="K1724" t="s">
        <v>49</v>
      </c>
      <c r="L1724" t="s">
        <v>50</v>
      </c>
      <c r="M1724" t="s">
        <v>51</v>
      </c>
    </row>
    <row r="1725" spans="1:13" x14ac:dyDescent="0.2">
      <c r="A1725" s="1">
        <v>46095</v>
      </c>
      <c r="B1725" t="s">
        <v>52</v>
      </c>
      <c r="C1725" t="s">
        <v>53</v>
      </c>
      <c r="E1725">
        <v>195273</v>
      </c>
      <c r="F1725">
        <v>2526</v>
      </c>
      <c r="G1725">
        <v>673.13</v>
      </c>
      <c r="I1725">
        <v>150</v>
      </c>
      <c r="J1725" t="s">
        <v>40</v>
      </c>
      <c r="K1725" t="s">
        <v>54</v>
      </c>
      <c r="L1725" t="s">
        <v>54</v>
      </c>
      <c r="M1725" t="s">
        <v>54</v>
      </c>
    </row>
    <row r="1726" spans="1:13" x14ac:dyDescent="0.2">
      <c r="A1726" s="1">
        <v>46095</v>
      </c>
      <c r="B1726" t="s">
        <v>52</v>
      </c>
      <c r="C1726" t="s">
        <v>55</v>
      </c>
      <c r="E1726">
        <v>169988</v>
      </c>
      <c r="F1726">
        <v>2662</v>
      </c>
      <c r="G1726">
        <v>662.05</v>
      </c>
      <c r="I1726">
        <v>209</v>
      </c>
      <c r="J1726" t="s">
        <v>40</v>
      </c>
      <c r="K1726" t="s">
        <v>54</v>
      </c>
      <c r="L1726" t="s">
        <v>54</v>
      </c>
      <c r="M1726" t="s">
        <v>54</v>
      </c>
    </row>
    <row r="1727" spans="1:13" x14ac:dyDescent="0.2">
      <c r="A1727" s="1">
        <v>46095</v>
      </c>
      <c r="B1727" t="s">
        <v>56</v>
      </c>
      <c r="C1727" t="s">
        <v>57</v>
      </c>
      <c r="E1727">
        <v>20417</v>
      </c>
      <c r="F1727">
        <v>1143</v>
      </c>
      <c r="G1727">
        <v>307.37</v>
      </c>
      <c r="I1727">
        <v>67</v>
      </c>
      <c r="J1727" t="s">
        <v>40</v>
      </c>
      <c r="K1727" t="s">
        <v>58</v>
      </c>
      <c r="L1727" t="s">
        <v>42</v>
      </c>
      <c r="M1727" t="s">
        <v>43</v>
      </c>
    </row>
    <row r="1728" spans="1:13" x14ac:dyDescent="0.2">
      <c r="A1728" s="1">
        <v>46095</v>
      </c>
      <c r="B1728" t="s">
        <v>56</v>
      </c>
      <c r="C1728" t="s">
        <v>57</v>
      </c>
      <c r="E1728">
        <v>39621</v>
      </c>
      <c r="F1728">
        <v>1923</v>
      </c>
      <c r="G1728">
        <v>492</v>
      </c>
      <c r="I1728">
        <v>154</v>
      </c>
      <c r="J1728" t="s">
        <v>40</v>
      </c>
      <c r="K1728" t="s">
        <v>59</v>
      </c>
      <c r="L1728" t="s">
        <v>38</v>
      </c>
      <c r="M1728" t="s">
        <v>43</v>
      </c>
    </row>
    <row r="1729" spans="1:13" x14ac:dyDescent="0.2">
      <c r="A1729" s="1">
        <v>46096</v>
      </c>
      <c r="B1729" t="s">
        <v>35</v>
      </c>
      <c r="C1729" t="s">
        <v>36</v>
      </c>
      <c r="E1729">
        <v>30877</v>
      </c>
      <c r="F1729">
        <v>1719</v>
      </c>
      <c r="G1729">
        <v>342.52</v>
      </c>
      <c r="I1729">
        <v>113</v>
      </c>
      <c r="J1729" t="s">
        <v>40</v>
      </c>
      <c r="K1729" t="s">
        <v>37</v>
      </c>
      <c r="L1729" t="s">
        <v>38</v>
      </c>
      <c r="M1729" t="s">
        <v>39</v>
      </c>
    </row>
    <row r="1730" spans="1:13" x14ac:dyDescent="0.2">
      <c r="A1730" s="1">
        <v>46096</v>
      </c>
      <c r="B1730" t="s">
        <v>35</v>
      </c>
      <c r="C1730" t="s">
        <v>36</v>
      </c>
      <c r="E1730">
        <v>40189</v>
      </c>
      <c r="F1730">
        <v>2674</v>
      </c>
      <c r="G1730">
        <v>660.78</v>
      </c>
      <c r="I1730">
        <v>176</v>
      </c>
      <c r="J1730" t="s">
        <v>40</v>
      </c>
      <c r="K1730" t="s">
        <v>41</v>
      </c>
      <c r="L1730" t="s">
        <v>42</v>
      </c>
      <c r="M1730" t="s">
        <v>43</v>
      </c>
    </row>
    <row r="1731" spans="1:13" x14ac:dyDescent="0.2">
      <c r="A1731" s="1">
        <v>46096</v>
      </c>
      <c r="B1731" t="s">
        <v>44</v>
      </c>
      <c r="C1731" t="s">
        <v>45</v>
      </c>
      <c r="E1731">
        <v>26417</v>
      </c>
      <c r="F1731">
        <v>1441</v>
      </c>
      <c r="G1731">
        <v>261.58</v>
      </c>
      <c r="I1731">
        <v>115</v>
      </c>
      <c r="J1731" t="s">
        <v>40</v>
      </c>
      <c r="K1731" t="s">
        <v>46</v>
      </c>
      <c r="L1731" t="s">
        <v>42</v>
      </c>
      <c r="M1731" t="s">
        <v>47</v>
      </c>
    </row>
    <row r="1732" spans="1:13" x14ac:dyDescent="0.2">
      <c r="A1732" s="1">
        <v>46096</v>
      </c>
      <c r="B1732" t="s">
        <v>44</v>
      </c>
      <c r="C1732" t="s">
        <v>48</v>
      </c>
      <c r="E1732">
        <v>56795</v>
      </c>
      <c r="F1732">
        <v>2865</v>
      </c>
      <c r="G1732">
        <v>671.13</v>
      </c>
      <c r="I1732">
        <v>220</v>
      </c>
      <c r="J1732" t="s">
        <v>40</v>
      </c>
      <c r="K1732" t="s">
        <v>49</v>
      </c>
      <c r="L1732" t="s">
        <v>50</v>
      </c>
      <c r="M1732" t="s">
        <v>51</v>
      </c>
    </row>
    <row r="1733" spans="1:13" x14ac:dyDescent="0.2">
      <c r="A1733" s="1">
        <v>46096</v>
      </c>
      <c r="B1733" t="s">
        <v>52</v>
      </c>
      <c r="C1733" t="s">
        <v>53</v>
      </c>
      <c r="E1733">
        <v>163185</v>
      </c>
      <c r="F1733">
        <v>1910</v>
      </c>
      <c r="G1733">
        <v>478.33</v>
      </c>
      <c r="I1733">
        <v>126</v>
      </c>
      <c r="J1733" t="s">
        <v>40</v>
      </c>
      <c r="K1733" t="s">
        <v>54</v>
      </c>
      <c r="L1733" t="s">
        <v>54</v>
      </c>
      <c r="M1733" t="s">
        <v>54</v>
      </c>
    </row>
    <row r="1734" spans="1:13" x14ac:dyDescent="0.2">
      <c r="A1734" s="1">
        <v>46096</v>
      </c>
      <c r="B1734" t="s">
        <v>52</v>
      </c>
      <c r="C1734" t="s">
        <v>55</v>
      </c>
      <c r="E1734">
        <v>158715</v>
      </c>
      <c r="F1734">
        <v>1881</v>
      </c>
      <c r="G1734">
        <v>397.15</v>
      </c>
      <c r="I1734">
        <v>170</v>
      </c>
      <c r="J1734" t="s">
        <v>40</v>
      </c>
      <c r="K1734" t="s">
        <v>54</v>
      </c>
      <c r="L1734" t="s">
        <v>54</v>
      </c>
      <c r="M1734" t="s">
        <v>54</v>
      </c>
    </row>
    <row r="1735" spans="1:13" x14ac:dyDescent="0.2">
      <c r="A1735" s="1">
        <v>46096</v>
      </c>
      <c r="B1735" t="s">
        <v>56</v>
      </c>
      <c r="C1735" t="s">
        <v>57</v>
      </c>
      <c r="E1735">
        <v>50796</v>
      </c>
      <c r="F1735">
        <v>2500</v>
      </c>
      <c r="G1735">
        <v>457.25</v>
      </c>
      <c r="I1735">
        <v>227</v>
      </c>
      <c r="J1735" t="s">
        <v>40</v>
      </c>
      <c r="K1735" t="s">
        <v>58</v>
      </c>
      <c r="L1735" t="s">
        <v>42</v>
      </c>
      <c r="M1735" t="s">
        <v>43</v>
      </c>
    </row>
    <row r="1736" spans="1:13" x14ac:dyDescent="0.2">
      <c r="A1736" s="1">
        <v>46096</v>
      </c>
      <c r="B1736" t="s">
        <v>56</v>
      </c>
      <c r="C1736" t="s">
        <v>57</v>
      </c>
      <c r="E1736">
        <v>17297</v>
      </c>
      <c r="F1736">
        <v>874</v>
      </c>
      <c r="G1736">
        <v>162.02000000000001</v>
      </c>
      <c r="I1736">
        <v>62</v>
      </c>
      <c r="J1736" t="s">
        <v>40</v>
      </c>
      <c r="K1736" t="s">
        <v>59</v>
      </c>
      <c r="L1736" t="s">
        <v>38</v>
      </c>
      <c r="M1736" t="s">
        <v>43</v>
      </c>
    </row>
    <row r="1737" spans="1:13" x14ac:dyDescent="0.2">
      <c r="A1737" s="1">
        <v>46096</v>
      </c>
      <c r="B1737" t="s">
        <v>67</v>
      </c>
      <c r="C1737" t="s">
        <v>68</v>
      </c>
      <c r="E1737">
        <v>28247</v>
      </c>
      <c r="F1737">
        <v>1833</v>
      </c>
      <c r="G1737">
        <v>493.31</v>
      </c>
      <c r="I1737">
        <v>146</v>
      </c>
      <c r="J1737" t="s">
        <v>40</v>
      </c>
      <c r="K1737" t="s">
        <v>69</v>
      </c>
      <c r="L1737" t="s">
        <v>42</v>
      </c>
      <c r="M1737" t="s">
        <v>43</v>
      </c>
    </row>
    <row r="1738" spans="1:13" x14ac:dyDescent="0.2">
      <c r="A1738" s="1">
        <v>46096</v>
      </c>
      <c r="B1738" t="s">
        <v>67</v>
      </c>
      <c r="C1738" t="s">
        <v>68</v>
      </c>
      <c r="E1738">
        <v>50983</v>
      </c>
      <c r="F1738">
        <v>3201</v>
      </c>
      <c r="G1738">
        <v>676.19</v>
      </c>
      <c r="I1738">
        <v>280</v>
      </c>
      <c r="J1738" t="s">
        <v>40</v>
      </c>
      <c r="K1738" t="s">
        <v>70</v>
      </c>
      <c r="L1738" t="s">
        <v>38</v>
      </c>
      <c r="M1738" t="s">
        <v>43</v>
      </c>
    </row>
    <row r="1739" spans="1:13" x14ac:dyDescent="0.2">
      <c r="A1739" s="1">
        <v>46097</v>
      </c>
      <c r="B1739" t="s">
        <v>35</v>
      </c>
      <c r="C1739" t="s">
        <v>36</v>
      </c>
      <c r="E1739">
        <v>58450</v>
      </c>
      <c r="F1739">
        <v>2915</v>
      </c>
      <c r="G1739">
        <v>793.69</v>
      </c>
      <c r="I1739">
        <v>249</v>
      </c>
      <c r="J1739" t="s">
        <v>40</v>
      </c>
      <c r="K1739" t="s">
        <v>37</v>
      </c>
      <c r="L1739" t="s">
        <v>38</v>
      </c>
      <c r="M1739" t="s">
        <v>39</v>
      </c>
    </row>
    <row r="1740" spans="1:13" x14ac:dyDescent="0.2">
      <c r="A1740" s="1">
        <v>46097</v>
      </c>
      <c r="B1740" t="s">
        <v>35</v>
      </c>
      <c r="C1740" t="s">
        <v>36</v>
      </c>
      <c r="E1740">
        <v>24228</v>
      </c>
      <c r="F1740">
        <v>1216</v>
      </c>
      <c r="G1740">
        <v>316.45</v>
      </c>
      <c r="I1740">
        <v>100</v>
      </c>
      <c r="J1740" t="s">
        <v>40</v>
      </c>
      <c r="K1740" t="s">
        <v>41</v>
      </c>
      <c r="L1740" t="s">
        <v>42</v>
      </c>
      <c r="M1740" t="s">
        <v>43</v>
      </c>
    </row>
    <row r="1741" spans="1:13" x14ac:dyDescent="0.2">
      <c r="A1741" s="1">
        <v>46097</v>
      </c>
      <c r="B1741" t="s">
        <v>44</v>
      </c>
      <c r="C1741" t="s">
        <v>45</v>
      </c>
      <c r="E1741">
        <v>21286</v>
      </c>
      <c r="F1741">
        <v>1254</v>
      </c>
      <c r="G1741">
        <v>311.55</v>
      </c>
      <c r="I1741">
        <v>104</v>
      </c>
      <c r="J1741" t="s">
        <v>40</v>
      </c>
      <c r="K1741" t="s">
        <v>46</v>
      </c>
      <c r="L1741" t="s">
        <v>42</v>
      </c>
      <c r="M1741" t="s">
        <v>47</v>
      </c>
    </row>
    <row r="1742" spans="1:13" x14ac:dyDescent="0.2">
      <c r="A1742" s="1">
        <v>46097</v>
      </c>
      <c r="B1742" t="s">
        <v>44</v>
      </c>
      <c r="C1742" t="s">
        <v>48</v>
      </c>
      <c r="E1742">
        <v>52650</v>
      </c>
      <c r="F1742">
        <v>3121</v>
      </c>
      <c r="G1742">
        <v>857.48</v>
      </c>
      <c r="I1742">
        <v>189</v>
      </c>
      <c r="J1742" t="s">
        <v>40</v>
      </c>
      <c r="K1742" t="s">
        <v>49</v>
      </c>
      <c r="L1742" t="s">
        <v>50</v>
      </c>
      <c r="M1742" t="s">
        <v>51</v>
      </c>
    </row>
    <row r="1743" spans="1:13" x14ac:dyDescent="0.2">
      <c r="A1743" s="1">
        <v>46097</v>
      </c>
      <c r="B1743" t="s">
        <v>52</v>
      </c>
      <c r="C1743" t="s">
        <v>53</v>
      </c>
      <c r="E1743">
        <v>160969</v>
      </c>
      <c r="F1743">
        <v>2505</v>
      </c>
      <c r="G1743">
        <v>549.12</v>
      </c>
      <c r="I1743">
        <v>207</v>
      </c>
      <c r="J1743" t="s">
        <v>40</v>
      </c>
      <c r="K1743" t="s">
        <v>54</v>
      </c>
      <c r="L1743" t="s">
        <v>54</v>
      </c>
      <c r="M1743" t="s">
        <v>54</v>
      </c>
    </row>
    <row r="1744" spans="1:13" x14ac:dyDescent="0.2">
      <c r="A1744" s="1">
        <v>46097</v>
      </c>
      <c r="B1744" t="s">
        <v>52</v>
      </c>
      <c r="C1744" t="s">
        <v>55</v>
      </c>
      <c r="E1744">
        <v>173284</v>
      </c>
      <c r="F1744">
        <v>2589</v>
      </c>
      <c r="G1744">
        <v>694.47</v>
      </c>
      <c r="I1744">
        <v>189</v>
      </c>
      <c r="J1744" t="s">
        <v>40</v>
      </c>
      <c r="K1744" t="s">
        <v>54</v>
      </c>
      <c r="L1744" t="s">
        <v>54</v>
      </c>
      <c r="M1744" t="s">
        <v>54</v>
      </c>
    </row>
    <row r="1745" spans="1:13" x14ac:dyDescent="0.2">
      <c r="A1745" s="1">
        <v>46097</v>
      </c>
      <c r="B1745" t="s">
        <v>56</v>
      </c>
      <c r="C1745" t="s">
        <v>57</v>
      </c>
      <c r="E1745">
        <v>15577</v>
      </c>
      <c r="F1745">
        <v>772</v>
      </c>
      <c r="G1745">
        <v>147.66999999999999</v>
      </c>
      <c r="I1745">
        <v>57</v>
      </c>
      <c r="J1745" t="s">
        <v>40</v>
      </c>
      <c r="K1745" t="s">
        <v>58</v>
      </c>
      <c r="L1745" t="s">
        <v>42</v>
      </c>
      <c r="M1745" t="s">
        <v>43</v>
      </c>
    </row>
    <row r="1746" spans="1:13" x14ac:dyDescent="0.2">
      <c r="A1746" s="1">
        <v>46097</v>
      </c>
      <c r="B1746" t="s">
        <v>56</v>
      </c>
      <c r="C1746" t="s">
        <v>57</v>
      </c>
      <c r="E1746">
        <v>27550</v>
      </c>
      <c r="F1746">
        <v>1509</v>
      </c>
      <c r="G1746">
        <v>324.23</v>
      </c>
      <c r="I1746">
        <v>117</v>
      </c>
      <c r="J1746" t="s">
        <v>40</v>
      </c>
      <c r="K1746" t="s">
        <v>59</v>
      </c>
      <c r="L1746" t="s">
        <v>38</v>
      </c>
      <c r="M1746" t="s">
        <v>43</v>
      </c>
    </row>
    <row r="1747" spans="1:13" x14ac:dyDescent="0.2">
      <c r="A1747" s="1">
        <v>46097</v>
      </c>
      <c r="B1747" t="s">
        <v>67</v>
      </c>
      <c r="C1747" t="s">
        <v>68</v>
      </c>
      <c r="E1747">
        <v>56274</v>
      </c>
      <c r="F1747">
        <v>2840</v>
      </c>
      <c r="G1747">
        <v>743.39</v>
      </c>
      <c r="I1747">
        <v>246</v>
      </c>
      <c r="J1747" t="s">
        <v>40</v>
      </c>
      <c r="K1747" t="s">
        <v>69</v>
      </c>
      <c r="L1747" t="s">
        <v>42</v>
      </c>
      <c r="M1747" t="s">
        <v>43</v>
      </c>
    </row>
    <row r="1748" spans="1:13" x14ac:dyDescent="0.2">
      <c r="A1748" s="1">
        <v>46097</v>
      </c>
      <c r="B1748" t="s">
        <v>67</v>
      </c>
      <c r="C1748" t="s">
        <v>68</v>
      </c>
      <c r="E1748">
        <v>40762</v>
      </c>
      <c r="F1748">
        <v>2500</v>
      </c>
      <c r="G1748">
        <v>467.73</v>
      </c>
      <c r="I1748">
        <v>167</v>
      </c>
      <c r="J1748" t="s">
        <v>40</v>
      </c>
      <c r="K1748" t="s">
        <v>70</v>
      </c>
      <c r="L1748" t="s">
        <v>38</v>
      </c>
      <c r="M1748" t="s">
        <v>43</v>
      </c>
    </row>
    <row r="1749" spans="1:13" x14ac:dyDescent="0.2">
      <c r="A1749" s="1">
        <v>46098</v>
      </c>
      <c r="B1749" t="s">
        <v>35</v>
      </c>
      <c r="C1749" t="s">
        <v>36</v>
      </c>
      <c r="E1749">
        <v>52273</v>
      </c>
      <c r="F1749">
        <v>3011</v>
      </c>
      <c r="G1749">
        <v>666.47</v>
      </c>
      <c r="I1749">
        <v>240</v>
      </c>
      <c r="J1749" t="s">
        <v>40</v>
      </c>
      <c r="K1749" t="s">
        <v>37</v>
      </c>
      <c r="L1749" t="s">
        <v>38</v>
      </c>
      <c r="M1749" t="s">
        <v>39</v>
      </c>
    </row>
    <row r="1750" spans="1:13" x14ac:dyDescent="0.2">
      <c r="A1750" s="1">
        <v>46098</v>
      </c>
      <c r="B1750" t="s">
        <v>35</v>
      </c>
      <c r="C1750" t="s">
        <v>36</v>
      </c>
      <c r="E1750">
        <v>26547</v>
      </c>
      <c r="F1750">
        <v>1894</v>
      </c>
      <c r="G1750">
        <v>413.61</v>
      </c>
      <c r="I1750">
        <v>129</v>
      </c>
      <c r="J1750" t="s">
        <v>40</v>
      </c>
      <c r="K1750" t="s">
        <v>41</v>
      </c>
      <c r="L1750" t="s">
        <v>42</v>
      </c>
      <c r="M1750" t="s">
        <v>43</v>
      </c>
    </row>
    <row r="1751" spans="1:13" x14ac:dyDescent="0.2">
      <c r="A1751" s="1">
        <v>46098</v>
      </c>
      <c r="B1751" t="s">
        <v>44</v>
      </c>
      <c r="C1751" t="s">
        <v>45</v>
      </c>
      <c r="E1751">
        <v>49731</v>
      </c>
      <c r="F1751">
        <v>3323</v>
      </c>
      <c r="G1751">
        <v>742.81</v>
      </c>
      <c r="I1751">
        <v>287</v>
      </c>
      <c r="J1751" t="s">
        <v>40</v>
      </c>
      <c r="K1751" t="s">
        <v>46</v>
      </c>
      <c r="L1751" t="s">
        <v>42</v>
      </c>
      <c r="M1751" t="s">
        <v>47</v>
      </c>
    </row>
    <row r="1752" spans="1:13" x14ac:dyDescent="0.2">
      <c r="A1752" s="1">
        <v>46098</v>
      </c>
      <c r="B1752" t="s">
        <v>44</v>
      </c>
      <c r="C1752" t="s">
        <v>48</v>
      </c>
      <c r="E1752">
        <v>33118</v>
      </c>
      <c r="F1752">
        <v>1727</v>
      </c>
      <c r="G1752">
        <v>426.5</v>
      </c>
      <c r="I1752">
        <v>146</v>
      </c>
      <c r="J1752" t="s">
        <v>40</v>
      </c>
      <c r="K1752" t="s">
        <v>49</v>
      </c>
      <c r="L1752" t="s">
        <v>50</v>
      </c>
      <c r="M1752" t="s">
        <v>51</v>
      </c>
    </row>
    <row r="1753" spans="1:13" x14ac:dyDescent="0.2">
      <c r="A1753" s="1">
        <v>46098</v>
      </c>
      <c r="B1753" t="s">
        <v>52</v>
      </c>
      <c r="C1753" t="s">
        <v>53</v>
      </c>
      <c r="E1753">
        <v>214838</v>
      </c>
      <c r="F1753">
        <v>3262</v>
      </c>
      <c r="G1753">
        <v>624.45000000000005</v>
      </c>
      <c r="I1753">
        <v>257</v>
      </c>
      <c r="J1753" t="s">
        <v>40</v>
      </c>
      <c r="K1753" t="s">
        <v>54</v>
      </c>
      <c r="L1753" t="s">
        <v>54</v>
      </c>
      <c r="M1753" t="s">
        <v>54</v>
      </c>
    </row>
    <row r="1754" spans="1:13" x14ac:dyDescent="0.2">
      <c r="A1754" s="1">
        <v>46098</v>
      </c>
      <c r="B1754" t="s">
        <v>52</v>
      </c>
      <c r="C1754" t="s">
        <v>55</v>
      </c>
      <c r="E1754">
        <v>172441</v>
      </c>
      <c r="F1754">
        <v>2375</v>
      </c>
      <c r="G1754">
        <v>622.73</v>
      </c>
      <c r="I1754">
        <v>147</v>
      </c>
      <c r="J1754" t="s">
        <v>40</v>
      </c>
      <c r="K1754" t="s">
        <v>54</v>
      </c>
      <c r="L1754" t="s">
        <v>54</v>
      </c>
      <c r="M1754" t="s">
        <v>54</v>
      </c>
    </row>
    <row r="1755" spans="1:13" x14ac:dyDescent="0.2">
      <c r="A1755" s="1">
        <v>46098</v>
      </c>
      <c r="B1755" t="s">
        <v>56</v>
      </c>
      <c r="C1755" t="s">
        <v>57</v>
      </c>
      <c r="E1755">
        <v>47572</v>
      </c>
      <c r="F1755">
        <v>2362</v>
      </c>
      <c r="G1755">
        <v>450.85</v>
      </c>
      <c r="I1755">
        <v>206</v>
      </c>
      <c r="J1755" t="s">
        <v>40</v>
      </c>
      <c r="K1755" t="s">
        <v>58</v>
      </c>
      <c r="L1755" t="s">
        <v>42</v>
      </c>
      <c r="M1755" t="s">
        <v>43</v>
      </c>
    </row>
    <row r="1756" spans="1:13" x14ac:dyDescent="0.2">
      <c r="A1756" s="1">
        <v>46098</v>
      </c>
      <c r="B1756" t="s">
        <v>56</v>
      </c>
      <c r="C1756" t="s">
        <v>57</v>
      </c>
      <c r="E1756">
        <v>45281</v>
      </c>
      <c r="F1756">
        <v>2529</v>
      </c>
      <c r="G1756">
        <v>618.34</v>
      </c>
      <c r="I1756">
        <v>145</v>
      </c>
      <c r="J1756" t="s">
        <v>40</v>
      </c>
      <c r="K1756" t="s">
        <v>59</v>
      </c>
      <c r="L1756" t="s">
        <v>38</v>
      </c>
      <c r="M1756" t="s">
        <v>43</v>
      </c>
    </row>
    <row r="1757" spans="1:13" x14ac:dyDescent="0.2">
      <c r="A1757" s="1">
        <v>46098</v>
      </c>
      <c r="B1757" t="s">
        <v>67</v>
      </c>
      <c r="C1757" t="s">
        <v>68</v>
      </c>
      <c r="E1757">
        <v>31539</v>
      </c>
      <c r="F1757">
        <v>2132</v>
      </c>
      <c r="G1757">
        <v>572.91999999999996</v>
      </c>
      <c r="I1757">
        <v>194</v>
      </c>
      <c r="J1757" t="s">
        <v>40</v>
      </c>
      <c r="K1757" t="s">
        <v>69</v>
      </c>
      <c r="L1757" t="s">
        <v>42</v>
      </c>
      <c r="M1757" t="s">
        <v>43</v>
      </c>
    </row>
    <row r="1758" spans="1:13" x14ac:dyDescent="0.2">
      <c r="A1758" s="1">
        <v>46098</v>
      </c>
      <c r="B1758" t="s">
        <v>67</v>
      </c>
      <c r="C1758" t="s">
        <v>68</v>
      </c>
      <c r="E1758">
        <v>13015</v>
      </c>
      <c r="F1758">
        <v>861</v>
      </c>
      <c r="G1758">
        <v>211.88</v>
      </c>
      <c r="I1758">
        <v>62</v>
      </c>
      <c r="J1758" t="s">
        <v>40</v>
      </c>
      <c r="K1758" t="s">
        <v>70</v>
      </c>
      <c r="L1758" t="s">
        <v>38</v>
      </c>
      <c r="M1758" t="s">
        <v>43</v>
      </c>
    </row>
    <row r="1759" spans="1:13" x14ac:dyDescent="0.2">
      <c r="A1759" s="1">
        <v>46099</v>
      </c>
      <c r="B1759" t="s">
        <v>35</v>
      </c>
      <c r="C1759" t="s">
        <v>36</v>
      </c>
      <c r="E1759">
        <v>37833</v>
      </c>
      <c r="F1759">
        <v>2170</v>
      </c>
      <c r="G1759">
        <v>516.01</v>
      </c>
      <c r="I1759">
        <v>136</v>
      </c>
      <c r="J1759" t="s">
        <v>40</v>
      </c>
      <c r="K1759" t="s">
        <v>37</v>
      </c>
      <c r="L1759" t="s">
        <v>38</v>
      </c>
      <c r="M1759" t="s">
        <v>39</v>
      </c>
    </row>
    <row r="1760" spans="1:13" x14ac:dyDescent="0.2">
      <c r="A1760" s="1">
        <v>46099</v>
      </c>
      <c r="B1760" t="s">
        <v>35</v>
      </c>
      <c r="C1760" t="s">
        <v>36</v>
      </c>
      <c r="E1760">
        <v>39972</v>
      </c>
      <c r="F1760">
        <v>2206</v>
      </c>
      <c r="G1760">
        <v>572.30999999999995</v>
      </c>
      <c r="I1760">
        <v>181</v>
      </c>
      <c r="J1760" t="s">
        <v>40</v>
      </c>
      <c r="K1760" t="s">
        <v>41</v>
      </c>
      <c r="L1760" t="s">
        <v>42</v>
      </c>
      <c r="M1760" t="s">
        <v>43</v>
      </c>
    </row>
    <row r="1761" spans="1:13" x14ac:dyDescent="0.2">
      <c r="A1761" s="1">
        <v>46099</v>
      </c>
      <c r="B1761" t="s">
        <v>44</v>
      </c>
      <c r="C1761" t="s">
        <v>45</v>
      </c>
      <c r="E1761">
        <v>50037</v>
      </c>
      <c r="F1761">
        <v>3263</v>
      </c>
      <c r="G1761">
        <v>885.94</v>
      </c>
      <c r="I1761">
        <v>308</v>
      </c>
      <c r="J1761" t="s">
        <v>40</v>
      </c>
      <c r="K1761" t="s">
        <v>46</v>
      </c>
      <c r="L1761" t="s">
        <v>42</v>
      </c>
      <c r="M1761" t="s">
        <v>47</v>
      </c>
    </row>
    <row r="1762" spans="1:13" x14ac:dyDescent="0.2">
      <c r="A1762" s="1">
        <v>46099</v>
      </c>
      <c r="B1762" t="s">
        <v>44</v>
      </c>
      <c r="C1762" t="s">
        <v>48</v>
      </c>
      <c r="E1762">
        <v>13691</v>
      </c>
      <c r="F1762">
        <v>858</v>
      </c>
      <c r="G1762">
        <v>198.23</v>
      </c>
      <c r="I1762">
        <v>76</v>
      </c>
      <c r="J1762" t="s">
        <v>40</v>
      </c>
      <c r="K1762" t="s">
        <v>49</v>
      </c>
      <c r="L1762" t="s">
        <v>50</v>
      </c>
      <c r="M1762" t="s">
        <v>51</v>
      </c>
    </row>
    <row r="1763" spans="1:13" x14ac:dyDescent="0.2">
      <c r="A1763" s="1">
        <v>46099</v>
      </c>
      <c r="B1763" t="s">
        <v>52</v>
      </c>
      <c r="C1763" t="s">
        <v>53</v>
      </c>
      <c r="E1763">
        <v>167126</v>
      </c>
      <c r="F1763">
        <v>1890</v>
      </c>
      <c r="G1763">
        <v>510.5</v>
      </c>
      <c r="I1763">
        <v>177</v>
      </c>
      <c r="J1763" t="s">
        <v>40</v>
      </c>
      <c r="K1763" t="s">
        <v>54</v>
      </c>
      <c r="L1763" t="s">
        <v>54</v>
      </c>
      <c r="M1763" t="s">
        <v>54</v>
      </c>
    </row>
    <row r="1764" spans="1:13" x14ac:dyDescent="0.2">
      <c r="A1764" s="1">
        <v>46099</v>
      </c>
      <c r="B1764" t="s">
        <v>52</v>
      </c>
      <c r="C1764" t="s">
        <v>55</v>
      </c>
      <c r="E1764">
        <v>117143</v>
      </c>
      <c r="F1764">
        <v>1700</v>
      </c>
      <c r="G1764">
        <v>445.53</v>
      </c>
      <c r="I1764">
        <v>117</v>
      </c>
      <c r="J1764" t="s">
        <v>40</v>
      </c>
      <c r="K1764" t="s">
        <v>54</v>
      </c>
      <c r="L1764" t="s">
        <v>54</v>
      </c>
      <c r="M1764" t="s">
        <v>54</v>
      </c>
    </row>
    <row r="1765" spans="1:13" x14ac:dyDescent="0.2">
      <c r="A1765" s="1">
        <v>46099</v>
      </c>
      <c r="B1765" t="s">
        <v>56</v>
      </c>
      <c r="C1765" t="s">
        <v>57</v>
      </c>
      <c r="E1765">
        <v>37042</v>
      </c>
      <c r="F1765">
        <v>2547</v>
      </c>
      <c r="G1765">
        <v>518.38</v>
      </c>
      <c r="I1765">
        <v>211</v>
      </c>
      <c r="J1765" t="s">
        <v>40</v>
      </c>
      <c r="K1765" t="s">
        <v>58</v>
      </c>
      <c r="L1765" t="s">
        <v>42</v>
      </c>
      <c r="M1765" t="s">
        <v>43</v>
      </c>
    </row>
    <row r="1766" spans="1:13" x14ac:dyDescent="0.2">
      <c r="A1766" s="1">
        <v>46099</v>
      </c>
      <c r="B1766" t="s">
        <v>56</v>
      </c>
      <c r="C1766" t="s">
        <v>57</v>
      </c>
      <c r="E1766">
        <v>46589</v>
      </c>
      <c r="F1766">
        <v>2935</v>
      </c>
      <c r="G1766">
        <v>737.21</v>
      </c>
      <c r="I1766">
        <v>209</v>
      </c>
      <c r="J1766" t="s">
        <v>40</v>
      </c>
      <c r="K1766" t="s">
        <v>59</v>
      </c>
      <c r="L1766" t="s">
        <v>38</v>
      </c>
      <c r="M1766" t="s">
        <v>43</v>
      </c>
    </row>
    <row r="1767" spans="1:13" x14ac:dyDescent="0.2">
      <c r="A1767" s="1">
        <v>46099</v>
      </c>
      <c r="B1767" t="s">
        <v>67</v>
      </c>
      <c r="C1767" t="s">
        <v>68</v>
      </c>
      <c r="E1767">
        <v>50076</v>
      </c>
      <c r="F1767">
        <v>3058</v>
      </c>
      <c r="G1767">
        <v>753.03</v>
      </c>
      <c r="I1767">
        <v>226</v>
      </c>
      <c r="J1767" t="s">
        <v>40</v>
      </c>
      <c r="K1767" t="s">
        <v>69</v>
      </c>
      <c r="L1767" t="s">
        <v>42</v>
      </c>
      <c r="M1767" t="s">
        <v>43</v>
      </c>
    </row>
    <row r="1768" spans="1:13" x14ac:dyDescent="0.2">
      <c r="A1768" s="1">
        <v>46099</v>
      </c>
      <c r="B1768" t="s">
        <v>67</v>
      </c>
      <c r="C1768" t="s">
        <v>68</v>
      </c>
      <c r="E1768">
        <v>29035</v>
      </c>
      <c r="F1768">
        <v>1780</v>
      </c>
      <c r="G1768">
        <v>470.51</v>
      </c>
      <c r="I1768">
        <v>123</v>
      </c>
      <c r="J1768" t="s">
        <v>40</v>
      </c>
      <c r="K1768" t="s">
        <v>70</v>
      </c>
      <c r="L1768" t="s">
        <v>38</v>
      </c>
      <c r="M1768" t="s">
        <v>43</v>
      </c>
    </row>
    <row r="1769" spans="1:13" x14ac:dyDescent="0.2">
      <c r="A1769" s="1">
        <v>46100</v>
      </c>
      <c r="B1769" t="s">
        <v>35</v>
      </c>
      <c r="C1769" t="s">
        <v>36</v>
      </c>
      <c r="E1769">
        <v>48545</v>
      </c>
      <c r="F1769">
        <v>2509</v>
      </c>
      <c r="G1769">
        <v>701.88</v>
      </c>
      <c r="I1769">
        <v>205</v>
      </c>
      <c r="J1769" t="s">
        <v>40</v>
      </c>
      <c r="K1769" t="s">
        <v>37</v>
      </c>
      <c r="L1769" t="s">
        <v>38</v>
      </c>
      <c r="M1769" t="s">
        <v>39</v>
      </c>
    </row>
    <row r="1770" spans="1:13" x14ac:dyDescent="0.2">
      <c r="A1770" s="1">
        <v>46100</v>
      </c>
      <c r="B1770" t="s">
        <v>35</v>
      </c>
      <c r="C1770" t="s">
        <v>36</v>
      </c>
      <c r="E1770">
        <v>24440</v>
      </c>
      <c r="F1770">
        <v>1179</v>
      </c>
      <c r="G1770">
        <v>288.67</v>
      </c>
      <c r="I1770">
        <v>71</v>
      </c>
      <c r="J1770" t="s">
        <v>40</v>
      </c>
      <c r="K1770" t="s">
        <v>41</v>
      </c>
      <c r="L1770" t="s">
        <v>42</v>
      </c>
      <c r="M1770" t="s">
        <v>43</v>
      </c>
    </row>
    <row r="1771" spans="1:13" x14ac:dyDescent="0.2">
      <c r="A1771" s="1">
        <v>46100</v>
      </c>
      <c r="B1771" t="s">
        <v>44</v>
      </c>
      <c r="C1771" t="s">
        <v>45</v>
      </c>
      <c r="E1771">
        <v>54464</v>
      </c>
      <c r="F1771">
        <v>3474</v>
      </c>
      <c r="G1771">
        <v>964.03</v>
      </c>
      <c r="I1771">
        <v>209</v>
      </c>
      <c r="J1771" t="s">
        <v>40</v>
      </c>
      <c r="K1771" t="s">
        <v>46</v>
      </c>
      <c r="L1771" t="s">
        <v>42</v>
      </c>
      <c r="M1771" t="s">
        <v>47</v>
      </c>
    </row>
    <row r="1772" spans="1:13" x14ac:dyDescent="0.2">
      <c r="A1772" s="1">
        <v>46100</v>
      </c>
      <c r="B1772" t="s">
        <v>44</v>
      </c>
      <c r="C1772" t="s">
        <v>48</v>
      </c>
      <c r="E1772">
        <v>24689</v>
      </c>
      <c r="F1772">
        <v>1565</v>
      </c>
      <c r="G1772">
        <v>346.78</v>
      </c>
      <c r="I1772">
        <v>114</v>
      </c>
      <c r="J1772" t="s">
        <v>40</v>
      </c>
      <c r="K1772" t="s">
        <v>49</v>
      </c>
      <c r="L1772" t="s">
        <v>50</v>
      </c>
      <c r="M1772" t="s">
        <v>51</v>
      </c>
    </row>
    <row r="1773" spans="1:13" x14ac:dyDescent="0.2">
      <c r="A1773" s="1">
        <v>46100</v>
      </c>
      <c r="B1773" t="s">
        <v>52</v>
      </c>
      <c r="C1773" t="s">
        <v>53</v>
      </c>
      <c r="E1773">
        <v>219989</v>
      </c>
      <c r="F1773">
        <v>3443</v>
      </c>
      <c r="G1773">
        <v>834.32</v>
      </c>
      <c r="I1773">
        <v>251</v>
      </c>
      <c r="J1773" t="s">
        <v>40</v>
      </c>
      <c r="K1773" t="s">
        <v>54</v>
      </c>
      <c r="L1773" t="s">
        <v>54</v>
      </c>
      <c r="M1773" t="s">
        <v>54</v>
      </c>
    </row>
    <row r="1774" spans="1:13" x14ac:dyDescent="0.2">
      <c r="A1774" s="1">
        <v>46100</v>
      </c>
      <c r="B1774" t="s">
        <v>52</v>
      </c>
      <c r="C1774" t="s">
        <v>55</v>
      </c>
      <c r="E1774">
        <v>189267</v>
      </c>
      <c r="F1774">
        <v>2604</v>
      </c>
      <c r="G1774">
        <v>585.91</v>
      </c>
      <c r="I1774">
        <v>180</v>
      </c>
      <c r="J1774" t="s">
        <v>40</v>
      </c>
      <c r="K1774" t="s">
        <v>54</v>
      </c>
      <c r="L1774" t="s">
        <v>54</v>
      </c>
      <c r="M1774" t="s">
        <v>54</v>
      </c>
    </row>
    <row r="1775" spans="1:13" x14ac:dyDescent="0.2">
      <c r="A1775" s="1">
        <v>46100</v>
      </c>
      <c r="B1775" t="s">
        <v>56</v>
      </c>
      <c r="C1775" t="s">
        <v>57</v>
      </c>
      <c r="E1775">
        <v>28828</v>
      </c>
      <c r="F1775">
        <v>1677</v>
      </c>
      <c r="G1775">
        <v>303.11</v>
      </c>
      <c r="I1775">
        <v>125</v>
      </c>
      <c r="J1775" t="s">
        <v>40</v>
      </c>
      <c r="K1775" t="s">
        <v>58</v>
      </c>
      <c r="L1775" t="s">
        <v>42</v>
      </c>
      <c r="M1775" t="s">
        <v>43</v>
      </c>
    </row>
    <row r="1776" spans="1:13" x14ac:dyDescent="0.2">
      <c r="A1776" s="1">
        <v>46100</v>
      </c>
      <c r="B1776" t="s">
        <v>56</v>
      </c>
      <c r="C1776" t="s">
        <v>57</v>
      </c>
      <c r="E1776">
        <v>33169</v>
      </c>
      <c r="F1776">
        <v>2159</v>
      </c>
      <c r="G1776">
        <v>446.75</v>
      </c>
      <c r="I1776">
        <v>198</v>
      </c>
      <c r="J1776" t="s">
        <v>40</v>
      </c>
      <c r="K1776" t="s">
        <v>59</v>
      </c>
      <c r="L1776" t="s">
        <v>38</v>
      </c>
      <c r="M1776" t="s">
        <v>43</v>
      </c>
    </row>
    <row r="1777" spans="1:13" x14ac:dyDescent="0.2">
      <c r="A1777" s="1">
        <v>46100</v>
      </c>
      <c r="B1777" t="s">
        <v>67</v>
      </c>
      <c r="C1777" t="s">
        <v>68</v>
      </c>
      <c r="E1777">
        <v>44263</v>
      </c>
      <c r="F1777">
        <v>2160</v>
      </c>
      <c r="G1777">
        <v>396.98</v>
      </c>
      <c r="I1777">
        <v>160</v>
      </c>
      <c r="J1777" t="s">
        <v>40</v>
      </c>
      <c r="K1777" t="s">
        <v>69</v>
      </c>
      <c r="L1777" t="s">
        <v>42</v>
      </c>
      <c r="M1777" t="s">
        <v>43</v>
      </c>
    </row>
    <row r="1778" spans="1:13" x14ac:dyDescent="0.2">
      <c r="A1778" s="1">
        <v>46100</v>
      </c>
      <c r="B1778" t="s">
        <v>67</v>
      </c>
      <c r="C1778" t="s">
        <v>68</v>
      </c>
      <c r="E1778">
        <v>44401</v>
      </c>
      <c r="F1778">
        <v>2251</v>
      </c>
      <c r="G1778">
        <v>513.57000000000005</v>
      </c>
      <c r="I1778">
        <v>185</v>
      </c>
      <c r="J1778" t="s">
        <v>40</v>
      </c>
      <c r="K1778" t="s">
        <v>70</v>
      </c>
      <c r="L1778" t="s">
        <v>38</v>
      </c>
      <c r="M1778" t="s">
        <v>43</v>
      </c>
    </row>
    <row r="1779" spans="1:13" x14ac:dyDescent="0.2">
      <c r="A1779" s="1">
        <v>46101</v>
      </c>
      <c r="B1779" t="s">
        <v>35</v>
      </c>
      <c r="C1779" t="s">
        <v>36</v>
      </c>
      <c r="E1779">
        <v>25104</v>
      </c>
      <c r="F1779">
        <v>1644</v>
      </c>
      <c r="G1779">
        <v>382.46</v>
      </c>
      <c r="I1779">
        <v>146</v>
      </c>
      <c r="J1779" t="s">
        <v>40</v>
      </c>
      <c r="K1779" t="s">
        <v>37</v>
      </c>
      <c r="L1779" t="s">
        <v>38</v>
      </c>
      <c r="M1779" t="s">
        <v>39</v>
      </c>
    </row>
    <row r="1780" spans="1:13" x14ac:dyDescent="0.2">
      <c r="A1780" s="1">
        <v>46101</v>
      </c>
      <c r="B1780" t="s">
        <v>35</v>
      </c>
      <c r="C1780" t="s">
        <v>36</v>
      </c>
      <c r="E1780">
        <v>36805</v>
      </c>
      <c r="F1780">
        <v>2177</v>
      </c>
      <c r="G1780">
        <v>408.89</v>
      </c>
      <c r="I1780">
        <v>197</v>
      </c>
      <c r="J1780" t="s">
        <v>40</v>
      </c>
      <c r="K1780" t="s">
        <v>41</v>
      </c>
      <c r="L1780" t="s">
        <v>42</v>
      </c>
      <c r="M1780" t="s">
        <v>43</v>
      </c>
    </row>
    <row r="1781" spans="1:13" x14ac:dyDescent="0.2">
      <c r="A1781" s="1">
        <v>46101</v>
      </c>
      <c r="B1781" t="s">
        <v>44</v>
      </c>
      <c r="C1781" t="s">
        <v>45</v>
      </c>
      <c r="E1781">
        <v>20534</v>
      </c>
      <c r="F1781">
        <v>1106</v>
      </c>
      <c r="G1781">
        <v>268.83</v>
      </c>
      <c r="I1781">
        <v>90</v>
      </c>
      <c r="J1781" t="s">
        <v>40</v>
      </c>
      <c r="K1781" t="s">
        <v>46</v>
      </c>
      <c r="L1781" t="s">
        <v>42</v>
      </c>
      <c r="M1781" t="s">
        <v>47</v>
      </c>
    </row>
    <row r="1782" spans="1:13" x14ac:dyDescent="0.2">
      <c r="A1782" s="1">
        <v>46101</v>
      </c>
      <c r="B1782" t="s">
        <v>44</v>
      </c>
      <c r="C1782" t="s">
        <v>48</v>
      </c>
      <c r="E1782">
        <v>19652</v>
      </c>
      <c r="F1782">
        <v>1265</v>
      </c>
      <c r="G1782">
        <v>295.91000000000003</v>
      </c>
      <c r="I1782">
        <v>98</v>
      </c>
      <c r="J1782" t="s">
        <v>40</v>
      </c>
      <c r="K1782" t="s">
        <v>49</v>
      </c>
      <c r="L1782" t="s">
        <v>50</v>
      </c>
      <c r="M1782" t="s">
        <v>51</v>
      </c>
    </row>
    <row r="1783" spans="1:13" x14ac:dyDescent="0.2">
      <c r="A1783" s="1">
        <v>46101</v>
      </c>
      <c r="B1783" t="s">
        <v>52</v>
      </c>
      <c r="C1783" t="s">
        <v>53</v>
      </c>
      <c r="E1783">
        <v>125992</v>
      </c>
      <c r="F1783">
        <v>1955</v>
      </c>
      <c r="G1783">
        <v>456.5</v>
      </c>
      <c r="I1783">
        <v>108</v>
      </c>
      <c r="J1783" t="s">
        <v>40</v>
      </c>
      <c r="K1783" t="s">
        <v>54</v>
      </c>
      <c r="L1783" t="s">
        <v>54</v>
      </c>
      <c r="M1783" t="s">
        <v>54</v>
      </c>
    </row>
    <row r="1784" spans="1:13" x14ac:dyDescent="0.2">
      <c r="A1784" s="1">
        <v>46101</v>
      </c>
      <c r="B1784" t="s">
        <v>52</v>
      </c>
      <c r="C1784" t="s">
        <v>55</v>
      </c>
      <c r="E1784">
        <v>194364</v>
      </c>
      <c r="F1784">
        <v>2636</v>
      </c>
      <c r="G1784">
        <v>598.16999999999996</v>
      </c>
      <c r="I1784">
        <v>222</v>
      </c>
      <c r="J1784" t="s">
        <v>40</v>
      </c>
      <c r="K1784" t="s">
        <v>54</v>
      </c>
      <c r="L1784" t="s">
        <v>54</v>
      </c>
      <c r="M1784" t="s">
        <v>54</v>
      </c>
    </row>
    <row r="1785" spans="1:13" x14ac:dyDescent="0.2">
      <c r="A1785" s="1">
        <v>46101</v>
      </c>
      <c r="B1785" t="s">
        <v>56</v>
      </c>
      <c r="C1785" t="s">
        <v>57</v>
      </c>
      <c r="E1785">
        <v>48868</v>
      </c>
      <c r="F1785">
        <v>2759</v>
      </c>
      <c r="G1785">
        <v>766.38</v>
      </c>
      <c r="I1785">
        <v>184</v>
      </c>
      <c r="J1785" t="s">
        <v>40</v>
      </c>
      <c r="K1785" t="s">
        <v>58</v>
      </c>
      <c r="L1785" t="s">
        <v>42</v>
      </c>
      <c r="M1785" t="s">
        <v>43</v>
      </c>
    </row>
    <row r="1786" spans="1:13" x14ac:dyDescent="0.2">
      <c r="A1786" s="1">
        <v>46101</v>
      </c>
      <c r="B1786" t="s">
        <v>56</v>
      </c>
      <c r="C1786" t="s">
        <v>57</v>
      </c>
      <c r="E1786">
        <v>27270</v>
      </c>
      <c r="F1786">
        <v>1332</v>
      </c>
      <c r="G1786">
        <v>362.69</v>
      </c>
      <c r="I1786">
        <v>113</v>
      </c>
      <c r="J1786" t="s">
        <v>40</v>
      </c>
      <c r="K1786" t="s">
        <v>59</v>
      </c>
      <c r="L1786" t="s">
        <v>38</v>
      </c>
      <c r="M1786" t="s">
        <v>43</v>
      </c>
    </row>
    <row r="1787" spans="1:13" x14ac:dyDescent="0.2">
      <c r="A1787" s="1">
        <v>46101</v>
      </c>
      <c r="B1787" t="s">
        <v>67</v>
      </c>
      <c r="C1787" t="s">
        <v>68</v>
      </c>
      <c r="E1787">
        <v>35188</v>
      </c>
      <c r="F1787">
        <v>1740</v>
      </c>
      <c r="G1787">
        <v>395.53</v>
      </c>
      <c r="I1787">
        <v>107</v>
      </c>
      <c r="J1787" t="s">
        <v>40</v>
      </c>
      <c r="K1787" t="s">
        <v>69</v>
      </c>
      <c r="L1787" t="s">
        <v>42</v>
      </c>
      <c r="M1787" t="s">
        <v>43</v>
      </c>
    </row>
    <row r="1788" spans="1:13" x14ac:dyDescent="0.2">
      <c r="A1788" s="1">
        <v>46101</v>
      </c>
      <c r="B1788" t="s">
        <v>67</v>
      </c>
      <c r="C1788" t="s">
        <v>68</v>
      </c>
      <c r="E1788">
        <v>17396</v>
      </c>
      <c r="F1788">
        <v>1109</v>
      </c>
      <c r="G1788">
        <v>231.98</v>
      </c>
      <c r="I1788">
        <v>93</v>
      </c>
      <c r="J1788" t="s">
        <v>40</v>
      </c>
      <c r="K1788" t="s">
        <v>70</v>
      </c>
      <c r="L1788" t="s">
        <v>38</v>
      </c>
      <c r="M1788" t="s">
        <v>43</v>
      </c>
    </row>
    <row r="1789" spans="1:13" x14ac:dyDescent="0.2">
      <c r="A1789" s="1">
        <v>46102</v>
      </c>
      <c r="B1789" t="s">
        <v>35</v>
      </c>
      <c r="C1789" t="s">
        <v>36</v>
      </c>
      <c r="E1789">
        <v>15325</v>
      </c>
      <c r="F1789">
        <v>841</v>
      </c>
      <c r="G1789">
        <v>158.32</v>
      </c>
      <c r="I1789">
        <v>63</v>
      </c>
      <c r="J1789" t="s">
        <v>40</v>
      </c>
      <c r="K1789" t="s">
        <v>37</v>
      </c>
      <c r="L1789" t="s">
        <v>38</v>
      </c>
      <c r="M1789" t="s">
        <v>39</v>
      </c>
    </row>
    <row r="1790" spans="1:13" x14ac:dyDescent="0.2">
      <c r="A1790" s="1">
        <v>46102</v>
      </c>
      <c r="B1790" t="s">
        <v>35</v>
      </c>
      <c r="C1790" t="s">
        <v>36</v>
      </c>
      <c r="E1790">
        <v>36671</v>
      </c>
      <c r="F1790">
        <v>1982</v>
      </c>
      <c r="G1790">
        <v>478.81</v>
      </c>
      <c r="I1790">
        <v>130</v>
      </c>
      <c r="J1790" t="s">
        <v>40</v>
      </c>
      <c r="K1790" t="s">
        <v>41</v>
      </c>
      <c r="L1790" t="s">
        <v>42</v>
      </c>
      <c r="M1790" t="s">
        <v>43</v>
      </c>
    </row>
    <row r="1791" spans="1:13" x14ac:dyDescent="0.2">
      <c r="A1791" s="1">
        <v>46102</v>
      </c>
      <c r="B1791" t="s">
        <v>44</v>
      </c>
      <c r="C1791" t="s">
        <v>45</v>
      </c>
      <c r="E1791">
        <v>34890</v>
      </c>
      <c r="F1791">
        <v>1686</v>
      </c>
      <c r="G1791">
        <v>322.29000000000002</v>
      </c>
      <c r="I1791">
        <v>104</v>
      </c>
      <c r="J1791" t="s">
        <v>40</v>
      </c>
      <c r="K1791" t="s">
        <v>46</v>
      </c>
      <c r="L1791" t="s">
        <v>42</v>
      </c>
      <c r="M1791" t="s">
        <v>47</v>
      </c>
    </row>
    <row r="1792" spans="1:13" x14ac:dyDescent="0.2">
      <c r="A1792" s="1">
        <v>46102</v>
      </c>
      <c r="B1792" t="s">
        <v>44</v>
      </c>
      <c r="C1792" t="s">
        <v>48</v>
      </c>
      <c r="E1792">
        <v>25875</v>
      </c>
      <c r="F1792">
        <v>1651</v>
      </c>
      <c r="G1792">
        <v>358.23</v>
      </c>
      <c r="I1792">
        <v>102</v>
      </c>
      <c r="J1792" t="s">
        <v>40</v>
      </c>
      <c r="K1792" t="s">
        <v>49</v>
      </c>
      <c r="L1792" t="s">
        <v>50</v>
      </c>
      <c r="M1792" t="s">
        <v>51</v>
      </c>
    </row>
    <row r="1793" spans="1:13" x14ac:dyDescent="0.2">
      <c r="A1793" s="1">
        <v>46102</v>
      </c>
      <c r="B1793" t="s">
        <v>52</v>
      </c>
      <c r="C1793" t="s">
        <v>53</v>
      </c>
      <c r="E1793">
        <v>157245</v>
      </c>
      <c r="F1793">
        <v>2110</v>
      </c>
      <c r="G1793">
        <v>548.47</v>
      </c>
      <c r="I1793">
        <v>188</v>
      </c>
      <c r="J1793" t="s">
        <v>40</v>
      </c>
      <c r="K1793" t="s">
        <v>54</v>
      </c>
      <c r="L1793" t="s">
        <v>54</v>
      </c>
      <c r="M1793" t="s">
        <v>54</v>
      </c>
    </row>
    <row r="1794" spans="1:13" x14ac:dyDescent="0.2">
      <c r="A1794" s="1">
        <v>46102</v>
      </c>
      <c r="B1794" t="s">
        <v>52</v>
      </c>
      <c r="C1794" t="s">
        <v>55</v>
      </c>
      <c r="E1794">
        <v>175418</v>
      </c>
      <c r="F1794">
        <v>2792</v>
      </c>
      <c r="G1794">
        <v>772.64</v>
      </c>
      <c r="I1794">
        <v>220</v>
      </c>
      <c r="J1794" t="s">
        <v>40</v>
      </c>
      <c r="K1794" t="s">
        <v>54</v>
      </c>
      <c r="L1794" t="s">
        <v>54</v>
      </c>
      <c r="M1794" t="s">
        <v>54</v>
      </c>
    </row>
    <row r="1795" spans="1:13" x14ac:dyDescent="0.2">
      <c r="A1795" s="1">
        <v>46102</v>
      </c>
      <c r="B1795" t="s">
        <v>56</v>
      </c>
      <c r="C1795" t="s">
        <v>57</v>
      </c>
      <c r="E1795">
        <v>26132</v>
      </c>
      <c r="F1795">
        <v>1779</v>
      </c>
      <c r="G1795">
        <v>454.14</v>
      </c>
      <c r="I1795">
        <v>127</v>
      </c>
      <c r="J1795" t="s">
        <v>40</v>
      </c>
      <c r="K1795" t="s">
        <v>58</v>
      </c>
      <c r="L1795" t="s">
        <v>42</v>
      </c>
      <c r="M1795" t="s">
        <v>43</v>
      </c>
    </row>
    <row r="1796" spans="1:13" x14ac:dyDescent="0.2">
      <c r="A1796" s="1">
        <v>46102</v>
      </c>
      <c r="B1796" t="s">
        <v>56</v>
      </c>
      <c r="C1796" t="s">
        <v>57</v>
      </c>
      <c r="E1796">
        <v>45644</v>
      </c>
      <c r="F1796">
        <v>2451</v>
      </c>
      <c r="G1796">
        <v>549.07000000000005</v>
      </c>
      <c r="I1796">
        <v>197</v>
      </c>
      <c r="J1796" t="s">
        <v>40</v>
      </c>
      <c r="K1796" t="s">
        <v>59</v>
      </c>
      <c r="L1796" t="s">
        <v>38</v>
      </c>
      <c r="M1796" t="s">
        <v>43</v>
      </c>
    </row>
    <row r="1797" spans="1:13" x14ac:dyDescent="0.2">
      <c r="A1797" s="1">
        <v>46102</v>
      </c>
      <c r="B1797" t="s">
        <v>67</v>
      </c>
      <c r="C1797" t="s">
        <v>68</v>
      </c>
      <c r="E1797">
        <v>30963</v>
      </c>
      <c r="F1797">
        <v>1915</v>
      </c>
      <c r="G1797">
        <v>505.91</v>
      </c>
      <c r="I1797">
        <v>109</v>
      </c>
      <c r="J1797" t="s">
        <v>40</v>
      </c>
      <c r="K1797" t="s">
        <v>69</v>
      </c>
      <c r="L1797" t="s">
        <v>42</v>
      </c>
      <c r="M1797" t="s">
        <v>43</v>
      </c>
    </row>
    <row r="1798" spans="1:13" x14ac:dyDescent="0.2">
      <c r="A1798" s="1">
        <v>46102</v>
      </c>
      <c r="B1798" t="s">
        <v>67</v>
      </c>
      <c r="C1798" t="s">
        <v>68</v>
      </c>
      <c r="E1798">
        <v>35525</v>
      </c>
      <c r="F1798">
        <v>2349</v>
      </c>
      <c r="G1798">
        <v>450.07</v>
      </c>
      <c r="I1798">
        <v>144</v>
      </c>
      <c r="J1798" t="s">
        <v>40</v>
      </c>
      <c r="K1798" t="s">
        <v>70</v>
      </c>
      <c r="L1798" t="s">
        <v>38</v>
      </c>
      <c r="M1798" t="s">
        <v>43</v>
      </c>
    </row>
    <row r="1799" spans="1:13" x14ac:dyDescent="0.2">
      <c r="A1799" s="1">
        <v>46103</v>
      </c>
      <c r="B1799" t="s">
        <v>35</v>
      </c>
      <c r="C1799" t="s">
        <v>36</v>
      </c>
      <c r="E1799">
        <v>46971</v>
      </c>
      <c r="F1799">
        <v>2791</v>
      </c>
      <c r="G1799">
        <v>635.30999999999995</v>
      </c>
      <c r="I1799">
        <v>259</v>
      </c>
      <c r="J1799" t="s">
        <v>40</v>
      </c>
      <c r="K1799" t="s">
        <v>37</v>
      </c>
      <c r="L1799" t="s">
        <v>38</v>
      </c>
      <c r="M1799" t="s">
        <v>39</v>
      </c>
    </row>
    <row r="1800" spans="1:13" x14ac:dyDescent="0.2">
      <c r="A1800" s="1">
        <v>46103</v>
      </c>
      <c r="B1800" t="s">
        <v>35</v>
      </c>
      <c r="C1800" t="s">
        <v>36</v>
      </c>
      <c r="E1800">
        <v>58368</v>
      </c>
      <c r="F1800">
        <v>3128</v>
      </c>
      <c r="G1800">
        <v>776.84</v>
      </c>
      <c r="I1800">
        <v>220</v>
      </c>
      <c r="J1800" t="s">
        <v>40</v>
      </c>
      <c r="K1800" t="s">
        <v>41</v>
      </c>
      <c r="L1800" t="s">
        <v>42</v>
      </c>
      <c r="M1800" t="s">
        <v>43</v>
      </c>
    </row>
    <row r="1801" spans="1:13" x14ac:dyDescent="0.2">
      <c r="A1801" s="1">
        <v>46103</v>
      </c>
      <c r="B1801" t="s">
        <v>44</v>
      </c>
      <c r="C1801" t="s">
        <v>45</v>
      </c>
      <c r="E1801">
        <v>35374</v>
      </c>
      <c r="F1801">
        <v>1821</v>
      </c>
      <c r="G1801">
        <v>486.26</v>
      </c>
      <c r="I1801">
        <v>101</v>
      </c>
      <c r="J1801" t="s">
        <v>40</v>
      </c>
      <c r="K1801" t="s">
        <v>46</v>
      </c>
      <c r="L1801" t="s">
        <v>42</v>
      </c>
      <c r="M1801" t="s">
        <v>47</v>
      </c>
    </row>
    <row r="1802" spans="1:13" x14ac:dyDescent="0.2">
      <c r="A1802" s="1">
        <v>46103</v>
      </c>
      <c r="B1802" t="s">
        <v>44</v>
      </c>
      <c r="C1802" t="s">
        <v>48</v>
      </c>
      <c r="E1802">
        <v>51236</v>
      </c>
      <c r="F1802">
        <v>2929</v>
      </c>
      <c r="G1802">
        <v>619.69000000000005</v>
      </c>
      <c r="I1802">
        <v>223</v>
      </c>
      <c r="J1802" t="s">
        <v>40</v>
      </c>
      <c r="K1802" t="s">
        <v>49</v>
      </c>
      <c r="L1802" t="s">
        <v>50</v>
      </c>
      <c r="M1802" t="s">
        <v>51</v>
      </c>
    </row>
    <row r="1803" spans="1:13" x14ac:dyDescent="0.2">
      <c r="A1803" s="1">
        <v>46103</v>
      </c>
      <c r="B1803" t="s">
        <v>52</v>
      </c>
      <c r="C1803" t="s">
        <v>53</v>
      </c>
      <c r="E1803">
        <v>123988</v>
      </c>
      <c r="F1803">
        <v>1424</v>
      </c>
      <c r="G1803">
        <v>331.98</v>
      </c>
      <c r="I1803">
        <v>98</v>
      </c>
      <c r="J1803" t="s">
        <v>40</v>
      </c>
      <c r="K1803" t="s">
        <v>54</v>
      </c>
      <c r="L1803" t="s">
        <v>54</v>
      </c>
      <c r="M1803" t="s">
        <v>54</v>
      </c>
    </row>
    <row r="1804" spans="1:13" x14ac:dyDescent="0.2">
      <c r="A1804" s="1">
        <v>46103</v>
      </c>
      <c r="B1804" t="s">
        <v>52</v>
      </c>
      <c r="C1804" t="s">
        <v>55</v>
      </c>
      <c r="E1804">
        <v>190573</v>
      </c>
      <c r="F1804">
        <v>2678</v>
      </c>
      <c r="G1804">
        <v>656.66</v>
      </c>
      <c r="I1804">
        <v>176</v>
      </c>
      <c r="J1804" t="s">
        <v>40</v>
      </c>
      <c r="K1804" t="s">
        <v>54</v>
      </c>
      <c r="L1804" t="s">
        <v>54</v>
      </c>
      <c r="M1804" t="s">
        <v>54</v>
      </c>
    </row>
    <row r="1805" spans="1:13" x14ac:dyDescent="0.2">
      <c r="A1805" s="1">
        <v>46103</v>
      </c>
      <c r="B1805" t="s">
        <v>56</v>
      </c>
      <c r="C1805" t="s">
        <v>57</v>
      </c>
      <c r="E1805">
        <v>36030</v>
      </c>
      <c r="F1805">
        <v>1960</v>
      </c>
      <c r="G1805">
        <v>372.06</v>
      </c>
      <c r="I1805">
        <v>159</v>
      </c>
      <c r="J1805" t="s">
        <v>40</v>
      </c>
      <c r="K1805" t="s">
        <v>58</v>
      </c>
      <c r="L1805" t="s">
        <v>42</v>
      </c>
      <c r="M1805" t="s">
        <v>43</v>
      </c>
    </row>
    <row r="1806" spans="1:13" x14ac:dyDescent="0.2">
      <c r="A1806" s="1">
        <v>46103</v>
      </c>
      <c r="B1806" t="s">
        <v>56</v>
      </c>
      <c r="C1806" t="s">
        <v>57</v>
      </c>
      <c r="E1806">
        <v>46324</v>
      </c>
      <c r="F1806">
        <v>2736</v>
      </c>
      <c r="G1806">
        <v>677.24</v>
      </c>
      <c r="I1806">
        <v>176</v>
      </c>
      <c r="J1806" t="s">
        <v>40</v>
      </c>
      <c r="K1806" t="s">
        <v>59</v>
      </c>
      <c r="L1806" t="s">
        <v>38</v>
      </c>
      <c r="M1806" t="s">
        <v>43</v>
      </c>
    </row>
    <row r="1807" spans="1:13" x14ac:dyDescent="0.2">
      <c r="A1807" s="1">
        <v>46103</v>
      </c>
      <c r="B1807" t="s">
        <v>67</v>
      </c>
      <c r="C1807" t="s">
        <v>68</v>
      </c>
      <c r="E1807">
        <v>29606</v>
      </c>
      <c r="F1807">
        <v>1790</v>
      </c>
      <c r="G1807">
        <v>443.51</v>
      </c>
      <c r="I1807">
        <v>169</v>
      </c>
      <c r="J1807" t="s">
        <v>40</v>
      </c>
      <c r="K1807" t="s">
        <v>69</v>
      </c>
      <c r="L1807" t="s">
        <v>42</v>
      </c>
      <c r="M1807" t="s">
        <v>43</v>
      </c>
    </row>
    <row r="1808" spans="1:13" x14ac:dyDescent="0.2">
      <c r="A1808" s="1">
        <v>46103</v>
      </c>
      <c r="B1808" t="s">
        <v>67</v>
      </c>
      <c r="C1808" t="s">
        <v>68</v>
      </c>
      <c r="E1808">
        <v>39689</v>
      </c>
      <c r="F1808">
        <v>2426</v>
      </c>
      <c r="G1808">
        <v>599.9</v>
      </c>
      <c r="I1808">
        <v>214</v>
      </c>
      <c r="J1808" t="s">
        <v>40</v>
      </c>
      <c r="K1808" t="s">
        <v>70</v>
      </c>
      <c r="L1808" t="s">
        <v>38</v>
      </c>
      <c r="M1808" t="s">
        <v>43</v>
      </c>
    </row>
    <row r="1809" spans="1:13" x14ac:dyDescent="0.2">
      <c r="A1809" s="1">
        <v>46104</v>
      </c>
      <c r="B1809" t="s">
        <v>35</v>
      </c>
      <c r="C1809" t="s">
        <v>36</v>
      </c>
      <c r="E1809">
        <v>14017</v>
      </c>
      <c r="F1809">
        <v>811</v>
      </c>
      <c r="G1809">
        <v>188.58</v>
      </c>
      <c r="I1809">
        <v>66</v>
      </c>
      <c r="J1809" t="s">
        <v>40</v>
      </c>
      <c r="K1809" t="s">
        <v>37</v>
      </c>
      <c r="L1809" t="s">
        <v>38</v>
      </c>
      <c r="M1809" t="s">
        <v>39</v>
      </c>
    </row>
    <row r="1810" spans="1:13" x14ac:dyDescent="0.2">
      <c r="A1810" s="1">
        <v>46104</v>
      </c>
      <c r="B1810" t="s">
        <v>35</v>
      </c>
      <c r="C1810" t="s">
        <v>36</v>
      </c>
      <c r="E1810">
        <v>42946</v>
      </c>
      <c r="F1810">
        <v>2287</v>
      </c>
      <c r="G1810">
        <v>476.45</v>
      </c>
      <c r="I1810">
        <v>143</v>
      </c>
      <c r="J1810" t="s">
        <v>40</v>
      </c>
      <c r="K1810" t="s">
        <v>41</v>
      </c>
      <c r="L1810" t="s">
        <v>42</v>
      </c>
      <c r="M1810" t="s">
        <v>43</v>
      </c>
    </row>
    <row r="1811" spans="1:13" x14ac:dyDescent="0.2">
      <c r="A1811" s="1">
        <v>46104</v>
      </c>
      <c r="B1811" t="s">
        <v>44</v>
      </c>
      <c r="C1811" t="s">
        <v>45</v>
      </c>
      <c r="E1811">
        <v>15018</v>
      </c>
      <c r="F1811">
        <v>944</v>
      </c>
      <c r="G1811">
        <v>175.29</v>
      </c>
      <c r="I1811">
        <v>74</v>
      </c>
      <c r="J1811" t="s">
        <v>40</v>
      </c>
      <c r="K1811" t="s">
        <v>46</v>
      </c>
      <c r="L1811" t="s">
        <v>42</v>
      </c>
      <c r="M1811" t="s">
        <v>47</v>
      </c>
    </row>
    <row r="1812" spans="1:13" x14ac:dyDescent="0.2">
      <c r="A1812" s="1">
        <v>46104</v>
      </c>
      <c r="B1812" t="s">
        <v>44</v>
      </c>
      <c r="C1812" t="s">
        <v>48</v>
      </c>
      <c r="E1812">
        <v>31471</v>
      </c>
      <c r="F1812">
        <v>2228</v>
      </c>
      <c r="G1812">
        <v>543.20000000000005</v>
      </c>
      <c r="I1812">
        <v>185</v>
      </c>
      <c r="J1812" t="s">
        <v>40</v>
      </c>
      <c r="K1812" t="s">
        <v>49</v>
      </c>
      <c r="L1812" t="s">
        <v>50</v>
      </c>
      <c r="M1812" t="s">
        <v>51</v>
      </c>
    </row>
    <row r="1813" spans="1:13" x14ac:dyDescent="0.2">
      <c r="A1813" s="1">
        <v>46104</v>
      </c>
      <c r="B1813" t="s">
        <v>52</v>
      </c>
      <c r="C1813" t="s">
        <v>53</v>
      </c>
      <c r="E1813">
        <v>137442</v>
      </c>
      <c r="F1813">
        <v>1571</v>
      </c>
      <c r="G1813">
        <v>377.78</v>
      </c>
      <c r="I1813">
        <v>110</v>
      </c>
      <c r="J1813" t="s">
        <v>40</v>
      </c>
      <c r="K1813" t="s">
        <v>54</v>
      </c>
      <c r="L1813" t="s">
        <v>54</v>
      </c>
      <c r="M1813" t="s">
        <v>54</v>
      </c>
    </row>
    <row r="1814" spans="1:13" x14ac:dyDescent="0.2">
      <c r="A1814" s="1">
        <v>46104</v>
      </c>
      <c r="B1814" t="s">
        <v>52</v>
      </c>
      <c r="C1814" t="s">
        <v>55</v>
      </c>
      <c r="E1814">
        <v>213453</v>
      </c>
      <c r="F1814">
        <v>3205</v>
      </c>
      <c r="G1814">
        <v>636.12</v>
      </c>
      <c r="I1814">
        <v>190</v>
      </c>
      <c r="J1814" t="s">
        <v>40</v>
      </c>
      <c r="K1814" t="s">
        <v>54</v>
      </c>
      <c r="L1814" t="s">
        <v>54</v>
      </c>
      <c r="M1814" t="s">
        <v>54</v>
      </c>
    </row>
    <row r="1815" spans="1:13" x14ac:dyDescent="0.2">
      <c r="A1815" s="1">
        <v>46104</v>
      </c>
      <c r="B1815" t="s">
        <v>56</v>
      </c>
      <c r="C1815" t="s">
        <v>57</v>
      </c>
      <c r="E1815">
        <v>28697</v>
      </c>
      <c r="F1815">
        <v>1551</v>
      </c>
      <c r="G1815">
        <v>351.6</v>
      </c>
      <c r="I1815">
        <v>143</v>
      </c>
      <c r="J1815" t="s">
        <v>40</v>
      </c>
      <c r="K1815" t="s">
        <v>58</v>
      </c>
      <c r="L1815" t="s">
        <v>42</v>
      </c>
      <c r="M1815" t="s">
        <v>43</v>
      </c>
    </row>
    <row r="1816" spans="1:13" x14ac:dyDescent="0.2">
      <c r="A1816" s="1">
        <v>46104</v>
      </c>
      <c r="B1816" t="s">
        <v>56</v>
      </c>
      <c r="C1816" t="s">
        <v>57</v>
      </c>
      <c r="E1816">
        <v>51630</v>
      </c>
      <c r="F1816">
        <v>3621</v>
      </c>
      <c r="G1816">
        <v>751.86</v>
      </c>
      <c r="I1816">
        <v>260</v>
      </c>
      <c r="J1816" t="s">
        <v>40</v>
      </c>
      <c r="K1816" t="s">
        <v>59</v>
      </c>
      <c r="L1816" t="s">
        <v>38</v>
      </c>
      <c r="M1816" t="s">
        <v>43</v>
      </c>
    </row>
    <row r="1817" spans="1:13" x14ac:dyDescent="0.2">
      <c r="A1817" s="1">
        <v>46104</v>
      </c>
      <c r="B1817" t="s">
        <v>67</v>
      </c>
      <c r="C1817" t="s">
        <v>68</v>
      </c>
      <c r="E1817">
        <v>40552</v>
      </c>
      <c r="F1817">
        <v>2196</v>
      </c>
      <c r="G1817">
        <v>566.73</v>
      </c>
      <c r="I1817">
        <v>145</v>
      </c>
      <c r="J1817" t="s">
        <v>40</v>
      </c>
      <c r="K1817" t="s">
        <v>69</v>
      </c>
      <c r="L1817" t="s">
        <v>42</v>
      </c>
      <c r="M1817" t="s">
        <v>43</v>
      </c>
    </row>
    <row r="1818" spans="1:13" x14ac:dyDescent="0.2">
      <c r="A1818" s="1">
        <v>46104</v>
      </c>
      <c r="B1818" t="s">
        <v>67</v>
      </c>
      <c r="C1818" t="s">
        <v>68</v>
      </c>
      <c r="E1818">
        <v>18314</v>
      </c>
      <c r="F1818">
        <v>1047</v>
      </c>
      <c r="G1818">
        <v>223.29</v>
      </c>
      <c r="I1818">
        <v>60</v>
      </c>
      <c r="J1818" t="s">
        <v>40</v>
      </c>
      <c r="K1818" t="s">
        <v>70</v>
      </c>
      <c r="L1818" t="s">
        <v>38</v>
      </c>
      <c r="M1818" t="s">
        <v>43</v>
      </c>
    </row>
    <row r="1819" spans="1:13" x14ac:dyDescent="0.2">
      <c r="A1819" s="1">
        <v>46105</v>
      </c>
      <c r="B1819" t="s">
        <v>35</v>
      </c>
      <c r="C1819" t="s">
        <v>36</v>
      </c>
      <c r="E1819">
        <v>35548</v>
      </c>
      <c r="F1819">
        <v>1858</v>
      </c>
      <c r="G1819">
        <v>347.33</v>
      </c>
      <c r="I1819">
        <v>174</v>
      </c>
      <c r="J1819" t="s">
        <v>40</v>
      </c>
      <c r="K1819" t="s">
        <v>37</v>
      </c>
      <c r="L1819" t="s">
        <v>38</v>
      </c>
      <c r="M1819" t="s">
        <v>39</v>
      </c>
    </row>
    <row r="1820" spans="1:13" x14ac:dyDescent="0.2">
      <c r="A1820" s="1">
        <v>46105</v>
      </c>
      <c r="B1820" t="s">
        <v>35</v>
      </c>
      <c r="C1820" t="s">
        <v>36</v>
      </c>
      <c r="E1820">
        <v>30096</v>
      </c>
      <c r="F1820">
        <v>1885</v>
      </c>
      <c r="G1820">
        <v>372.94</v>
      </c>
      <c r="I1820">
        <v>140</v>
      </c>
      <c r="J1820" t="s">
        <v>40</v>
      </c>
      <c r="K1820" t="s">
        <v>41</v>
      </c>
      <c r="L1820" t="s">
        <v>42</v>
      </c>
      <c r="M1820" t="s">
        <v>43</v>
      </c>
    </row>
    <row r="1821" spans="1:13" x14ac:dyDescent="0.2">
      <c r="A1821" s="1">
        <v>46105</v>
      </c>
      <c r="B1821" t="s">
        <v>44</v>
      </c>
      <c r="C1821" t="s">
        <v>45</v>
      </c>
      <c r="E1821">
        <v>25256</v>
      </c>
      <c r="F1821">
        <v>1539</v>
      </c>
      <c r="G1821">
        <v>343.39</v>
      </c>
      <c r="I1821">
        <v>122</v>
      </c>
      <c r="J1821" t="s">
        <v>40</v>
      </c>
      <c r="K1821" t="s">
        <v>46</v>
      </c>
      <c r="L1821" t="s">
        <v>42</v>
      </c>
      <c r="M1821" t="s">
        <v>47</v>
      </c>
    </row>
    <row r="1822" spans="1:13" x14ac:dyDescent="0.2">
      <c r="A1822" s="1">
        <v>46105</v>
      </c>
      <c r="B1822" t="s">
        <v>44</v>
      </c>
      <c r="C1822" t="s">
        <v>48</v>
      </c>
      <c r="E1822">
        <v>22051</v>
      </c>
      <c r="F1822">
        <v>1541</v>
      </c>
      <c r="G1822">
        <v>387.62</v>
      </c>
      <c r="I1822">
        <v>91</v>
      </c>
      <c r="J1822" t="s">
        <v>40</v>
      </c>
      <c r="K1822" t="s">
        <v>49</v>
      </c>
      <c r="L1822" t="s">
        <v>50</v>
      </c>
      <c r="M1822" t="s">
        <v>51</v>
      </c>
    </row>
    <row r="1823" spans="1:13" x14ac:dyDescent="0.2">
      <c r="A1823" s="1">
        <v>46105</v>
      </c>
      <c r="B1823" t="s">
        <v>52</v>
      </c>
      <c r="C1823" t="s">
        <v>53</v>
      </c>
      <c r="E1823">
        <v>129424</v>
      </c>
      <c r="F1823">
        <v>1469</v>
      </c>
      <c r="G1823">
        <v>371.3</v>
      </c>
      <c r="I1823">
        <v>126</v>
      </c>
      <c r="J1823" t="s">
        <v>40</v>
      </c>
      <c r="K1823" t="s">
        <v>54</v>
      </c>
      <c r="L1823" t="s">
        <v>54</v>
      </c>
      <c r="M1823" t="s">
        <v>54</v>
      </c>
    </row>
    <row r="1824" spans="1:13" x14ac:dyDescent="0.2">
      <c r="A1824" s="1">
        <v>46105</v>
      </c>
      <c r="B1824" t="s">
        <v>52</v>
      </c>
      <c r="C1824" t="s">
        <v>55</v>
      </c>
      <c r="E1824">
        <v>120196</v>
      </c>
      <c r="F1824">
        <v>1860</v>
      </c>
      <c r="G1824">
        <v>362.49</v>
      </c>
      <c r="I1824">
        <v>149</v>
      </c>
      <c r="J1824" t="s">
        <v>40</v>
      </c>
      <c r="K1824" t="s">
        <v>54</v>
      </c>
      <c r="L1824" t="s">
        <v>54</v>
      </c>
      <c r="M1824" t="s">
        <v>54</v>
      </c>
    </row>
    <row r="1825" spans="1:13" x14ac:dyDescent="0.2">
      <c r="A1825" s="1">
        <v>46105</v>
      </c>
      <c r="B1825" t="s">
        <v>56</v>
      </c>
      <c r="C1825" t="s">
        <v>57</v>
      </c>
      <c r="E1825">
        <v>16222</v>
      </c>
      <c r="F1825">
        <v>1037</v>
      </c>
      <c r="G1825">
        <v>214.29</v>
      </c>
      <c r="I1825">
        <v>86</v>
      </c>
      <c r="J1825" t="s">
        <v>40</v>
      </c>
      <c r="K1825" t="s">
        <v>58</v>
      </c>
      <c r="L1825" t="s">
        <v>42</v>
      </c>
      <c r="M1825" t="s">
        <v>43</v>
      </c>
    </row>
    <row r="1826" spans="1:13" x14ac:dyDescent="0.2">
      <c r="A1826" s="1">
        <v>46105</v>
      </c>
      <c r="B1826" t="s">
        <v>56</v>
      </c>
      <c r="C1826" t="s">
        <v>57</v>
      </c>
      <c r="E1826">
        <v>46339</v>
      </c>
      <c r="F1826">
        <v>2863</v>
      </c>
      <c r="G1826">
        <v>662.89</v>
      </c>
      <c r="I1826">
        <v>265</v>
      </c>
      <c r="J1826" t="s">
        <v>40</v>
      </c>
      <c r="K1826" t="s">
        <v>59</v>
      </c>
      <c r="L1826" t="s">
        <v>38</v>
      </c>
      <c r="M1826" t="s">
        <v>43</v>
      </c>
    </row>
    <row r="1827" spans="1:13" x14ac:dyDescent="0.2">
      <c r="A1827" s="1">
        <v>46105</v>
      </c>
      <c r="B1827" t="s">
        <v>67</v>
      </c>
      <c r="C1827" t="s">
        <v>68</v>
      </c>
      <c r="E1827">
        <v>54804</v>
      </c>
      <c r="F1827">
        <v>3259</v>
      </c>
      <c r="G1827">
        <v>718.26</v>
      </c>
      <c r="I1827">
        <v>274</v>
      </c>
      <c r="J1827" t="s">
        <v>40</v>
      </c>
      <c r="K1827" t="s">
        <v>69</v>
      </c>
      <c r="L1827" t="s">
        <v>42</v>
      </c>
      <c r="M1827" t="s">
        <v>43</v>
      </c>
    </row>
    <row r="1828" spans="1:13" x14ac:dyDescent="0.2">
      <c r="A1828" s="1">
        <v>46105</v>
      </c>
      <c r="B1828" t="s">
        <v>67</v>
      </c>
      <c r="C1828" t="s">
        <v>68</v>
      </c>
      <c r="E1828">
        <v>18972</v>
      </c>
      <c r="F1828">
        <v>1156</v>
      </c>
      <c r="G1828">
        <v>208.46</v>
      </c>
      <c r="I1828">
        <v>107</v>
      </c>
      <c r="J1828" t="s">
        <v>40</v>
      </c>
      <c r="K1828" t="s">
        <v>70</v>
      </c>
      <c r="L1828" t="s">
        <v>38</v>
      </c>
      <c r="M1828" t="s">
        <v>43</v>
      </c>
    </row>
    <row r="1829" spans="1:13" x14ac:dyDescent="0.2">
      <c r="A1829" s="1">
        <v>46106</v>
      </c>
      <c r="B1829" t="s">
        <v>35</v>
      </c>
      <c r="C1829" t="s">
        <v>36</v>
      </c>
      <c r="E1829">
        <v>54069</v>
      </c>
      <c r="F1829">
        <v>2752</v>
      </c>
      <c r="G1829">
        <v>642.67999999999995</v>
      </c>
      <c r="I1829">
        <v>260</v>
      </c>
      <c r="J1829" t="s">
        <v>40</v>
      </c>
      <c r="K1829" t="s">
        <v>37</v>
      </c>
      <c r="L1829" t="s">
        <v>38</v>
      </c>
      <c r="M1829" t="s">
        <v>39</v>
      </c>
    </row>
    <row r="1830" spans="1:13" x14ac:dyDescent="0.2">
      <c r="A1830" s="1">
        <v>46106</v>
      </c>
      <c r="B1830" t="s">
        <v>35</v>
      </c>
      <c r="C1830" t="s">
        <v>36</v>
      </c>
      <c r="E1830">
        <v>41407</v>
      </c>
      <c r="F1830">
        <v>2665</v>
      </c>
      <c r="G1830">
        <v>586.46</v>
      </c>
      <c r="I1830">
        <v>213</v>
      </c>
      <c r="J1830" t="s">
        <v>40</v>
      </c>
      <c r="K1830" t="s">
        <v>41</v>
      </c>
      <c r="L1830" t="s">
        <v>42</v>
      </c>
      <c r="M1830" t="s">
        <v>43</v>
      </c>
    </row>
    <row r="1831" spans="1:13" x14ac:dyDescent="0.2">
      <c r="A1831" s="1">
        <v>46106</v>
      </c>
      <c r="B1831" t="s">
        <v>44</v>
      </c>
      <c r="C1831" t="s">
        <v>45</v>
      </c>
      <c r="E1831">
        <v>20723</v>
      </c>
      <c r="F1831">
        <v>1176</v>
      </c>
      <c r="G1831">
        <v>312.02999999999997</v>
      </c>
      <c r="I1831">
        <v>80</v>
      </c>
      <c r="J1831" t="s">
        <v>40</v>
      </c>
      <c r="K1831" t="s">
        <v>46</v>
      </c>
      <c r="L1831" t="s">
        <v>42</v>
      </c>
      <c r="M1831" t="s">
        <v>47</v>
      </c>
    </row>
    <row r="1832" spans="1:13" x14ac:dyDescent="0.2">
      <c r="A1832" s="1">
        <v>46106</v>
      </c>
      <c r="B1832" t="s">
        <v>44</v>
      </c>
      <c r="C1832" t="s">
        <v>48</v>
      </c>
      <c r="E1832">
        <v>52158</v>
      </c>
      <c r="F1832">
        <v>3455</v>
      </c>
      <c r="G1832">
        <v>722.08</v>
      </c>
      <c r="I1832">
        <v>218</v>
      </c>
      <c r="J1832" t="s">
        <v>40</v>
      </c>
      <c r="K1832" t="s">
        <v>49</v>
      </c>
      <c r="L1832" t="s">
        <v>50</v>
      </c>
      <c r="M1832" t="s">
        <v>51</v>
      </c>
    </row>
    <row r="1833" spans="1:13" x14ac:dyDescent="0.2">
      <c r="A1833" s="1">
        <v>46106</v>
      </c>
      <c r="B1833" t="s">
        <v>52</v>
      </c>
      <c r="C1833" t="s">
        <v>53</v>
      </c>
      <c r="E1833">
        <v>211478</v>
      </c>
      <c r="F1833">
        <v>2367</v>
      </c>
      <c r="G1833">
        <v>516.99</v>
      </c>
      <c r="I1833">
        <v>148</v>
      </c>
      <c r="J1833" t="s">
        <v>40</v>
      </c>
      <c r="K1833" t="s">
        <v>54</v>
      </c>
      <c r="L1833" t="s">
        <v>54</v>
      </c>
      <c r="M1833" t="s">
        <v>54</v>
      </c>
    </row>
    <row r="1834" spans="1:13" x14ac:dyDescent="0.2">
      <c r="A1834" s="1">
        <v>46106</v>
      </c>
      <c r="B1834" t="s">
        <v>52</v>
      </c>
      <c r="C1834" t="s">
        <v>55</v>
      </c>
      <c r="E1834">
        <v>183470</v>
      </c>
      <c r="F1834">
        <v>2840</v>
      </c>
      <c r="G1834">
        <v>690.3</v>
      </c>
      <c r="I1834">
        <v>197</v>
      </c>
      <c r="J1834" t="s">
        <v>40</v>
      </c>
      <c r="K1834" t="s">
        <v>54</v>
      </c>
      <c r="L1834" t="s">
        <v>54</v>
      </c>
      <c r="M1834" t="s">
        <v>54</v>
      </c>
    </row>
    <row r="1835" spans="1:13" x14ac:dyDescent="0.2">
      <c r="A1835" s="1">
        <v>46106</v>
      </c>
      <c r="B1835" t="s">
        <v>56</v>
      </c>
      <c r="C1835" t="s">
        <v>57</v>
      </c>
      <c r="E1835">
        <v>20229</v>
      </c>
      <c r="F1835">
        <v>1400</v>
      </c>
      <c r="G1835">
        <v>313.32</v>
      </c>
      <c r="I1835">
        <v>87</v>
      </c>
      <c r="J1835" t="s">
        <v>40</v>
      </c>
      <c r="K1835" t="s">
        <v>58</v>
      </c>
      <c r="L1835" t="s">
        <v>42</v>
      </c>
      <c r="M1835" t="s">
        <v>43</v>
      </c>
    </row>
    <row r="1836" spans="1:13" x14ac:dyDescent="0.2">
      <c r="A1836" s="1">
        <v>46106</v>
      </c>
      <c r="B1836" t="s">
        <v>56</v>
      </c>
      <c r="C1836" t="s">
        <v>57</v>
      </c>
      <c r="E1836">
        <v>16040</v>
      </c>
      <c r="F1836">
        <v>844</v>
      </c>
      <c r="G1836">
        <v>212.67</v>
      </c>
      <c r="I1836">
        <v>66</v>
      </c>
      <c r="J1836" t="s">
        <v>40</v>
      </c>
      <c r="K1836" t="s">
        <v>59</v>
      </c>
      <c r="L1836" t="s">
        <v>38</v>
      </c>
      <c r="M1836" t="s">
        <v>43</v>
      </c>
    </row>
    <row r="1837" spans="1:13" x14ac:dyDescent="0.2">
      <c r="A1837" s="1">
        <v>46106</v>
      </c>
      <c r="B1837" t="s">
        <v>67</v>
      </c>
      <c r="C1837" t="s">
        <v>68</v>
      </c>
      <c r="E1837">
        <v>54680</v>
      </c>
      <c r="F1837">
        <v>3134</v>
      </c>
      <c r="G1837">
        <v>812.56</v>
      </c>
      <c r="I1837">
        <v>253</v>
      </c>
      <c r="J1837" t="s">
        <v>40</v>
      </c>
      <c r="K1837" t="s">
        <v>69</v>
      </c>
      <c r="L1837" t="s">
        <v>42</v>
      </c>
      <c r="M1837" t="s">
        <v>43</v>
      </c>
    </row>
    <row r="1838" spans="1:13" x14ac:dyDescent="0.2">
      <c r="A1838" s="1">
        <v>46106</v>
      </c>
      <c r="B1838" t="s">
        <v>67</v>
      </c>
      <c r="C1838" t="s">
        <v>68</v>
      </c>
      <c r="E1838">
        <v>55571</v>
      </c>
      <c r="F1838">
        <v>3379</v>
      </c>
      <c r="G1838">
        <v>890.11</v>
      </c>
      <c r="I1838">
        <v>246</v>
      </c>
      <c r="J1838" t="s">
        <v>40</v>
      </c>
      <c r="K1838" t="s">
        <v>70</v>
      </c>
      <c r="L1838" t="s">
        <v>38</v>
      </c>
      <c r="M1838" t="s">
        <v>43</v>
      </c>
    </row>
    <row r="1839" spans="1:13" x14ac:dyDescent="0.2">
      <c r="A1839" s="1">
        <v>46107</v>
      </c>
      <c r="B1839" t="s">
        <v>35</v>
      </c>
      <c r="C1839" t="s">
        <v>36</v>
      </c>
      <c r="E1839">
        <v>14397</v>
      </c>
      <c r="F1839">
        <v>703</v>
      </c>
      <c r="G1839">
        <v>130.47999999999999</v>
      </c>
      <c r="I1839">
        <v>60</v>
      </c>
      <c r="J1839" t="s">
        <v>40</v>
      </c>
      <c r="K1839" t="s">
        <v>37</v>
      </c>
      <c r="L1839" t="s">
        <v>38</v>
      </c>
      <c r="M1839" t="s">
        <v>39</v>
      </c>
    </row>
    <row r="1840" spans="1:13" x14ac:dyDescent="0.2">
      <c r="A1840" s="1">
        <v>46107</v>
      </c>
      <c r="B1840" t="s">
        <v>35</v>
      </c>
      <c r="C1840" t="s">
        <v>36</v>
      </c>
      <c r="E1840">
        <v>16646</v>
      </c>
      <c r="F1840">
        <v>961</v>
      </c>
      <c r="G1840">
        <v>193.32</v>
      </c>
      <c r="I1840">
        <v>77</v>
      </c>
      <c r="J1840" t="s">
        <v>40</v>
      </c>
      <c r="K1840" t="s">
        <v>41</v>
      </c>
      <c r="L1840" t="s">
        <v>42</v>
      </c>
      <c r="M1840" t="s">
        <v>43</v>
      </c>
    </row>
    <row r="1841" spans="1:13" x14ac:dyDescent="0.2">
      <c r="A1841" s="1">
        <v>46107</v>
      </c>
      <c r="B1841" t="s">
        <v>44</v>
      </c>
      <c r="C1841" t="s">
        <v>45</v>
      </c>
      <c r="E1841">
        <v>57567</v>
      </c>
      <c r="F1841">
        <v>3396</v>
      </c>
      <c r="G1841">
        <v>841.56</v>
      </c>
      <c r="I1841">
        <v>305</v>
      </c>
      <c r="J1841" t="s">
        <v>40</v>
      </c>
      <c r="K1841" t="s">
        <v>46</v>
      </c>
      <c r="L1841" t="s">
        <v>42</v>
      </c>
      <c r="M1841" t="s">
        <v>47</v>
      </c>
    </row>
    <row r="1842" spans="1:13" x14ac:dyDescent="0.2">
      <c r="A1842" s="1">
        <v>46107</v>
      </c>
      <c r="B1842" t="s">
        <v>44</v>
      </c>
      <c r="C1842" t="s">
        <v>48</v>
      </c>
      <c r="E1842">
        <v>25689</v>
      </c>
      <c r="F1842">
        <v>1689</v>
      </c>
      <c r="G1842">
        <v>343.37</v>
      </c>
      <c r="I1842">
        <v>97</v>
      </c>
      <c r="J1842" t="s">
        <v>40</v>
      </c>
      <c r="K1842" t="s">
        <v>49</v>
      </c>
      <c r="L1842" t="s">
        <v>50</v>
      </c>
      <c r="M1842" t="s">
        <v>51</v>
      </c>
    </row>
    <row r="1843" spans="1:13" x14ac:dyDescent="0.2">
      <c r="A1843" s="1">
        <v>46107</v>
      </c>
      <c r="B1843" t="s">
        <v>52</v>
      </c>
      <c r="C1843" t="s">
        <v>53</v>
      </c>
      <c r="E1843">
        <v>141125</v>
      </c>
      <c r="F1843">
        <v>1897</v>
      </c>
      <c r="G1843">
        <v>345.08</v>
      </c>
      <c r="I1843">
        <v>173</v>
      </c>
      <c r="J1843" t="s">
        <v>40</v>
      </c>
      <c r="K1843" t="s">
        <v>54</v>
      </c>
      <c r="L1843" t="s">
        <v>54</v>
      </c>
      <c r="M1843" t="s">
        <v>54</v>
      </c>
    </row>
    <row r="1844" spans="1:13" x14ac:dyDescent="0.2">
      <c r="A1844" s="1">
        <v>46107</v>
      </c>
      <c r="B1844" t="s">
        <v>52</v>
      </c>
      <c r="C1844" t="s">
        <v>55</v>
      </c>
      <c r="E1844">
        <v>124803</v>
      </c>
      <c r="F1844">
        <v>1524</v>
      </c>
      <c r="G1844">
        <v>373.2</v>
      </c>
      <c r="I1844">
        <v>84</v>
      </c>
      <c r="J1844" t="s">
        <v>40</v>
      </c>
      <c r="K1844" t="s">
        <v>54</v>
      </c>
      <c r="L1844" t="s">
        <v>54</v>
      </c>
      <c r="M1844" t="s">
        <v>54</v>
      </c>
    </row>
    <row r="1845" spans="1:13" x14ac:dyDescent="0.2">
      <c r="A1845" s="1">
        <v>46107</v>
      </c>
      <c r="B1845" t="s">
        <v>56</v>
      </c>
      <c r="C1845" t="s">
        <v>57</v>
      </c>
      <c r="E1845">
        <v>17256</v>
      </c>
      <c r="F1845">
        <v>1202</v>
      </c>
      <c r="G1845">
        <v>315.01</v>
      </c>
      <c r="I1845">
        <v>70</v>
      </c>
      <c r="J1845" t="s">
        <v>40</v>
      </c>
      <c r="K1845" t="s">
        <v>58</v>
      </c>
      <c r="L1845" t="s">
        <v>42</v>
      </c>
      <c r="M1845" t="s">
        <v>43</v>
      </c>
    </row>
    <row r="1846" spans="1:13" x14ac:dyDescent="0.2">
      <c r="A1846" s="1">
        <v>46107</v>
      </c>
      <c r="B1846" t="s">
        <v>56</v>
      </c>
      <c r="C1846" t="s">
        <v>57</v>
      </c>
      <c r="E1846">
        <v>27541</v>
      </c>
      <c r="F1846">
        <v>1874</v>
      </c>
      <c r="G1846">
        <v>349.31</v>
      </c>
      <c r="I1846">
        <v>164</v>
      </c>
      <c r="J1846" t="s">
        <v>40</v>
      </c>
      <c r="K1846" t="s">
        <v>59</v>
      </c>
      <c r="L1846" t="s">
        <v>38</v>
      </c>
      <c r="M1846" t="s">
        <v>43</v>
      </c>
    </row>
    <row r="1847" spans="1:13" x14ac:dyDescent="0.2">
      <c r="A1847" s="1">
        <v>46107</v>
      </c>
      <c r="B1847" t="s">
        <v>67</v>
      </c>
      <c r="C1847" t="s">
        <v>68</v>
      </c>
      <c r="E1847">
        <v>22726</v>
      </c>
      <c r="F1847">
        <v>1362</v>
      </c>
      <c r="G1847">
        <v>354.01</v>
      </c>
      <c r="I1847">
        <v>86</v>
      </c>
      <c r="J1847" t="s">
        <v>40</v>
      </c>
      <c r="K1847" t="s">
        <v>69</v>
      </c>
      <c r="L1847" t="s">
        <v>42</v>
      </c>
      <c r="M1847" t="s">
        <v>43</v>
      </c>
    </row>
    <row r="1848" spans="1:13" x14ac:dyDescent="0.2">
      <c r="A1848" s="1">
        <v>46107</v>
      </c>
      <c r="B1848" t="s">
        <v>67</v>
      </c>
      <c r="C1848" t="s">
        <v>68</v>
      </c>
      <c r="E1848">
        <v>30264</v>
      </c>
      <c r="F1848">
        <v>1762</v>
      </c>
      <c r="G1848">
        <v>460.15</v>
      </c>
      <c r="I1848">
        <v>166</v>
      </c>
      <c r="J1848" t="s">
        <v>40</v>
      </c>
      <c r="K1848" t="s">
        <v>70</v>
      </c>
      <c r="L1848" t="s">
        <v>38</v>
      </c>
      <c r="M1848" t="s">
        <v>43</v>
      </c>
    </row>
    <row r="1849" spans="1:13" x14ac:dyDescent="0.2">
      <c r="A1849" s="1">
        <v>46108</v>
      </c>
      <c r="B1849" t="s">
        <v>35</v>
      </c>
      <c r="C1849" t="s">
        <v>36</v>
      </c>
      <c r="E1849">
        <v>47249</v>
      </c>
      <c r="F1849">
        <v>2635</v>
      </c>
      <c r="G1849">
        <v>731.44</v>
      </c>
      <c r="I1849">
        <v>205</v>
      </c>
      <c r="J1849" t="s">
        <v>40</v>
      </c>
      <c r="K1849" t="s">
        <v>37</v>
      </c>
      <c r="L1849" t="s">
        <v>38</v>
      </c>
      <c r="M1849" t="s">
        <v>39</v>
      </c>
    </row>
    <row r="1850" spans="1:13" x14ac:dyDescent="0.2">
      <c r="A1850" s="1">
        <v>46108</v>
      </c>
      <c r="B1850" t="s">
        <v>35</v>
      </c>
      <c r="C1850" t="s">
        <v>36</v>
      </c>
      <c r="E1850">
        <v>24700</v>
      </c>
      <c r="F1850">
        <v>1376</v>
      </c>
      <c r="G1850">
        <v>380.42</v>
      </c>
      <c r="I1850">
        <v>87</v>
      </c>
      <c r="J1850" t="s">
        <v>40</v>
      </c>
      <c r="K1850" t="s">
        <v>41</v>
      </c>
      <c r="L1850" t="s">
        <v>42</v>
      </c>
      <c r="M1850" t="s">
        <v>43</v>
      </c>
    </row>
    <row r="1851" spans="1:13" x14ac:dyDescent="0.2">
      <c r="A1851" s="1">
        <v>46108</v>
      </c>
      <c r="B1851" t="s">
        <v>44</v>
      </c>
      <c r="C1851" t="s">
        <v>45</v>
      </c>
      <c r="E1851">
        <v>16883</v>
      </c>
      <c r="F1851">
        <v>1050</v>
      </c>
      <c r="G1851">
        <v>224.23</v>
      </c>
      <c r="I1851">
        <v>62</v>
      </c>
      <c r="J1851" t="s">
        <v>40</v>
      </c>
      <c r="K1851" t="s">
        <v>46</v>
      </c>
      <c r="L1851" t="s">
        <v>42</v>
      </c>
      <c r="M1851" t="s">
        <v>47</v>
      </c>
    </row>
    <row r="1852" spans="1:13" x14ac:dyDescent="0.2">
      <c r="A1852" s="1">
        <v>46108</v>
      </c>
      <c r="B1852" t="s">
        <v>44</v>
      </c>
      <c r="C1852" t="s">
        <v>48</v>
      </c>
      <c r="E1852">
        <v>25032</v>
      </c>
      <c r="F1852">
        <v>1656</v>
      </c>
      <c r="G1852">
        <v>325.91000000000003</v>
      </c>
      <c r="I1852">
        <v>115</v>
      </c>
      <c r="J1852" t="s">
        <v>40</v>
      </c>
      <c r="K1852" t="s">
        <v>49</v>
      </c>
      <c r="L1852" t="s">
        <v>50</v>
      </c>
      <c r="M1852" t="s">
        <v>51</v>
      </c>
    </row>
    <row r="1853" spans="1:13" x14ac:dyDescent="0.2">
      <c r="A1853" s="1">
        <v>46108</v>
      </c>
      <c r="B1853" t="s">
        <v>52</v>
      </c>
      <c r="C1853" t="s">
        <v>53</v>
      </c>
      <c r="E1853">
        <v>145115</v>
      </c>
      <c r="F1853">
        <v>1914</v>
      </c>
      <c r="G1853">
        <v>521.69000000000005</v>
      </c>
      <c r="I1853">
        <v>108</v>
      </c>
      <c r="J1853" t="s">
        <v>40</v>
      </c>
      <c r="K1853" t="s">
        <v>54</v>
      </c>
      <c r="L1853" t="s">
        <v>54</v>
      </c>
      <c r="M1853" t="s">
        <v>54</v>
      </c>
    </row>
    <row r="1854" spans="1:13" x14ac:dyDescent="0.2">
      <c r="A1854" s="1">
        <v>46108</v>
      </c>
      <c r="B1854" t="s">
        <v>52</v>
      </c>
      <c r="C1854" t="s">
        <v>55</v>
      </c>
      <c r="E1854">
        <v>134032</v>
      </c>
      <c r="F1854">
        <v>2004</v>
      </c>
      <c r="G1854">
        <v>487.41</v>
      </c>
      <c r="I1854">
        <v>140</v>
      </c>
      <c r="J1854" t="s">
        <v>40</v>
      </c>
      <c r="K1854" t="s">
        <v>54</v>
      </c>
      <c r="L1854" t="s">
        <v>54</v>
      </c>
      <c r="M1854" t="s">
        <v>54</v>
      </c>
    </row>
    <row r="1855" spans="1:13" x14ac:dyDescent="0.2">
      <c r="A1855" s="1">
        <v>46108</v>
      </c>
      <c r="B1855" t="s">
        <v>56</v>
      </c>
      <c r="C1855" t="s">
        <v>57</v>
      </c>
      <c r="E1855">
        <v>26439</v>
      </c>
      <c r="F1855">
        <v>1278</v>
      </c>
      <c r="G1855">
        <v>292.27</v>
      </c>
      <c r="I1855">
        <v>70</v>
      </c>
      <c r="J1855" t="s">
        <v>40</v>
      </c>
      <c r="K1855" t="s">
        <v>58</v>
      </c>
      <c r="L1855" t="s">
        <v>42</v>
      </c>
      <c r="M1855" t="s">
        <v>43</v>
      </c>
    </row>
    <row r="1856" spans="1:13" x14ac:dyDescent="0.2">
      <c r="A1856" s="1">
        <v>46108</v>
      </c>
      <c r="B1856" t="s">
        <v>56</v>
      </c>
      <c r="C1856" t="s">
        <v>57</v>
      </c>
      <c r="E1856">
        <v>28285</v>
      </c>
      <c r="F1856">
        <v>1986</v>
      </c>
      <c r="G1856">
        <v>497.84</v>
      </c>
      <c r="I1856">
        <v>156</v>
      </c>
      <c r="J1856" t="s">
        <v>40</v>
      </c>
      <c r="K1856" t="s">
        <v>59</v>
      </c>
      <c r="L1856" t="s">
        <v>38</v>
      </c>
      <c r="M1856" t="s">
        <v>43</v>
      </c>
    </row>
    <row r="1857" spans="1:13" x14ac:dyDescent="0.2">
      <c r="A1857" s="1">
        <v>46108</v>
      </c>
      <c r="B1857" t="s">
        <v>67</v>
      </c>
      <c r="C1857" t="s">
        <v>68</v>
      </c>
      <c r="E1857">
        <v>37172</v>
      </c>
      <c r="F1857">
        <v>2155</v>
      </c>
      <c r="G1857">
        <v>561.9</v>
      </c>
      <c r="I1857">
        <v>185</v>
      </c>
      <c r="J1857" t="s">
        <v>40</v>
      </c>
      <c r="K1857" t="s">
        <v>69</v>
      </c>
      <c r="L1857" t="s">
        <v>42</v>
      </c>
      <c r="M1857" t="s">
        <v>43</v>
      </c>
    </row>
    <row r="1858" spans="1:13" x14ac:dyDescent="0.2">
      <c r="A1858" s="1">
        <v>46108</v>
      </c>
      <c r="B1858" t="s">
        <v>67</v>
      </c>
      <c r="C1858" t="s">
        <v>68</v>
      </c>
      <c r="E1858">
        <v>23810</v>
      </c>
      <c r="F1858">
        <v>1260</v>
      </c>
      <c r="G1858">
        <v>307.42</v>
      </c>
      <c r="I1858">
        <v>95</v>
      </c>
      <c r="J1858" t="s">
        <v>40</v>
      </c>
      <c r="K1858" t="s">
        <v>70</v>
      </c>
      <c r="L1858" t="s">
        <v>38</v>
      </c>
      <c r="M1858" t="s">
        <v>43</v>
      </c>
    </row>
    <row r="1859" spans="1:13" x14ac:dyDescent="0.2">
      <c r="A1859" s="1">
        <v>46109</v>
      </c>
      <c r="B1859" t="s">
        <v>35</v>
      </c>
      <c r="C1859" t="s">
        <v>36</v>
      </c>
      <c r="E1859">
        <v>48102</v>
      </c>
      <c r="F1859">
        <v>2585</v>
      </c>
      <c r="G1859">
        <v>510.42</v>
      </c>
      <c r="I1859">
        <v>213</v>
      </c>
      <c r="J1859" t="s">
        <v>40</v>
      </c>
      <c r="K1859" t="s">
        <v>37</v>
      </c>
      <c r="L1859" t="s">
        <v>38</v>
      </c>
      <c r="M1859" t="s">
        <v>39</v>
      </c>
    </row>
    <row r="1860" spans="1:13" x14ac:dyDescent="0.2">
      <c r="A1860" s="1">
        <v>46109</v>
      </c>
      <c r="B1860" t="s">
        <v>35</v>
      </c>
      <c r="C1860" t="s">
        <v>36</v>
      </c>
      <c r="E1860">
        <v>28334</v>
      </c>
      <c r="F1860">
        <v>1847</v>
      </c>
      <c r="G1860">
        <v>445.51</v>
      </c>
      <c r="I1860">
        <v>108</v>
      </c>
      <c r="J1860" t="s">
        <v>40</v>
      </c>
      <c r="K1860" t="s">
        <v>41</v>
      </c>
      <c r="L1860" t="s">
        <v>42</v>
      </c>
      <c r="M1860" t="s">
        <v>43</v>
      </c>
    </row>
    <row r="1861" spans="1:13" x14ac:dyDescent="0.2">
      <c r="A1861" s="1">
        <v>46109</v>
      </c>
      <c r="B1861" t="s">
        <v>44</v>
      </c>
      <c r="C1861" t="s">
        <v>45</v>
      </c>
      <c r="E1861">
        <v>38660</v>
      </c>
      <c r="F1861">
        <v>2178</v>
      </c>
      <c r="G1861">
        <v>393.04</v>
      </c>
      <c r="I1861">
        <v>140</v>
      </c>
      <c r="J1861" t="s">
        <v>40</v>
      </c>
      <c r="K1861" t="s">
        <v>46</v>
      </c>
      <c r="L1861" t="s">
        <v>42</v>
      </c>
      <c r="M1861" t="s">
        <v>47</v>
      </c>
    </row>
    <row r="1862" spans="1:13" x14ac:dyDescent="0.2">
      <c r="A1862" s="1">
        <v>46109</v>
      </c>
      <c r="B1862" t="s">
        <v>44</v>
      </c>
      <c r="C1862" t="s">
        <v>48</v>
      </c>
      <c r="E1862">
        <v>23010</v>
      </c>
      <c r="F1862">
        <v>1649</v>
      </c>
      <c r="G1862">
        <v>457.89</v>
      </c>
      <c r="I1862">
        <v>131</v>
      </c>
      <c r="J1862" t="s">
        <v>40</v>
      </c>
      <c r="K1862" t="s">
        <v>49</v>
      </c>
      <c r="L1862" t="s">
        <v>50</v>
      </c>
      <c r="M1862" t="s">
        <v>51</v>
      </c>
    </row>
    <row r="1863" spans="1:13" x14ac:dyDescent="0.2">
      <c r="A1863" s="1">
        <v>46109</v>
      </c>
      <c r="B1863" t="s">
        <v>52</v>
      </c>
      <c r="C1863" t="s">
        <v>53</v>
      </c>
      <c r="E1863">
        <v>208964</v>
      </c>
      <c r="F1863">
        <v>2828</v>
      </c>
      <c r="G1863">
        <v>640.32000000000005</v>
      </c>
      <c r="I1863">
        <v>226</v>
      </c>
      <c r="J1863" t="s">
        <v>40</v>
      </c>
      <c r="K1863" t="s">
        <v>54</v>
      </c>
      <c r="L1863" t="s">
        <v>54</v>
      </c>
      <c r="M1863" t="s">
        <v>54</v>
      </c>
    </row>
    <row r="1864" spans="1:13" x14ac:dyDescent="0.2">
      <c r="A1864" s="1">
        <v>46109</v>
      </c>
      <c r="B1864" t="s">
        <v>52</v>
      </c>
      <c r="C1864" t="s">
        <v>55</v>
      </c>
      <c r="E1864">
        <v>152460</v>
      </c>
      <c r="F1864">
        <v>1887</v>
      </c>
      <c r="G1864">
        <v>376.21</v>
      </c>
      <c r="I1864">
        <v>163</v>
      </c>
      <c r="J1864" t="s">
        <v>40</v>
      </c>
      <c r="K1864" t="s">
        <v>54</v>
      </c>
      <c r="L1864" t="s">
        <v>54</v>
      </c>
      <c r="M1864" t="s">
        <v>54</v>
      </c>
    </row>
    <row r="1865" spans="1:13" x14ac:dyDescent="0.2">
      <c r="A1865" s="1">
        <v>46109</v>
      </c>
      <c r="B1865" t="s">
        <v>56</v>
      </c>
      <c r="C1865" t="s">
        <v>57</v>
      </c>
      <c r="E1865">
        <v>53418</v>
      </c>
      <c r="F1865">
        <v>3201</v>
      </c>
      <c r="G1865">
        <v>627.32000000000005</v>
      </c>
      <c r="I1865">
        <v>294</v>
      </c>
      <c r="J1865" t="s">
        <v>40</v>
      </c>
      <c r="K1865" t="s">
        <v>58</v>
      </c>
      <c r="L1865" t="s">
        <v>42</v>
      </c>
      <c r="M1865" t="s">
        <v>43</v>
      </c>
    </row>
    <row r="1866" spans="1:13" x14ac:dyDescent="0.2">
      <c r="A1866" s="1">
        <v>46109</v>
      </c>
      <c r="B1866" t="s">
        <v>56</v>
      </c>
      <c r="C1866" t="s">
        <v>57</v>
      </c>
      <c r="E1866">
        <v>17602</v>
      </c>
      <c r="F1866">
        <v>1117</v>
      </c>
      <c r="G1866">
        <v>232.9</v>
      </c>
      <c r="I1866">
        <v>80</v>
      </c>
      <c r="J1866" t="s">
        <v>40</v>
      </c>
      <c r="K1866" t="s">
        <v>59</v>
      </c>
      <c r="L1866" t="s">
        <v>38</v>
      </c>
      <c r="M1866" t="s">
        <v>43</v>
      </c>
    </row>
    <row r="1867" spans="1:13" x14ac:dyDescent="0.2">
      <c r="A1867" s="1">
        <v>46109</v>
      </c>
      <c r="B1867" t="s">
        <v>67</v>
      </c>
      <c r="C1867" t="s">
        <v>68</v>
      </c>
      <c r="E1867">
        <v>41480</v>
      </c>
      <c r="F1867">
        <v>2605</v>
      </c>
      <c r="G1867">
        <v>700.77</v>
      </c>
      <c r="I1867">
        <v>190</v>
      </c>
      <c r="J1867" t="s">
        <v>40</v>
      </c>
      <c r="K1867" t="s">
        <v>69</v>
      </c>
      <c r="L1867" t="s">
        <v>42</v>
      </c>
      <c r="M1867" t="s">
        <v>43</v>
      </c>
    </row>
    <row r="1868" spans="1:13" x14ac:dyDescent="0.2">
      <c r="A1868" s="1">
        <v>46109</v>
      </c>
      <c r="B1868" t="s">
        <v>67</v>
      </c>
      <c r="C1868" t="s">
        <v>68</v>
      </c>
      <c r="E1868">
        <v>21895</v>
      </c>
      <c r="F1868">
        <v>1440</v>
      </c>
      <c r="G1868">
        <v>392.38</v>
      </c>
      <c r="I1868">
        <v>89</v>
      </c>
      <c r="J1868" t="s">
        <v>40</v>
      </c>
      <c r="K1868" t="s">
        <v>70</v>
      </c>
      <c r="L1868" t="s">
        <v>38</v>
      </c>
      <c r="M1868" t="s">
        <v>43</v>
      </c>
    </row>
    <row r="1869" spans="1:13" x14ac:dyDescent="0.2">
      <c r="A1869" s="1">
        <v>46110</v>
      </c>
      <c r="B1869" t="s">
        <v>35</v>
      </c>
      <c r="C1869" t="s">
        <v>36</v>
      </c>
      <c r="E1869">
        <v>15475</v>
      </c>
      <c r="F1869">
        <v>922</v>
      </c>
      <c r="G1869">
        <v>176.66</v>
      </c>
      <c r="I1869">
        <v>83</v>
      </c>
      <c r="J1869" t="s">
        <v>40</v>
      </c>
      <c r="K1869" t="s">
        <v>37</v>
      </c>
      <c r="L1869" t="s">
        <v>38</v>
      </c>
      <c r="M1869" t="s">
        <v>39</v>
      </c>
    </row>
    <row r="1870" spans="1:13" x14ac:dyDescent="0.2">
      <c r="A1870" s="1">
        <v>46110</v>
      </c>
      <c r="B1870" t="s">
        <v>35</v>
      </c>
      <c r="C1870" t="s">
        <v>36</v>
      </c>
      <c r="E1870">
        <v>50896</v>
      </c>
      <c r="F1870">
        <v>3167</v>
      </c>
      <c r="G1870">
        <v>673.3</v>
      </c>
      <c r="I1870">
        <v>199</v>
      </c>
      <c r="J1870" t="s">
        <v>40</v>
      </c>
      <c r="K1870" t="s">
        <v>41</v>
      </c>
      <c r="L1870" t="s">
        <v>42</v>
      </c>
      <c r="M1870" t="s">
        <v>43</v>
      </c>
    </row>
    <row r="1871" spans="1:13" x14ac:dyDescent="0.2">
      <c r="A1871" s="1">
        <v>46110</v>
      </c>
      <c r="B1871" t="s">
        <v>44</v>
      </c>
      <c r="C1871" t="s">
        <v>45</v>
      </c>
      <c r="E1871">
        <v>40747</v>
      </c>
      <c r="F1871">
        <v>2180</v>
      </c>
      <c r="G1871">
        <v>416.41</v>
      </c>
      <c r="I1871">
        <v>139</v>
      </c>
      <c r="J1871" t="s">
        <v>40</v>
      </c>
      <c r="K1871" t="s">
        <v>46</v>
      </c>
      <c r="L1871" t="s">
        <v>42</v>
      </c>
      <c r="M1871" t="s">
        <v>47</v>
      </c>
    </row>
    <row r="1872" spans="1:13" x14ac:dyDescent="0.2">
      <c r="A1872" s="1">
        <v>46110</v>
      </c>
      <c r="B1872" t="s">
        <v>44</v>
      </c>
      <c r="C1872" t="s">
        <v>48</v>
      </c>
      <c r="E1872">
        <v>33200</v>
      </c>
      <c r="F1872">
        <v>2181</v>
      </c>
      <c r="G1872">
        <v>582.29999999999995</v>
      </c>
      <c r="I1872">
        <v>152</v>
      </c>
      <c r="J1872" t="s">
        <v>40</v>
      </c>
      <c r="K1872" t="s">
        <v>49</v>
      </c>
      <c r="L1872" t="s">
        <v>50</v>
      </c>
      <c r="M1872" t="s">
        <v>51</v>
      </c>
    </row>
    <row r="1873" spans="1:13" x14ac:dyDescent="0.2">
      <c r="A1873" s="1">
        <v>46110</v>
      </c>
      <c r="B1873" t="s">
        <v>52</v>
      </c>
      <c r="C1873" t="s">
        <v>53</v>
      </c>
      <c r="E1873">
        <v>154598</v>
      </c>
      <c r="F1873">
        <v>1757</v>
      </c>
      <c r="G1873">
        <v>419.06</v>
      </c>
      <c r="I1873">
        <v>100</v>
      </c>
      <c r="J1873" t="s">
        <v>40</v>
      </c>
      <c r="K1873" t="s">
        <v>54</v>
      </c>
      <c r="L1873" t="s">
        <v>54</v>
      </c>
      <c r="M1873" t="s">
        <v>54</v>
      </c>
    </row>
    <row r="1874" spans="1:13" x14ac:dyDescent="0.2">
      <c r="A1874" s="1">
        <v>46110</v>
      </c>
      <c r="B1874" t="s">
        <v>52</v>
      </c>
      <c r="C1874" t="s">
        <v>55</v>
      </c>
      <c r="E1874">
        <v>191267</v>
      </c>
      <c r="F1874">
        <v>2242</v>
      </c>
      <c r="G1874">
        <v>611.59</v>
      </c>
      <c r="I1874">
        <v>164</v>
      </c>
      <c r="J1874" t="s">
        <v>40</v>
      </c>
      <c r="K1874" t="s">
        <v>54</v>
      </c>
      <c r="L1874" t="s">
        <v>54</v>
      </c>
      <c r="M1874" t="s">
        <v>54</v>
      </c>
    </row>
    <row r="1875" spans="1:13" x14ac:dyDescent="0.2">
      <c r="A1875" s="1">
        <v>46110</v>
      </c>
      <c r="B1875" t="s">
        <v>56</v>
      </c>
      <c r="C1875" t="s">
        <v>57</v>
      </c>
      <c r="E1875">
        <v>45999</v>
      </c>
      <c r="F1875">
        <v>2620</v>
      </c>
      <c r="G1875">
        <v>591.53</v>
      </c>
      <c r="I1875">
        <v>164</v>
      </c>
      <c r="J1875" t="s">
        <v>40</v>
      </c>
      <c r="K1875" t="s">
        <v>58</v>
      </c>
      <c r="L1875" t="s">
        <v>42</v>
      </c>
      <c r="M1875" t="s">
        <v>43</v>
      </c>
    </row>
    <row r="1876" spans="1:13" x14ac:dyDescent="0.2">
      <c r="A1876" s="1">
        <v>46110</v>
      </c>
      <c r="B1876" t="s">
        <v>56</v>
      </c>
      <c r="C1876" t="s">
        <v>57</v>
      </c>
      <c r="E1876">
        <v>43550</v>
      </c>
      <c r="F1876">
        <v>3110</v>
      </c>
      <c r="G1876">
        <v>622.69000000000005</v>
      </c>
      <c r="I1876">
        <v>186</v>
      </c>
      <c r="J1876" t="s">
        <v>40</v>
      </c>
      <c r="K1876" t="s">
        <v>59</v>
      </c>
      <c r="L1876" t="s">
        <v>38</v>
      </c>
      <c r="M1876" t="s">
        <v>43</v>
      </c>
    </row>
    <row r="1877" spans="1:13" x14ac:dyDescent="0.2">
      <c r="A1877" s="1">
        <v>46110</v>
      </c>
      <c r="B1877" t="s">
        <v>67</v>
      </c>
      <c r="C1877" t="s">
        <v>68</v>
      </c>
      <c r="E1877">
        <v>18081</v>
      </c>
      <c r="F1877">
        <v>989</v>
      </c>
      <c r="G1877">
        <v>189.01</v>
      </c>
      <c r="I1877">
        <v>72</v>
      </c>
      <c r="J1877" t="s">
        <v>40</v>
      </c>
      <c r="K1877" t="s">
        <v>69</v>
      </c>
      <c r="L1877" t="s">
        <v>42</v>
      </c>
      <c r="M1877" t="s">
        <v>43</v>
      </c>
    </row>
    <row r="1878" spans="1:13" x14ac:dyDescent="0.2">
      <c r="A1878" s="1">
        <v>46110</v>
      </c>
      <c r="B1878" t="s">
        <v>67</v>
      </c>
      <c r="C1878" t="s">
        <v>68</v>
      </c>
      <c r="E1878">
        <v>48630</v>
      </c>
      <c r="F1878">
        <v>2534</v>
      </c>
      <c r="G1878">
        <v>543.17999999999995</v>
      </c>
      <c r="I1878">
        <v>229</v>
      </c>
      <c r="J1878" t="s">
        <v>40</v>
      </c>
      <c r="K1878" t="s">
        <v>70</v>
      </c>
      <c r="L1878" t="s">
        <v>38</v>
      </c>
      <c r="M1878" t="s">
        <v>43</v>
      </c>
    </row>
    <row r="1879" spans="1:13" x14ac:dyDescent="0.2">
      <c r="A1879" s="1">
        <v>46111</v>
      </c>
      <c r="B1879" t="s">
        <v>35</v>
      </c>
      <c r="C1879" t="s">
        <v>36</v>
      </c>
      <c r="E1879">
        <v>26357</v>
      </c>
      <c r="F1879">
        <v>1764</v>
      </c>
      <c r="G1879">
        <v>430.06</v>
      </c>
      <c r="I1879">
        <v>140</v>
      </c>
      <c r="J1879" t="s">
        <v>40</v>
      </c>
      <c r="K1879" t="s">
        <v>37</v>
      </c>
      <c r="L1879" t="s">
        <v>38</v>
      </c>
      <c r="M1879" t="s">
        <v>39</v>
      </c>
    </row>
    <row r="1880" spans="1:13" x14ac:dyDescent="0.2">
      <c r="A1880" s="1">
        <v>46111</v>
      </c>
      <c r="B1880" t="s">
        <v>35</v>
      </c>
      <c r="C1880" t="s">
        <v>36</v>
      </c>
      <c r="E1880">
        <v>27476</v>
      </c>
      <c r="F1880">
        <v>1700</v>
      </c>
      <c r="G1880">
        <v>399.97</v>
      </c>
      <c r="I1880">
        <v>109</v>
      </c>
      <c r="J1880" t="s">
        <v>40</v>
      </c>
      <c r="K1880" t="s">
        <v>41</v>
      </c>
      <c r="L1880" t="s">
        <v>42</v>
      </c>
      <c r="M1880" t="s">
        <v>43</v>
      </c>
    </row>
    <row r="1881" spans="1:13" x14ac:dyDescent="0.2">
      <c r="A1881" s="1">
        <v>46111</v>
      </c>
      <c r="B1881" t="s">
        <v>44</v>
      </c>
      <c r="C1881" t="s">
        <v>45</v>
      </c>
      <c r="E1881">
        <v>48074</v>
      </c>
      <c r="F1881">
        <v>3296</v>
      </c>
      <c r="G1881">
        <v>754.52</v>
      </c>
      <c r="I1881">
        <v>312</v>
      </c>
      <c r="J1881" t="s">
        <v>40</v>
      </c>
      <c r="K1881" t="s">
        <v>46</v>
      </c>
      <c r="L1881" t="s">
        <v>42</v>
      </c>
      <c r="M1881" t="s">
        <v>47</v>
      </c>
    </row>
    <row r="1882" spans="1:13" x14ac:dyDescent="0.2">
      <c r="A1882" s="1">
        <v>46111</v>
      </c>
      <c r="B1882" t="s">
        <v>44</v>
      </c>
      <c r="C1882" t="s">
        <v>48</v>
      </c>
      <c r="E1882">
        <v>53339</v>
      </c>
      <c r="F1882">
        <v>3631</v>
      </c>
      <c r="G1882">
        <v>754.95</v>
      </c>
      <c r="I1882">
        <v>305</v>
      </c>
      <c r="J1882" t="s">
        <v>40</v>
      </c>
      <c r="K1882" t="s">
        <v>49</v>
      </c>
      <c r="L1882" t="s">
        <v>50</v>
      </c>
      <c r="M1882" t="s">
        <v>51</v>
      </c>
    </row>
    <row r="1883" spans="1:13" x14ac:dyDescent="0.2">
      <c r="A1883" s="1">
        <v>46111</v>
      </c>
      <c r="B1883" t="s">
        <v>52</v>
      </c>
      <c r="C1883" t="s">
        <v>53</v>
      </c>
      <c r="E1883">
        <v>159027</v>
      </c>
      <c r="F1883">
        <v>1946</v>
      </c>
      <c r="G1883">
        <v>434.78</v>
      </c>
      <c r="I1883">
        <v>124</v>
      </c>
      <c r="J1883" t="s">
        <v>40</v>
      </c>
      <c r="K1883" t="s">
        <v>54</v>
      </c>
      <c r="L1883" t="s">
        <v>54</v>
      </c>
      <c r="M1883" t="s">
        <v>54</v>
      </c>
    </row>
    <row r="1884" spans="1:13" x14ac:dyDescent="0.2">
      <c r="A1884" s="1">
        <v>46111</v>
      </c>
      <c r="B1884" t="s">
        <v>52</v>
      </c>
      <c r="C1884" t="s">
        <v>55</v>
      </c>
      <c r="E1884">
        <v>217833</v>
      </c>
      <c r="F1884">
        <v>3426</v>
      </c>
      <c r="G1884">
        <v>929.73</v>
      </c>
      <c r="I1884">
        <v>311</v>
      </c>
      <c r="J1884" t="s">
        <v>40</v>
      </c>
      <c r="K1884" t="s">
        <v>54</v>
      </c>
      <c r="L1884" t="s">
        <v>54</v>
      </c>
      <c r="M1884" t="s">
        <v>54</v>
      </c>
    </row>
    <row r="1885" spans="1:13" x14ac:dyDescent="0.2">
      <c r="A1885" s="1">
        <v>46111</v>
      </c>
      <c r="B1885" t="s">
        <v>56</v>
      </c>
      <c r="C1885" t="s">
        <v>57</v>
      </c>
      <c r="E1885">
        <v>48592</v>
      </c>
      <c r="F1885">
        <v>3475</v>
      </c>
      <c r="G1885">
        <v>639.41999999999996</v>
      </c>
      <c r="I1885">
        <v>256</v>
      </c>
      <c r="J1885" t="s">
        <v>40</v>
      </c>
      <c r="K1885" t="s">
        <v>58</v>
      </c>
      <c r="L1885" t="s">
        <v>42</v>
      </c>
      <c r="M1885" t="s">
        <v>43</v>
      </c>
    </row>
    <row r="1886" spans="1:13" x14ac:dyDescent="0.2">
      <c r="A1886" s="1">
        <v>46111</v>
      </c>
      <c r="B1886" t="s">
        <v>56</v>
      </c>
      <c r="C1886" t="s">
        <v>57</v>
      </c>
      <c r="E1886">
        <v>55957</v>
      </c>
      <c r="F1886">
        <v>2731</v>
      </c>
      <c r="G1886">
        <v>636.63</v>
      </c>
      <c r="I1886">
        <v>202</v>
      </c>
      <c r="J1886" t="s">
        <v>40</v>
      </c>
      <c r="K1886" t="s">
        <v>59</v>
      </c>
      <c r="L1886" t="s">
        <v>38</v>
      </c>
      <c r="M1886" t="s">
        <v>43</v>
      </c>
    </row>
    <row r="1887" spans="1:13" x14ac:dyDescent="0.2">
      <c r="A1887" s="1">
        <v>46111</v>
      </c>
      <c r="B1887" t="s">
        <v>67</v>
      </c>
      <c r="C1887" t="s">
        <v>68</v>
      </c>
      <c r="E1887">
        <v>21348</v>
      </c>
      <c r="F1887">
        <v>1256</v>
      </c>
      <c r="G1887">
        <v>256.29000000000002</v>
      </c>
      <c r="I1887">
        <v>97</v>
      </c>
      <c r="J1887" t="s">
        <v>40</v>
      </c>
      <c r="K1887" t="s">
        <v>69</v>
      </c>
      <c r="L1887" t="s">
        <v>42</v>
      </c>
      <c r="M1887" t="s">
        <v>43</v>
      </c>
    </row>
    <row r="1888" spans="1:13" x14ac:dyDescent="0.2">
      <c r="A1888" s="1">
        <v>46111</v>
      </c>
      <c r="B1888" t="s">
        <v>67</v>
      </c>
      <c r="C1888" t="s">
        <v>68</v>
      </c>
      <c r="E1888">
        <v>14058</v>
      </c>
      <c r="F1888">
        <v>908</v>
      </c>
      <c r="G1888">
        <v>200.36</v>
      </c>
      <c r="I1888">
        <v>57</v>
      </c>
      <c r="J1888" t="s">
        <v>40</v>
      </c>
      <c r="K1888" t="s">
        <v>70</v>
      </c>
      <c r="L1888" t="s">
        <v>38</v>
      </c>
      <c r="M1888" t="s">
        <v>43</v>
      </c>
    </row>
    <row r="1889" spans="1:13" x14ac:dyDescent="0.2">
      <c r="A1889" s="1">
        <v>46112</v>
      </c>
      <c r="B1889" t="s">
        <v>35</v>
      </c>
      <c r="C1889" t="s">
        <v>36</v>
      </c>
      <c r="E1889">
        <v>43534</v>
      </c>
      <c r="F1889">
        <v>2398</v>
      </c>
      <c r="G1889">
        <v>586.94000000000005</v>
      </c>
      <c r="I1889">
        <v>140</v>
      </c>
      <c r="J1889" t="s">
        <v>40</v>
      </c>
      <c r="K1889" t="s">
        <v>37</v>
      </c>
      <c r="L1889" t="s">
        <v>38</v>
      </c>
      <c r="M1889" t="s">
        <v>39</v>
      </c>
    </row>
    <row r="1890" spans="1:13" x14ac:dyDescent="0.2">
      <c r="A1890" s="1">
        <v>46112</v>
      </c>
      <c r="B1890" t="s">
        <v>35</v>
      </c>
      <c r="C1890" t="s">
        <v>36</v>
      </c>
      <c r="E1890">
        <v>53875</v>
      </c>
      <c r="F1890">
        <v>3451</v>
      </c>
      <c r="G1890">
        <v>677.02</v>
      </c>
      <c r="I1890">
        <v>253</v>
      </c>
      <c r="J1890" t="s">
        <v>40</v>
      </c>
      <c r="K1890" t="s">
        <v>41</v>
      </c>
      <c r="L1890" t="s">
        <v>42</v>
      </c>
      <c r="M1890" t="s">
        <v>43</v>
      </c>
    </row>
    <row r="1891" spans="1:13" x14ac:dyDescent="0.2">
      <c r="A1891" s="1">
        <v>46112</v>
      </c>
      <c r="B1891" t="s">
        <v>44</v>
      </c>
      <c r="C1891" t="s">
        <v>45</v>
      </c>
      <c r="E1891">
        <v>15078</v>
      </c>
      <c r="F1891">
        <v>1077</v>
      </c>
      <c r="G1891">
        <v>243.81</v>
      </c>
      <c r="I1891">
        <v>65</v>
      </c>
      <c r="J1891" t="s">
        <v>40</v>
      </c>
      <c r="K1891" t="s">
        <v>46</v>
      </c>
      <c r="L1891" t="s">
        <v>42</v>
      </c>
      <c r="M1891" t="s">
        <v>47</v>
      </c>
    </row>
    <row r="1892" spans="1:13" x14ac:dyDescent="0.2">
      <c r="A1892" s="1">
        <v>46112</v>
      </c>
      <c r="B1892" t="s">
        <v>44</v>
      </c>
      <c r="C1892" t="s">
        <v>48</v>
      </c>
      <c r="E1892">
        <v>47534</v>
      </c>
      <c r="F1892">
        <v>2492</v>
      </c>
      <c r="G1892">
        <v>665.75</v>
      </c>
      <c r="I1892">
        <v>199</v>
      </c>
      <c r="J1892" t="s">
        <v>40</v>
      </c>
      <c r="K1892" t="s">
        <v>49</v>
      </c>
      <c r="L1892" t="s">
        <v>50</v>
      </c>
      <c r="M1892" t="s">
        <v>51</v>
      </c>
    </row>
    <row r="1893" spans="1:13" x14ac:dyDescent="0.2">
      <c r="A1893" s="1">
        <v>46112</v>
      </c>
      <c r="B1893" t="s">
        <v>52</v>
      </c>
      <c r="C1893" t="s">
        <v>53</v>
      </c>
      <c r="E1893">
        <v>117231</v>
      </c>
      <c r="F1893">
        <v>1793</v>
      </c>
      <c r="G1893">
        <v>335.42</v>
      </c>
      <c r="I1893">
        <v>162</v>
      </c>
      <c r="J1893" t="s">
        <v>40</v>
      </c>
      <c r="K1893" t="s">
        <v>54</v>
      </c>
      <c r="L1893" t="s">
        <v>54</v>
      </c>
      <c r="M1893" t="s">
        <v>54</v>
      </c>
    </row>
    <row r="1894" spans="1:13" x14ac:dyDescent="0.2">
      <c r="A1894" s="1">
        <v>46112</v>
      </c>
      <c r="B1894" t="s">
        <v>52</v>
      </c>
      <c r="C1894" t="s">
        <v>55</v>
      </c>
      <c r="E1894">
        <v>173724</v>
      </c>
      <c r="F1894">
        <v>2372</v>
      </c>
      <c r="G1894">
        <v>497.31</v>
      </c>
      <c r="I1894">
        <v>201</v>
      </c>
      <c r="J1894" t="s">
        <v>40</v>
      </c>
      <c r="K1894" t="s">
        <v>54</v>
      </c>
      <c r="L1894" t="s">
        <v>54</v>
      </c>
      <c r="M1894" t="s">
        <v>54</v>
      </c>
    </row>
    <row r="1895" spans="1:13" x14ac:dyDescent="0.2">
      <c r="A1895" s="1">
        <v>46112</v>
      </c>
      <c r="B1895" t="s">
        <v>56</v>
      </c>
      <c r="C1895" t="s">
        <v>57</v>
      </c>
      <c r="E1895">
        <v>30647</v>
      </c>
      <c r="F1895">
        <v>2050</v>
      </c>
      <c r="G1895">
        <v>385.6</v>
      </c>
      <c r="I1895">
        <v>184</v>
      </c>
      <c r="J1895" t="s">
        <v>40</v>
      </c>
      <c r="K1895" t="s">
        <v>58</v>
      </c>
      <c r="L1895" t="s">
        <v>42</v>
      </c>
      <c r="M1895" t="s">
        <v>43</v>
      </c>
    </row>
    <row r="1896" spans="1:13" x14ac:dyDescent="0.2">
      <c r="A1896" s="1">
        <v>46112</v>
      </c>
      <c r="B1896" t="s">
        <v>56</v>
      </c>
      <c r="C1896" t="s">
        <v>57</v>
      </c>
      <c r="E1896">
        <v>17669</v>
      </c>
      <c r="F1896">
        <v>1066</v>
      </c>
      <c r="G1896">
        <v>288.89</v>
      </c>
      <c r="I1896">
        <v>74</v>
      </c>
      <c r="J1896" t="s">
        <v>40</v>
      </c>
      <c r="K1896" t="s">
        <v>59</v>
      </c>
      <c r="L1896" t="s">
        <v>38</v>
      </c>
      <c r="M1896" t="s">
        <v>43</v>
      </c>
    </row>
    <row r="1897" spans="1:13" x14ac:dyDescent="0.2">
      <c r="A1897" s="1">
        <v>46112</v>
      </c>
      <c r="B1897" t="s">
        <v>67</v>
      </c>
      <c r="C1897" t="s">
        <v>68</v>
      </c>
      <c r="E1897">
        <v>17392</v>
      </c>
      <c r="F1897">
        <v>881</v>
      </c>
      <c r="G1897">
        <v>190.79</v>
      </c>
      <c r="I1897">
        <v>70</v>
      </c>
      <c r="J1897" t="s">
        <v>40</v>
      </c>
      <c r="K1897" t="s">
        <v>69</v>
      </c>
      <c r="L1897" t="s">
        <v>42</v>
      </c>
      <c r="M1897" t="s">
        <v>43</v>
      </c>
    </row>
    <row r="1898" spans="1:13" x14ac:dyDescent="0.2">
      <c r="A1898" s="1">
        <v>46112</v>
      </c>
      <c r="B1898" t="s">
        <v>67</v>
      </c>
      <c r="C1898" t="s">
        <v>68</v>
      </c>
      <c r="E1898">
        <v>44145</v>
      </c>
      <c r="F1898">
        <v>2507</v>
      </c>
      <c r="G1898">
        <v>613.76</v>
      </c>
      <c r="I1898">
        <v>208</v>
      </c>
      <c r="J1898" t="s">
        <v>40</v>
      </c>
      <c r="K1898" t="s">
        <v>70</v>
      </c>
      <c r="L1898" t="s">
        <v>38</v>
      </c>
      <c r="M1898" t="s">
        <v>43</v>
      </c>
    </row>
    <row r="1899" spans="1:13" x14ac:dyDescent="0.2">
      <c r="A1899" s="1">
        <v>46023</v>
      </c>
      <c r="B1899" t="s">
        <v>10</v>
      </c>
      <c r="C1899" t="s">
        <v>26</v>
      </c>
      <c r="D1899" t="s">
        <v>71</v>
      </c>
      <c r="E1899">
        <v>56832</v>
      </c>
      <c r="F1899">
        <v>1701</v>
      </c>
      <c r="G1899">
        <v>340.36</v>
      </c>
      <c r="H1899">
        <v>43985</v>
      </c>
      <c r="I1899">
        <v>80</v>
      </c>
      <c r="J1899" t="s">
        <v>72</v>
      </c>
    </row>
    <row r="1900" spans="1:13" x14ac:dyDescent="0.2">
      <c r="A1900" s="1">
        <v>46023</v>
      </c>
      <c r="B1900" t="s">
        <v>10</v>
      </c>
      <c r="C1900" t="s">
        <v>73</v>
      </c>
      <c r="D1900" t="s">
        <v>74</v>
      </c>
      <c r="E1900">
        <v>59548</v>
      </c>
      <c r="F1900">
        <v>1934</v>
      </c>
      <c r="G1900">
        <v>452.32</v>
      </c>
      <c r="H1900">
        <v>45873</v>
      </c>
      <c r="I1900">
        <v>78</v>
      </c>
      <c r="J1900" t="s">
        <v>72</v>
      </c>
    </row>
    <row r="1901" spans="1:13" x14ac:dyDescent="0.2">
      <c r="A1901" s="1">
        <v>46023</v>
      </c>
      <c r="B1901" t="s">
        <v>15</v>
      </c>
      <c r="C1901" t="s">
        <v>16</v>
      </c>
      <c r="D1901" t="s">
        <v>75</v>
      </c>
      <c r="E1901">
        <v>38305</v>
      </c>
      <c r="F1901">
        <v>1272</v>
      </c>
      <c r="G1901">
        <v>263.49</v>
      </c>
      <c r="H1901">
        <v>29500</v>
      </c>
      <c r="I1901">
        <v>67</v>
      </c>
      <c r="J1901" t="s">
        <v>72</v>
      </c>
    </row>
    <row r="1902" spans="1:13" x14ac:dyDescent="0.2">
      <c r="A1902" s="1">
        <v>46023</v>
      </c>
      <c r="B1902" t="s">
        <v>15</v>
      </c>
      <c r="C1902" t="s">
        <v>76</v>
      </c>
      <c r="D1902" t="s">
        <v>74</v>
      </c>
      <c r="E1902">
        <v>99717</v>
      </c>
      <c r="F1902">
        <v>3739</v>
      </c>
      <c r="G1902">
        <v>792.56</v>
      </c>
      <c r="H1902">
        <v>74710</v>
      </c>
      <c r="I1902">
        <v>174</v>
      </c>
      <c r="J1902" t="s">
        <v>72</v>
      </c>
    </row>
    <row r="1903" spans="1:13" x14ac:dyDescent="0.2">
      <c r="A1903" s="1">
        <v>46023</v>
      </c>
      <c r="B1903" t="s">
        <v>18</v>
      </c>
      <c r="C1903" t="s">
        <v>26</v>
      </c>
      <c r="D1903" t="s">
        <v>12</v>
      </c>
      <c r="E1903">
        <v>54687</v>
      </c>
      <c r="F1903">
        <v>2214</v>
      </c>
      <c r="G1903">
        <v>459.34</v>
      </c>
      <c r="H1903">
        <v>39813</v>
      </c>
      <c r="I1903">
        <v>121</v>
      </c>
      <c r="J1903" t="s">
        <v>72</v>
      </c>
    </row>
    <row r="1904" spans="1:13" x14ac:dyDescent="0.2">
      <c r="A1904" s="1">
        <v>46023</v>
      </c>
      <c r="B1904" t="s">
        <v>18</v>
      </c>
      <c r="C1904" t="s">
        <v>73</v>
      </c>
      <c r="D1904" t="s">
        <v>74</v>
      </c>
      <c r="E1904">
        <v>40085</v>
      </c>
      <c r="F1904">
        <v>1183</v>
      </c>
      <c r="G1904">
        <v>232.53</v>
      </c>
      <c r="H1904">
        <v>31655</v>
      </c>
      <c r="I1904">
        <v>50</v>
      </c>
      <c r="J1904" t="s">
        <v>72</v>
      </c>
    </row>
    <row r="1905" spans="1:10" x14ac:dyDescent="0.2">
      <c r="A1905" s="1">
        <v>46024</v>
      </c>
      <c r="B1905" t="s">
        <v>10</v>
      </c>
      <c r="C1905" t="s">
        <v>26</v>
      </c>
      <c r="D1905" t="s">
        <v>74</v>
      </c>
      <c r="E1905">
        <v>98247</v>
      </c>
      <c r="F1905">
        <v>4060</v>
      </c>
      <c r="G1905">
        <v>736.33</v>
      </c>
      <c r="H1905">
        <v>74830</v>
      </c>
      <c r="I1905">
        <v>196</v>
      </c>
      <c r="J1905" t="s">
        <v>72</v>
      </c>
    </row>
    <row r="1906" spans="1:10" x14ac:dyDescent="0.2">
      <c r="A1906" s="1">
        <v>46024</v>
      </c>
      <c r="B1906" t="s">
        <v>10</v>
      </c>
      <c r="C1906" t="s">
        <v>73</v>
      </c>
      <c r="D1906" t="s">
        <v>74</v>
      </c>
      <c r="E1906">
        <v>92115</v>
      </c>
      <c r="F1906">
        <v>3026</v>
      </c>
      <c r="G1906">
        <v>625.27</v>
      </c>
      <c r="H1906">
        <v>72261</v>
      </c>
      <c r="I1906">
        <v>111</v>
      </c>
      <c r="J1906" t="s">
        <v>72</v>
      </c>
    </row>
    <row r="1907" spans="1:10" x14ac:dyDescent="0.2">
      <c r="A1907" s="1">
        <v>46024</v>
      </c>
      <c r="B1907" t="s">
        <v>15</v>
      </c>
      <c r="C1907" t="s">
        <v>16</v>
      </c>
      <c r="D1907" t="s">
        <v>75</v>
      </c>
      <c r="E1907">
        <v>32888</v>
      </c>
      <c r="F1907">
        <v>1322</v>
      </c>
      <c r="G1907">
        <v>256.39</v>
      </c>
      <c r="H1907">
        <v>26795</v>
      </c>
      <c r="I1907">
        <v>62</v>
      </c>
      <c r="J1907" t="s">
        <v>72</v>
      </c>
    </row>
    <row r="1908" spans="1:10" x14ac:dyDescent="0.2">
      <c r="A1908" s="1">
        <v>46024</v>
      </c>
      <c r="B1908" t="s">
        <v>15</v>
      </c>
      <c r="C1908" t="s">
        <v>76</v>
      </c>
      <c r="D1908" t="s">
        <v>74</v>
      </c>
      <c r="E1908">
        <v>105851</v>
      </c>
      <c r="F1908">
        <v>3471</v>
      </c>
      <c r="G1908">
        <v>759.33</v>
      </c>
      <c r="H1908">
        <v>79666</v>
      </c>
      <c r="I1908">
        <v>158</v>
      </c>
      <c r="J1908" t="s">
        <v>72</v>
      </c>
    </row>
    <row r="1909" spans="1:10" x14ac:dyDescent="0.2">
      <c r="A1909" s="1">
        <v>46024</v>
      </c>
      <c r="B1909" t="s">
        <v>18</v>
      </c>
      <c r="C1909" t="s">
        <v>26</v>
      </c>
      <c r="D1909" t="s">
        <v>12</v>
      </c>
      <c r="E1909">
        <v>90031</v>
      </c>
      <c r="F1909">
        <v>2904</v>
      </c>
      <c r="G1909">
        <v>545.71</v>
      </c>
      <c r="H1909">
        <v>71928</v>
      </c>
      <c r="I1909">
        <v>96</v>
      </c>
      <c r="J1909" t="s">
        <v>72</v>
      </c>
    </row>
    <row r="1910" spans="1:10" x14ac:dyDescent="0.2">
      <c r="A1910" s="1">
        <v>46024</v>
      </c>
      <c r="B1910" t="s">
        <v>18</v>
      </c>
      <c r="C1910" t="s">
        <v>73</v>
      </c>
      <c r="D1910" t="s">
        <v>74</v>
      </c>
      <c r="E1910">
        <v>59724</v>
      </c>
      <c r="F1910">
        <v>2077</v>
      </c>
      <c r="G1910">
        <v>494.83</v>
      </c>
      <c r="H1910">
        <v>47598</v>
      </c>
      <c r="I1910">
        <v>61</v>
      </c>
      <c r="J1910" t="s">
        <v>72</v>
      </c>
    </row>
    <row r="1911" spans="1:10" x14ac:dyDescent="0.2">
      <c r="A1911" s="1">
        <v>46025</v>
      </c>
      <c r="B1911" t="s">
        <v>10</v>
      </c>
      <c r="C1911" t="s">
        <v>26</v>
      </c>
      <c r="D1911" t="s">
        <v>12</v>
      </c>
      <c r="E1911">
        <v>94183</v>
      </c>
      <c r="F1911">
        <v>3238</v>
      </c>
      <c r="G1911">
        <v>615.16</v>
      </c>
      <c r="H1911">
        <v>76515</v>
      </c>
      <c r="I1911">
        <v>159</v>
      </c>
      <c r="J1911" t="s">
        <v>72</v>
      </c>
    </row>
    <row r="1912" spans="1:10" x14ac:dyDescent="0.2">
      <c r="A1912" s="1">
        <v>46025</v>
      </c>
      <c r="B1912" t="s">
        <v>10</v>
      </c>
      <c r="C1912" t="s">
        <v>73</v>
      </c>
      <c r="D1912" t="s">
        <v>71</v>
      </c>
      <c r="E1912">
        <v>75447</v>
      </c>
      <c r="F1912">
        <v>3140</v>
      </c>
      <c r="G1912">
        <v>723.33</v>
      </c>
      <c r="H1912">
        <v>59549</v>
      </c>
      <c r="I1912">
        <v>150</v>
      </c>
      <c r="J1912" t="s">
        <v>72</v>
      </c>
    </row>
    <row r="1913" spans="1:10" x14ac:dyDescent="0.2">
      <c r="A1913" s="1">
        <v>46025</v>
      </c>
      <c r="B1913" t="s">
        <v>15</v>
      </c>
      <c r="C1913" t="s">
        <v>16</v>
      </c>
      <c r="D1913" t="s">
        <v>75</v>
      </c>
      <c r="E1913">
        <v>71589</v>
      </c>
      <c r="F1913">
        <v>2242</v>
      </c>
      <c r="G1913">
        <v>409.1</v>
      </c>
      <c r="H1913">
        <v>53810</v>
      </c>
      <c r="I1913">
        <v>71</v>
      </c>
      <c r="J1913" t="s">
        <v>72</v>
      </c>
    </row>
    <row r="1914" spans="1:10" x14ac:dyDescent="0.2">
      <c r="A1914" s="1">
        <v>46025</v>
      </c>
      <c r="B1914" t="s">
        <v>15</v>
      </c>
      <c r="C1914" t="s">
        <v>76</v>
      </c>
      <c r="D1914" t="s">
        <v>74</v>
      </c>
      <c r="E1914">
        <v>109834</v>
      </c>
      <c r="F1914">
        <v>3359</v>
      </c>
      <c r="G1914">
        <v>717.98</v>
      </c>
      <c r="H1914">
        <v>79461</v>
      </c>
      <c r="I1914">
        <v>125</v>
      </c>
      <c r="J1914" t="s">
        <v>72</v>
      </c>
    </row>
    <row r="1915" spans="1:10" x14ac:dyDescent="0.2">
      <c r="A1915" s="1">
        <v>46025</v>
      </c>
      <c r="B1915" t="s">
        <v>19</v>
      </c>
      <c r="C1915" t="s">
        <v>26</v>
      </c>
      <c r="D1915" t="s">
        <v>74</v>
      </c>
      <c r="E1915">
        <v>69147</v>
      </c>
      <c r="F1915">
        <v>2297</v>
      </c>
      <c r="G1915">
        <v>487.86</v>
      </c>
      <c r="H1915">
        <v>50910</v>
      </c>
      <c r="I1915">
        <v>85</v>
      </c>
      <c r="J1915" t="s">
        <v>72</v>
      </c>
    </row>
    <row r="1916" spans="1:10" x14ac:dyDescent="0.2">
      <c r="A1916" s="1">
        <v>46025</v>
      </c>
      <c r="B1916" t="s">
        <v>19</v>
      </c>
      <c r="C1916" t="s">
        <v>73</v>
      </c>
      <c r="D1916" t="s">
        <v>12</v>
      </c>
      <c r="E1916">
        <v>116236</v>
      </c>
      <c r="F1916">
        <v>4769</v>
      </c>
      <c r="G1916">
        <v>1078.32</v>
      </c>
      <c r="H1916">
        <v>94706</v>
      </c>
      <c r="I1916">
        <v>266</v>
      </c>
      <c r="J1916" t="s">
        <v>72</v>
      </c>
    </row>
    <row r="1917" spans="1:10" x14ac:dyDescent="0.2">
      <c r="A1917" s="1">
        <v>46025</v>
      </c>
      <c r="B1917" t="s">
        <v>18</v>
      </c>
      <c r="C1917" t="s">
        <v>26</v>
      </c>
      <c r="D1917" t="s">
        <v>12</v>
      </c>
      <c r="E1917">
        <v>42786</v>
      </c>
      <c r="F1917">
        <v>1779</v>
      </c>
      <c r="G1917">
        <v>378.52</v>
      </c>
      <c r="H1917">
        <v>32976</v>
      </c>
      <c r="I1917">
        <v>84</v>
      </c>
      <c r="J1917" t="s">
        <v>72</v>
      </c>
    </row>
    <row r="1918" spans="1:10" x14ac:dyDescent="0.2">
      <c r="A1918" s="1">
        <v>46025</v>
      </c>
      <c r="B1918" t="s">
        <v>18</v>
      </c>
      <c r="C1918" t="s">
        <v>73</v>
      </c>
      <c r="D1918" t="s">
        <v>74</v>
      </c>
      <c r="E1918">
        <v>128962</v>
      </c>
      <c r="F1918">
        <v>5228</v>
      </c>
      <c r="G1918">
        <v>1245.19</v>
      </c>
      <c r="H1918">
        <v>102578</v>
      </c>
      <c r="I1918">
        <v>302</v>
      </c>
      <c r="J1918" t="s">
        <v>72</v>
      </c>
    </row>
    <row r="1919" spans="1:10" x14ac:dyDescent="0.2">
      <c r="A1919" s="1">
        <v>46026</v>
      </c>
      <c r="B1919" t="s">
        <v>10</v>
      </c>
      <c r="C1919" t="s">
        <v>26</v>
      </c>
      <c r="D1919" t="s">
        <v>71</v>
      </c>
      <c r="E1919">
        <v>68989</v>
      </c>
      <c r="F1919">
        <v>2703</v>
      </c>
      <c r="G1919">
        <v>604.70000000000005</v>
      </c>
      <c r="H1919">
        <v>56034</v>
      </c>
      <c r="I1919">
        <v>103</v>
      </c>
      <c r="J1919" t="s">
        <v>72</v>
      </c>
    </row>
    <row r="1920" spans="1:10" x14ac:dyDescent="0.2">
      <c r="A1920" s="1">
        <v>46026</v>
      </c>
      <c r="B1920" t="s">
        <v>10</v>
      </c>
      <c r="C1920" t="s">
        <v>73</v>
      </c>
      <c r="D1920" t="s">
        <v>74</v>
      </c>
      <c r="E1920">
        <v>129893</v>
      </c>
      <c r="F1920">
        <v>5273</v>
      </c>
      <c r="G1920">
        <v>993.25</v>
      </c>
      <c r="H1920">
        <v>100679</v>
      </c>
      <c r="I1920">
        <v>196</v>
      </c>
      <c r="J1920" t="s">
        <v>72</v>
      </c>
    </row>
    <row r="1921" spans="1:10" x14ac:dyDescent="0.2">
      <c r="A1921" s="1">
        <v>46026</v>
      </c>
      <c r="B1921" t="s">
        <v>15</v>
      </c>
      <c r="C1921" t="s">
        <v>16</v>
      </c>
      <c r="D1921" t="s">
        <v>74</v>
      </c>
      <c r="E1921">
        <v>82436</v>
      </c>
      <c r="F1921">
        <v>2822</v>
      </c>
      <c r="G1921">
        <v>523.62</v>
      </c>
      <c r="H1921">
        <v>59807</v>
      </c>
      <c r="I1921">
        <v>133</v>
      </c>
      <c r="J1921" t="s">
        <v>72</v>
      </c>
    </row>
    <row r="1922" spans="1:10" x14ac:dyDescent="0.2">
      <c r="A1922" s="1">
        <v>46026</v>
      </c>
      <c r="B1922" t="s">
        <v>15</v>
      </c>
      <c r="C1922" t="s">
        <v>76</v>
      </c>
      <c r="D1922" t="s">
        <v>75</v>
      </c>
      <c r="E1922">
        <v>92999</v>
      </c>
      <c r="F1922">
        <v>2858</v>
      </c>
      <c r="G1922">
        <v>528.77</v>
      </c>
      <c r="H1922">
        <v>74859</v>
      </c>
      <c r="I1922">
        <v>138</v>
      </c>
      <c r="J1922" t="s">
        <v>72</v>
      </c>
    </row>
    <row r="1923" spans="1:10" x14ac:dyDescent="0.2">
      <c r="A1923" s="1">
        <v>46026</v>
      </c>
      <c r="B1923" t="s">
        <v>19</v>
      </c>
      <c r="C1923" t="s">
        <v>26</v>
      </c>
      <c r="D1923" t="s">
        <v>12</v>
      </c>
      <c r="E1923">
        <v>135913</v>
      </c>
      <c r="F1923">
        <v>4556</v>
      </c>
      <c r="G1923">
        <v>954.15</v>
      </c>
      <c r="H1923">
        <v>106055</v>
      </c>
      <c r="I1923">
        <v>197</v>
      </c>
      <c r="J1923" t="s">
        <v>72</v>
      </c>
    </row>
    <row r="1924" spans="1:10" x14ac:dyDescent="0.2">
      <c r="A1924" s="1">
        <v>46026</v>
      </c>
      <c r="B1924" t="s">
        <v>19</v>
      </c>
      <c r="C1924" t="s">
        <v>73</v>
      </c>
      <c r="D1924" t="s">
        <v>12</v>
      </c>
      <c r="E1924">
        <v>108255</v>
      </c>
      <c r="F1924">
        <v>3633</v>
      </c>
      <c r="G1924">
        <v>810.01</v>
      </c>
      <c r="H1924">
        <v>82573</v>
      </c>
      <c r="I1924">
        <v>143</v>
      </c>
      <c r="J1924" t="s">
        <v>72</v>
      </c>
    </row>
    <row r="1925" spans="1:10" x14ac:dyDescent="0.2">
      <c r="A1925" s="1">
        <v>46026</v>
      </c>
      <c r="B1925" t="s">
        <v>18</v>
      </c>
      <c r="C1925" t="s">
        <v>26</v>
      </c>
      <c r="D1925" t="s">
        <v>12</v>
      </c>
      <c r="E1925">
        <v>94232</v>
      </c>
      <c r="F1925">
        <v>3093</v>
      </c>
      <c r="G1925">
        <v>613.91</v>
      </c>
      <c r="H1925">
        <v>72045</v>
      </c>
      <c r="I1925">
        <v>138</v>
      </c>
      <c r="J1925" t="s">
        <v>72</v>
      </c>
    </row>
    <row r="1926" spans="1:10" x14ac:dyDescent="0.2">
      <c r="A1926" s="1">
        <v>46026</v>
      </c>
      <c r="B1926" t="s">
        <v>18</v>
      </c>
      <c r="C1926" t="s">
        <v>73</v>
      </c>
      <c r="D1926" t="s">
        <v>74</v>
      </c>
      <c r="E1926">
        <v>123513</v>
      </c>
      <c r="F1926">
        <v>4740</v>
      </c>
      <c r="G1926">
        <v>971.4</v>
      </c>
      <c r="H1926">
        <v>94394</v>
      </c>
      <c r="I1926">
        <v>156</v>
      </c>
      <c r="J1926" t="s">
        <v>72</v>
      </c>
    </row>
    <row r="1927" spans="1:10" x14ac:dyDescent="0.2">
      <c r="A1927" s="1">
        <v>46027</v>
      </c>
      <c r="B1927" t="s">
        <v>10</v>
      </c>
      <c r="C1927" t="s">
        <v>26</v>
      </c>
      <c r="D1927" t="s">
        <v>71</v>
      </c>
      <c r="E1927">
        <v>85552</v>
      </c>
      <c r="F1927">
        <v>3268</v>
      </c>
      <c r="G1927">
        <v>669.46</v>
      </c>
      <c r="H1927">
        <v>68745</v>
      </c>
      <c r="I1927">
        <v>150</v>
      </c>
      <c r="J1927" t="s">
        <v>72</v>
      </c>
    </row>
    <row r="1928" spans="1:10" x14ac:dyDescent="0.2">
      <c r="A1928" s="1">
        <v>46027</v>
      </c>
      <c r="B1928" t="s">
        <v>10</v>
      </c>
      <c r="C1928" t="s">
        <v>73</v>
      </c>
      <c r="D1928" t="s">
        <v>74</v>
      </c>
      <c r="E1928">
        <v>57234</v>
      </c>
      <c r="F1928">
        <v>1845</v>
      </c>
      <c r="G1928">
        <v>441.51</v>
      </c>
      <c r="H1928">
        <v>44214</v>
      </c>
      <c r="I1928">
        <v>70</v>
      </c>
      <c r="J1928" t="s">
        <v>72</v>
      </c>
    </row>
    <row r="1929" spans="1:10" x14ac:dyDescent="0.2">
      <c r="A1929" s="1">
        <v>46027</v>
      </c>
      <c r="B1929" t="s">
        <v>15</v>
      </c>
      <c r="C1929" t="s">
        <v>16</v>
      </c>
      <c r="D1929" t="s">
        <v>74</v>
      </c>
      <c r="E1929">
        <v>41593</v>
      </c>
      <c r="F1929">
        <v>1168</v>
      </c>
      <c r="G1929">
        <v>255.01</v>
      </c>
      <c r="H1929">
        <v>31083</v>
      </c>
      <c r="I1929">
        <v>38</v>
      </c>
      <c r="J1929" t="s">
        <v>72</v>
      </c>
    </row>
    <row r="1930" spans="1:10" x14ac:dyDescent="0.2">
      <c r="A1930" s="1">
        <v>46027</v>
      </c>
      <c r="B1930" t="s">
        <v>15</v>
      </c>
      <c r="C1930" t="s">
        <v>76</v>
      </c>
      <c r="D1930" t="s">
        <v>74</v>
      </c>
      <c r="E1930">
        <v>104437</v>
      </c>
      <c r="F1930">
        <v>4028</v>
      </c>
      <c r="G1930">
        <v>758.13</v>
      </c>
      <c r="H1930">
        <v>77137</v>
      </c>
      <c r="I1930">
        <v>158</v>
      </c>
      <c r="J1930" t="s">
        <v>72</v>
      </c>
    </row>
    <row r="1931" spans="1:10" x14ac:dyDescent="0.2">
      <c r="A1931" s="1">
        <v>46027</v>
      </c>
      <c r="B1931" t="s">
        <v>18</v>
      </c>
      <c r="C1931" t="s">
        <v>26</v>
      </c>
      <c r="D1931" t="s">
        <v>12</v>
      </c>
      <c r="E1931">
        <v>35535</v>
      </c>
      <c r="F1931">
        <v>1404</v>
      </c>
      <c r="G1931">
        <v>278.16000000000003</v>
      </c>
      <c r="H1931">
        <v>27664</v>
      </c>
      <c r="I1931">
        <v>60</v>
      </c>
      <c r="J1931" t="s">
        <v>72</v>
      </c>
    </row>
    <row r="1932" spans="1:10" x14ac:dyDescent="0.2">
      <c r="A1932" s="1">
        <v>46027</v>
      </c>
      <c r="B1932" t="s">
        <v>18</v>
      </c>
      <c r="C1932" t="s">
        <v>73</v>
      </c>
      <c r="D1932" t="s">
        <v>74</v>
      </c>
      <c r="E1932">
        <v>59428</v>
      </c>
      <c r="F1932">
        <v>1686</v>
      </c>
      <c r="G1932">
        <v>303.73</v>
      </c>
      <c r="H1932">
        <v>44349</v>
      </c>
      <c r="I1932">
        <v>95</v>
      </c>
      <c r="J1932" t="s">
        <v>72</v>
      </c>
    </row>
    <row r="1933" spans="1:10" x14ac:dyDescent="0.2">
      <c r="A1933" s="1">
        <v>46028</v>
      </c>
      <c r="B1933" t="s">
        <v>10</v>
      </c>
      <c r="C1933" t="s">
        <v>26</v>
      </c>
      <c r="D1933" t="s">
        <v>71</v>
      </c>
      <c r="E1933">
        <v>91936</v>
      </c>
      <c r="F1933">
        <v>2734</v>
      </c>
      <c r="G1933">
        <v>601.36</v>
      </c>
      <c r="H1933">
        <v>68838</v>
      </c>
      <c r="I1933">
        <v>91</v>
      </c>
      <c r="J1933" t="s">
        <v>72</v>
      </c>
    </row>
    <row r="1934" spans="1:10" x14ac:dyDescent="0.2">
      <c r="A1934" s="1">
        <v>46028</v>
      </c>
      <c r="B1934" t="s">
        <v>10</v>
      </c>
      <c r="C1934" t="s">
        <v>73</v>
      </c>
      <c r="D1934" t="s">
        <v>74</v>
      </c>
      <c r="E1934">
        <v>33728</v>
      </c>
      <c r="F1934">
        <v>1000</v>
      </c>
      <c r="G1934">
        <v>196.63</v>
      </c>
      <c r="H1934">
        <v>27637</v>
      </c>
      <c r="I1934">
        <v>30</v>
      </c>
      <c r="J1934" t="s">
        <v>72</v>
      </c>
    </row>
    <row r="1935" spans="1:10" x14ac:dyDescent="0.2">
      <c r="A1935" s="1">
        <v>46028</v>
      </c>
      <c r="B1935" t="s">
        <v>15</v>
      </c>
      <c r="C1935" t="s">
        <v>16</v>
      </c>
      <c r="D1935" t="s">
        <v>74</v>
      </c>
      <c r="E1935">
        <v>106161</v>
      </c>
      <c r="F1935">
        <v>3686</v>
      </c>
      <c r="G1935">
        <v>759.92</v>
      </c>
      <c r="H1935">
        <v>79173</v>
      </c>
      <c r="I1935">
        <v>179</v>
      </c>
      <c r="J1935" t="s">
        <v>72</v>
      </c>
    </row>
    <row r="1936" spans="1:10" x14ac:dyDescent="0.2">
      <c r="A1936" s="1">
        <v>46028</v>
      </c>
      <c r="B1936" t="s">
        <v>15</v>
      </c>
      <c r="C1936" t="s">
        <v>76</v>
      </c>
      <c r="D1936" t="s">
        <v>75</v>
      </c>
      <c r="E1936">
        <v>78916</v>
      </c>
      <c r="F1936">
        <v>2775</v>
      </c>
      <c r="G1936">
        <v>595.28</v>
      </c>
      <c r="H1936">
        <v>63490</v>
      </c>
      <c r="I1936">
        <v>91</v>
      </c>
      <c r="J1936" t="s">
        <v>72</v>
      </c>
    </row>
    <row r="1937" spans="1:10" x14ac:dyDescent="0.2">
      <c r="A1937" s="1">
        <v>46028</v>
      </c>
      <c r="B1937" t="s">
        <v>18</v>
      </c>
      <c r="C1937" t="s">
        <v>26</v>
      </c>
      <c r="D1937" t="s">
        <v>12</v>
      </c>
      <c r="E1937">
        <v>49154</v>
      </c>
      <c r="F1937">
        <v>1596</v>
      </c>
      <c r="G1937">
        <v>371.39</v>
      </c>
      <c r="H1937">
        <v>36056</v>
      </c>
      <c r="I1937">
        <v>52</v>
      </c>
      <c r="J1937" t="s">
        <v>72</v>
      </c>
    </row>
    <row r="1938" spans="1:10" x14ac:dyDescent="0.2">
      <c r="A1938" s="1">
        <v>46028</v>
      </c>
      <c r="B1938" t="s">
        <v>18</v>
      </c>
      <c r="C1938" t="s">
        <v>73</v>
      </c>
      <c r="D1938" t="s">
        <v>74</v>
      </c>
      <c r="E1938">
        <v>77338</v>
      </c>
      <c r="F1938">
        <v>2619</v>
      </c>
      <c r="G1938">
        <v>614.75</v>
      </c>
      <c r="H1938">
        <v>58436</v>
      </c>
      <c r="I1938">
        <v>96</v>
      </c>
      <c r="J1938" t="s">
        <v>72</v>
      </c>
    </row>
    <row r="1939" spans="1:10" x14ac:dyDescent="0.2">
      <c r="A1939" s="1">
        <v>46029</v>
      </c>
      <c r="B1939" t="s">
        <v>10</v>
      </c>
      <c r="C1939" t="s">
        <v>26</v>
      </c>
      <c r="D1939" t="s">
        <v>71</v>
      </c>
      <c r="E1939">
        <v>40069</v>
      </c>
      <c r="F1939">
        <v>1410</v>
      </c>
      <c r="G1939">
        <v>318.64</v>
      </c>
      <c r="H1939">
        <v>29583</v>
      </c>
      <c r="I1939">
        <v>43</v>
      </c>
      <c r="J1939" t="s">
        <v>72</v>
      </c>
    </row>
    <row r="1940" spans="1:10" x14ac:dyDescent="0.2">
      <c r="A1940" s="1">
        <v>46029</v>
      </c>
      <c r="B1940" t="s">
        <v>10</v>
      </c>
      <c r="C1940" t="s">
        <v>73</v>
      </c>
      <c r="D1940" t="s">
        <v>74</v>
      </c>
      <c r="E1940">
        <v>101265</v>
      </c>
      <c r="F1940">
        <v>3292</v>
      </c>
      <c r="G1940">
        <v>655.02</v>
      </c>
      <c r="H1940">
        <v>81467</v>
      </c>
      <c r="I1940">
        <v>171</v>
      </c>
      <c r="J1940" t="s">
        <v>72</v>
      </c>
    </row>
    <row r="1941" spans="1:10" x14ac:dyDescent="0.2">
      <c r="A1941" s="1">
        <v>46029</v>
      </c>
      <c r="B1941" t="s">
        <v>15</v>
      </c>
      <c r="C1941" t="s">
        <v>16</v>
      </c>
      <c r="D1941" t="s">
        <v>74</v>
      </c>
      <c r="E1941">
        <v>77516</v>
      </c>
      <c r="F1941">
        <v>2274</v>
      </c>
      <c r="G1941">
        <v>488.46</v>
      </c>
      <c r="H1941">
        <v>62193</v>
      </c>
      <c r="I1941">
        <v>64</v>
      </c>
      <c r="J1941" t="s">
        <v>72</v>
      </c>
    </row>
    <row r="1942" spans="1:10" x14ac:dyDescent="0.2">
      <c r="A1942" s="1">
        <v>46029</v>
      </c>
      <c r="B1942" t="s">
        <v>15</v>
      </c>
      <c r="C1942" t="s">
        <v>76</v>
      </c>
      <c r="D1942" t="s">
        <v>74</v>
      </c>
      <c r="E1942">
        <v>78891</v>
      </c>
      <c r="F1942">
        <v>3069</v>
      </c>
      <c r="G1942">
        <v>628.28</v>
      </c>
      <c r="H1942">
        <v>64066</v>
      </c>
      <c r="I1942">
        <v>100</v>
      </c>
      <c r="J1942" t="s">
        <v>72</v>
      </c>
    </row>
    <row r="1943" spans="1:10" x14ac:dyDescent="0.2">
      <c r="A1943" s="1">
        <v>46029</v>
      </c>
      <c r="B1943" t="s">
        <v>18</v>
      </c>
      <c r="C1943" t="s">
        <v>26</v>
      </c>
      <c r="D1943" t="s">
        <v>12</v>
      </c>
      <c r="E1943">
        <v>50257</v>
      </c>
      <c r="F1943">
        <v>1761</v>
      </c>
      <c r="G1943">
        <v>404.84</v>
      </c>
      <c r="H1943">
        <v>40181</v>
      </c>
      <c r="I1943">
        <v>78</v>
      </c>
      <c r="J1943" t="s">
        <v>72</v>
      </c>
    </row>
    <row r="1944" spans="1:10" x14ac:dyDescent="0.2">
      <c r="A1944" s="1">
        <v>46029</v>
      </c>
      <c r="B1944" t="s">
        <v>18</v>
      </c>
      <c r="C1944" t="s">
        <v>73</v>
      </c>
      <c r="D1944" t="s">
        <v>74</v>
      </c>
      <c r="E1944">
        <v>84702</v>
      </c>
      <c r="F1944">
        <v>2917</v>
      </c>
      <c r="G1944">
        <v>538.42999999999995</v>
      </c>
      <c r="H1944">
        <v>67921</v>
      </c>
      <c r="I1944">
        <v>162</v>
      </c>
      <c r="J1944" t="s">
        <v>72</v>
      </c>
    </row>
    <row r="1945" spans="1:10" x14ac:dyDescent="0.2">
      <c r="A1945" s="1">
        <v>46030</v>
      </c>
      <c r="B1945" t="s">
        <v>10</v>
      </c>
      <c r="C1945" t="s">
        <v>26</v>
      </c>
      <c r="D1945" t="s">
        <v>12</v>
      </c>
      <c r="E1945">
        <v>75640</v>
      </c>
      <c r="F1945">
        <v>2447</v>
      </c>
      <c r="G1945">
        <v>493.69</v>
      </c>
      <c r="H1945">
        <v>60640</v>
      </c>
      <c r="I1945">
        <v>133</v>
      </c>
      <c r="J1945" t="s">
        <v>72</v>
      </c>
    </row>
    <row r="1946" spans="1:10" x14ac:dyDescent="0.2">
      <c r="A1946" s="1">
        <v>46030</v>
      </c>
      <c r="B1946" t="s">
        <v>10</v>
      </c>
      <c r="C1946" t="s">
        <v>73</v>
      </c>
      <c r="D1946" t="s">
        <v>71</v>
      </c>
      <c r="E1946">
        <v>52571</v>
      </c>
      <c r="F1946">
        <v>1994</v>
      </c>
      <c r="G1946">
        <v>362.36</v>
      </c>
      <c r="H1946">
        <v>42133</v>
      </c>
      <c r="I1946">
        <v>69</v>
      </c>
      <c r="J1946" t="s">
        <v>72</v>
      </c>
    </row>
    <row r="1947" spans="1:10" x14ac:dyDescent="0.2">
      <c r="A1947" s="1">
        <v>46030</v>
      </c>
      <c r="B1947" t="s">
        <v>15</v>
      </c>
      <c r="C1947" t="s">
        <v>16</v>
      </c>
      <c r="D1947" t="s">
        <v>75</v>
      </c>
      <c r="E1947">
        <v>59697</v>
      </c>
      <c r="F1947">
        <v>1928</v>
      </c>
      <c r="G1947">
        <v>371.31</v>
      </c>
      <c r="H1947">
        <v>48838</v>
      </c>
      <c r="I1947">
        <v>78</v>
      </c>
      <c r="J1947" t="s">
        <v>72</v>
      </c>
    </row>
    <row r="1948" spans="1:10" x14ac:dyDescent="0.2">
      <c r="A1948" s="1">
        <v>46030</v>
      </c>
      <c r="B1948" t="s">
        <v>15</v>
      </c>
      <c r="C1948" t="s">
        <v>76</v>
      </c>
      <c r="D1948" t="s">
        <v>75</v>
      </c>
      <c r="E1948">
        <v>40188</v>
      </c>
      <c r="F1948">
        <v>1135</v>
      </c>
      <c r="G1948">
        <v>237.28</v>
      </c>
      <c r="H1948">
        <v>30668</v>
      </c>
      <c r="I1948">
        <v>38</v>
      </c>
      <c r="J1948" t="s">
        <v>72</v>
      </c>
    </row>
    <row r="1949" spans="1:10" x14ac:dyDescent="0.2">
      <c r="A1949" s="1">
        <v>46030</v>
      </c>
      <c r="B1949" t="s">
        <v>18</v>
      </c>
      <c r="C1949" t="s">
        <v>26</v>
      </c>
      <c r="D1949" t="s">
        <v>12</v>
      </c>
      <c r="E1949">
        <v>97302</v>
      </c>
      <c r="F1949">
        <v>3532</v>
      </c>
      <c r="G1949">
        <v>735.17</v>
      </c>
      <c r="H1949">
        <v>78897</v>
      </c>
      <c r="I1949">
        <v>103</v>
      </c>
      <c r="J1949" t="s">
        <v>72</v>
      </c>
    </row>
    <row r="1950" spans="1:10" x14ac:dyDescent="0.2">
      <c r="A1950" s="1">
        <v>46030</v>
      </c>
      <c r="B1950" t="s">
        <v>18</v>
      </c>
      <c r="C1950" t="s">
        <v>73</v>
      </c>
      <c r="D1950" t="s">
        <v>74</v>
      </c>
      <c r="E1950">
        <v>31346</v>
      </c>
      <c r="F1950">
        <v>1208</v>
      </c>
      <c r="G1950">
        <v>274.14999999999998</v>
      </c>
      <c r="H1950">
        <v>25453</v>
      </c>
      <c r="I1950">
        <v>41</v>
      </c>
      <c r="J1950" t="s">
        <v>72</v>
      </c>
    </row>
    <row r="1951" spans="1:10" x14ac:dyDescent="0.2">
      <c r="A1951" s="1">
        <v>46031</v>
      </c>
      <c r="B1951" t="s">
        <v>10</v>
      </c>
      <c r="C1951" t="s">
        <v>26</v>
      </c>
      <c r="D1951" t="s">
        <v>74</v>
      </c>
      <c r="E1951">
        <v>54219</v>
      </c>
      <c r="F1951">
        <v>2027</v>
      </c>
      <c r="G1951">
        <v>368.42</v>
      </c>
      <c r="H1951">
        <v>39826</v>
      </c>
      <c r="I1951">
        <v>102</v>
      </c>
      <c r="J1951" t="s">
        <v>72</v>
      </c>
    </row>
    <row r="1952" spans="1:10" x14ac:dyDescent="0.2">
      <c r="A1952" s="1">
        <v>46031</v>
      </c>
      <c r="B1952" t="s">
        <v>10</v>
      </c>
      <c r="C1952" t="s">
        <v>73</v>
      </c>
      <c r="D1952" t="s">
        <v>71</v>
      </c>
      <c r="E1952">
        <v>105989</v>
      </c>
      <c r="F1952">
        <v>3483</v>
      </c>
      <c r="G1952">
        <v>660.49</v>
      </c>
      <c r="H1952">
        <v>81618</v>
      </c>
      <c r="I1952">
        <v>173</v>
      </c>
      <c r="J1952" t="s">
        <v>72</v>
      </c>
    </row>
    <row r="1953" spans="1:10" x14ac:dyDescent="0.2">
      <c r="A1953" s="1">
        <v>46031</v>
      </c>
      <c r="B1953" t="s">
        <v>15</v>
      </c>
      <c r="C1953" t="s">
        <v>16</v>
      </c>
      <c r="D1953" t="s">
        <v>75</v>
      </c>
      <c r="E1953">
        <v>96179</v>
      </c>
      <c r="F1953">
        <v>3460</v>
      </c>
      <c r="G1953">
        <v>643.37</v>
      </c>
      <c r="H1953">
        <v>74809</v>
      </c>
      <c r="I1953">
        <v>98</v>
      </c>
      <c r="J1953" t="s">
        <v>72</v>
      </c>
    </row>
    <row r="1954" spans="1:10" x14ac:dyDescent="0.2">
      <c r="A1954" s="1">
        <v>46031</v>
      </c>
      <c r="B1954" t="s">
        <v>15</v>
      </c>
      <c r="C1954" t="s">
        <v>76</v>
      </c>
      <c r="D1954" t="s">
        <v>75</v>
      </c>
      <c r="E1954">
        <v>55106</v>
      </c>
      <c r="F1954">
        <v>2286</v>
      </c>
      <c r="G1954">
        <v>435.04</v>
      </c>
      <c r="H1954">
        <v>43831</v>
      </c>
      <c r="I1954">
        <v>64</v>
      </c>
      <c r="J1954" t="s">
        <v>72</v>
      </c>
    </row>
    <row r="1955" spans="1:10" x14ac:dyDescent="0.2">
      <c r="A1955" s="1">
        <v>46031</v>
      </c>
      <c r="B1955" t="s">
        <v>18</v>
      </c>
      <c r="C1955" t="s">
        <v>26</v>
      </c>
      <c r="D1955" t="s">
        <v>12</v>
      </c>
      <c r="E1955">
        <v>58051</v>
      </c>
      <c r="F1955">
        <v>2373</v>
      </c>
      <c r="G1955">
        <v>548.35</v>
      </c>
      <c r="H1955">
        <v>44552</v>
      </c>
      <c r="I1955">
        <v>116</v>
      </c>
      <c r="J1955" t="s">
        <v>72</v>
      </c>
    </row>
    <row r="1956" spans="1:10" x14ac:dyDescent="0.2">
      <c r="A1956" s="1">
        <v>46031</v>
      </c>
      <c r="B1956" t="s">
        <v>18</v>
      </c>
      <c r="C1956" t="s">
        <v>73</v>
      </c>
      <c r="D1956" t="s">
        <v>74</v>
      </c>
      <c r="E1956">
        <v>87627</v>
      </c>
      <c r="F1956">
        <v>3279</v>
      </c>
      <c r="G1956">
        <v>611.34</v>
      </c>
      <c r="H1956">
        <v>70406</v>
      </c>
      <c r="I1956">
        <v>188</v>
      </c>
      <c r="J1956" t="s">
        <v>72</v>
      </c>
    </row>
    <row r="1957" spans="1:10" x14ac:dyDescent="0.2">
      <c r="A1957" s="1">
        <v>46032</v>
      </c>
      <c r="B1957" t="s">
        <v>10</v>
      </c>
      <c r="C1957" t="s">
        <v>26</v>
      </c>
      <c r="D1957" t="s">
        <v>12</v>
      </c>
      <c r="E1957">
        <v>81319</v>
      </c>
      <c r="F1957">
        <v>2862</v>
      </c>
      <c r="G1957">
        <v>585.15</v>
      </c>
      <c r="H1957">
        <v>64741</v>
      </c>
      <c r="I1957">
        <v>107</v>
      </c>
      <c r="J1957" t="s">
        <v>72</v>
      </c>
    </row>
    <row r="1958" spans="1:10" x14ac:dyDescent="0.2">
      <c r="A1958" s="1">
        <v>46032</v>
      </c>
      <c r="B1958" t="s">
        <v>10</v>
      </c>
      <c r="C1958" t="s">
        <v>73</v>
      </c>
      <c r="D1958" t="s">
        <v>71</v>
      </c>
      <c r="E1958">
        <v>62242</v>
      </c>
      <c r="F1958">
        <v>2195</v>
      </c>
      <c r="G1958">
        <v>460.4</v>
      </c>
      <c r="H1958">
        <v>47062</v>
      </c>
      <c r="I1958">
        <v>80</v>
      </c>
      <c r="J1958" t="s">
        <v>72</v>
      </c>
    </row>
    <row r="1959" spans="1:10" x14ac:dyDescent="0.2">
      <c r="A1959" s="1">
        <v>46032</v>
      </c>
      <c r="B1959" t="s">
        <v>15</v>
      </c>
      <c r="C1959" t="s">
        <v>16</v>
      </c>
      <c r="D1959" t="s">
        <v>75</v>
      </c>
      <c r="E1959">
        <v>57092</v>
      </c>
      <c r="F1959">
        <v>1860</v>
      </c>
      <c r="G1959">
        <v>347.71</v>
      </c>
      <c r="H1959">
        <v>42725</v>
      </c>
      <c r="I1959">
        <v>85</v>
      </c>
      <c r="J1959" t="s">
        <v>72</v>
      </c>
    </row>
    <row r="1960" spans="1:10" x14ac:dyDescent="0.2">
      <c r="A1960" s="1">
        <v>46032</v>
      </c>
      <c r="B1960" t="s">
        <v>15</v>
      </c>
      <c r="C1960" t="s">
        <v>76</v>
      </c>
      <c r="D1960" t="s">
        <v>74</v>
      </c>
      <c r="E1960">
        <v>123465</v>
      </c>
      <c r="F1960">
        <v>3847</v>
      </c>
      <c r="G1960">
        <v>786.47</v>
      </c>
      <c r="H1960">
        <v>101055</v>
      </c>
      <c r="I1960">
        <v>157</v>
      </c>
      <c r="J1960" t="s">
        <v>72</v>
      </c>
    </row>
    <row r="1961" spans="1:10" x14ac:dyDescent="0.2">
      <c r="A1961" s="1">
        <v>46032</v>
      </c>
      <c r="B1961" t="s">
        <v>19</v>
      </c>
      <c r="C1961" t="s">
        <v>26</v>
      </c>
      <c r="D1961" t="s">
        <v>12</v>
      </c>
      <c r="E1961">
        <v>129285</v>
      </c>
      <c r="F1961">
        <v>5319</v>
      </c>
      <c r="G1961">
        <v>1074.69</v>
      </c>
      <c r="H1961">
        <v>93250</v>
      </c>
      <c r="I1961">
        <v>256</v>
      </c>
      <c r="J1961" t="s">
        <v>72</v>
      </c>
    </row>
    <row r="1962" spans="1:10" x14ac:dyDescent="0.2">
      <c r="A1962" s="1">
        <v>46032</v>
      </c>
      <c r="B1962" t="s">
        <v>19</v>
      </c>
      <c r="C1962" t="s">
        <v>73</v>
      </c>
      <c r="D1962" t="s">
        <v>12</v>
      </c>
      <c r="E1962">
        <v>114732</v>
      </c>
      <c r="F1962">
        <v>3916</v>
      </c>
      <c r="G1962">
        <v>859.61</v>
      </c>
      <c r="H1962">
        <v>83582</v>
      </c>
      <c r="I1962">
        <v>126</v>
      </c>
      <c r="J1962" t="s">
        <v>72</v>
      </c>
    </row>
    <row r="1963" spans="1:10" x14ac:dyDescent="0.2">
      <c r="A1963" s="1">
        <v>46032</v>
      </c>
      <c r="B1963" t="s">
        <v>18</v>
      </c>
      <c r="C1963" t="s">
        <v>26</v>
      </c>
      <c r="D1963" t="s">
        <v>12</v>
      </c>
      <c r="E1963">
        <v>150367</v>
      </c>
      <c r="F1963">
        <v>6268</v>
      </c>
      <c r="G1963">
        <v>1407.08</v>
      </c>
      <c r="H1963">
        <v>121683</v>
      </c>
      <c r="I1963">
        <v>207</v>
      </c>
      <c r="J1963" t="s">
        <v>72</v>
      </c>
    </row>
    <row r="1964" spans="1:10" x14ac:dyDescent="0.2">
      <c r="A1964" s="1">
        <v>46032</v>
      </c>
      <c r="B1964" t="s">
        <v>18</v>
      </c>
      <c r="C1964" t="s">
        <v>73</v>
      </c>
      <c r="D1964" t="s">
        <v>74</v>
      </c>
      <c r="E1964">
        <v>78531</v>
      </c>
      <c r="F1964">
        <v>2571</v>
      </c>
      <c r="G1964">
        <v>554.55999999999995</v>
      </c>
      <c r="H1964">
        <v>64322</v>
      </c>
      <c r="I1964">
        <v>81</v>
      </c>
      <c r="J1964" t="s">
        <v>72</v>
      </c>
    </row>
    <row r="1965" spans="1:10" x14ac:dyDescent="0.2">
      <c r="A1965" s="1">
        <v>46033</v>
      </c>
      <c r="B1965" t="s">
        <v>10</v>
      </c>
      <c r="C1965" t="s">
        <v>26</v>
      </c>
      <c r="D1965" t="s">
        <v>12</v>
      </c>
      <c r="E1965">
        <v>133586</v>
      </c>
      <c r="F1965">
        <v>4261</v>
      </c>
      <c r="G1965">
        <v>949.39</v>
      </c>
      <c r="H1965">
        <v>103955</v>
      </c>
      <c r="I1965">
        <v>154</v>
      </c>
      <c r="J1965" t="s">
        <v>72</v>
      </c>
    </row>
    <row r="1966" spans="1:10" x14ac:dyDescent="0.2">
      <c r="A1966" s="1">
        <v>46033</v>
      </c>
      <c r="B1966" t="s">
        <v>10</v>
      </c>
      <c r="C1966" t="s">
        <v>73</v>
      </c>
      <c r="D1966" t="s">
        <v>71</v>
      </c>
      <c r="E1966">
        <v>107343</v>
      </c>
      <c r="F1966">
        <v>3720</v>
      </c>
      <c r="G1966">
        <v>804.23</v>
      </c>
      <c r="H1966">
        <v>81628</v>
      </c>
      <c r="I1966">
        <v>158</v>
      </c>
      <c r="J1966" t="s">
        <v>72</v>
      </c>
    </row>
    <row r="1967" spans="1:10" x14ac:dyDescent="0.2">
      <c r="A1967" s="1">
        <v>46033</v>
      </c>
      <c r="B1967" t="s">
        <v>15</v>
      </c>
      <c r="C1967" t="s">
        <v>16</v>
      </c>
      <c r="D1967" t="s">
        <v>74</v>
      </c>
      <c r="E1967">
        <v>69042</v>
      </c>
      <c r="F1967">
        <v>2675</v>
      </c>
      <c r="G1967">
        <v>498.84</v>
      </c>
      <c r="H1967">
        <v>51441</v>
      </c>
      <c r="I1967">
        <v>114</v>
      </c>
      <c r="J1967" t="s">
        <v>72</v>
      </c>
    </row>
    <row r="1968" spans="1:10" x14ac:dyDescent="0.2">
      <c r="A1968" s="1">
        <v>46033</v>
      </c>
      <c r="B1968" t="s">
        <v>15</v>
      </c>
      <c r="C1968" t="s">
        <v>76</v>
      </c>
      <c r="D1968" t="s">
        <v>75</v>
      </c>
      <c r="E1968">
        <v>47453</v>
      </c>
      <c r="F1968">
        <v>1394</v>
      </c>
      <c r="G1968">
        <v>255.34</v>
      </c>
      <c r="H1968">
        <v>34489</v>
      </c>
      <c r="I1968">
        <v>67</v>
      </c>
      <c r="J1968" t="s">
        <v>72</v>
      </c>
    </row>
    <row r="1969" spans="1:10" x14ac:dyDescent="0.2">
      <c r="A1969" s="1">
        <v>46033</v>
      </c>
      <c r="B1969" t="s">
        <v>19</v>
      </c>
      <c r="C1969" t="s">
        <v>26</v>
      </c>
      <c r="D1969" t="s">
        <v>12</v>
      </c>
      <c r="E1969">
        <v>112212</v>
      </c>
      <c r="F1969">
        <v>4091</v>
      </c>
      <c r="G1969">
        <v>816.63</v>
      </c>
      <c r="H1969">
        <v>84189</v>
      </c>
      <c r="I1969">
        <v>191</v>
      </c>
      <c r="J1969" t="s">
        <v>72</v>
      </c>
    </row>
    <row r="1970" spans="1:10" x14ac:dyDescent="0.2">
      <c r="A1970" s="1">
        <v>46033</v>
      </c>
      <c r="B1970" t="s">
        <v>19</v>
      </c>
      <c r="C1970" t="s">
        <v>73</v>
      </c>
      <c r="D1970" t="s">
        <v>12</v>
      </c>
      <c r="E1970">
        <v>137410</v>
      </c>
      <c r="F1970">
        <v>5324</v>
      </c>
      <c r="G1970">
        <v>1211.55</v>
      </c>
      <c r="H1970">
        <v>101709</v>
      </c>
      <c r="I1970">
        <v>254</v>
      </c>
      <c r="J1970" t="s">
        <v>72</v>
      </c>
    </row>
    <row r="1971" spans="1:10" x14ac:dyDescent="0.2">
      <c r="A1971" s="1">
        <v>46033</v>
      </c>
      <c r="B1971" t="s">
        <v>18</v>
      </c>
      <c r="C1971" t="s">
        <v>26</v>
      </c>
      <c r="D1971" t="s">
        <v>12</v>
      </c>
      <c r="E1971">
        <v>134629</v>
      </c>
      <c r="F1971">
        <v>4262</v>
      </c>
      <c r="G1971">
        <v>855.03</v>
      </c>
      <c r="H1971">
        <v>108506</v>
      </c>
      <c r="I1971">
        <v>189</v>
      </c>
      <c r="J1971" t="s">
        <v>72</v>
      </c>
    </row>
    <row r="1972" spans="1:10" x14ac:dyDescent="0.2">
      <c r="A1972" s="1">
        <v>46033</v>
      </c>
      <c r="B1972" t="s">
        <v>18</v>
      </c>
      <c r="C1972" t="s">
        <v>73</v>
      </c>
      <c r="D1972" t="s">
        <v>74</v>
      </c>
      <c r="E1972">
        <v>120979</v>
      </c>
      <c r="F1972">
        <v>4878</v>
      </c>
      <c r="G1972">
        <v>912.91</v>
      </c>
      <c r="H1972">
        <v>92550</v>
      </c>
      <c r="I1972">
        <v>261</v>
      </c>
      <c r="J1972" t="s">
        <v>72</v>
      </c>
    </row>
    <row r="1973" spans="1:10" x14ac:dyDescent="0.2">
      <c r="A1973" s="1">
        <v>46034</v>
      </c>
      <c r="B1973" t="s">
        <v>10</v>
      </c>
      <c r="C1973" t="s">
        <v>26</v>
      </c>
      <c r="D1973" t="s">
        <v>12</v>
      </c>
      <c r="E1973">
        <v>90248</v>
      </c>
      <c r="F1973">
        <v>2572</v>
      </c>
      <c r="G1973">
        <v>490.25</v>
      </c>
      <c r="H1973">
        <v>70929</v>
      </c>
      <c r="I1973">
        <v>132</v>
      </c>
      <c r="J1973" t="s">
        <v>72</v>
      </c>
    </row>
    <row r="1974" spans="1:10" x14ac:dyDescent="0.2">
      <c r="A1974" s="1">
        <v>46034</v>
      </c>
      <c r="B1974" t="s">
        <v>10</v>
      </c>
      <c r="C1974" t="s">
        <v>73</v>
      </c>
      <c r="D1974" t="s">
        <v>74</v>
      </c>
      <c r="E1974">
        <v>94419</v>
      </c>
      <c r="F1974">
        <v>3213</v>
      </c>
      <c r="G1974">
        <v>638.58000000000004</v>
      </c>
      <c r="H1974">
        <v>71655</v>
      </c>
      <c r="I1974">
        <v>163</v>
      </c>
      <c r="J1974" t="s">
        <v>72</v>
      </c>
    </row>
    <row r="1975" spans="1:10" x14ac:dyDescent="0.2">
      <c r="A1975" s="1">
        <v>46034</v>
      </c>
      <c r="B1975" t="s">
        <v>15</v>
      </c>
      <c r="C1975" t="s">
        <v>16</v>
      </c>
      <c r="D1975" t="s">
        <v>74</v>
      </c>
      <c r="E1975">
        <v>102585</v>
      </c>
      <c r="F1975">
        <v>3856</v>
      </c>
      <c r="G1975">
        <v>826.47</v>
      </c>
      <c r="H1975">
        <v>78743</v>
      </c>
      <c r="I1975">
        <v>206</v>
      </c>
      <c r="J1975" t="s">
        <v>72</v>
      </c>
    </row>
    <row r="1976" spans="1:10" x14ac:dyDescent="0.2">
      <c r="A1976" s="1">
        <v>46034</v>
      </c>
      <c r="B1976" t="s">
        <v>15</v>
      </c>
      <c r="C1976" t="s">
        <v>76</v>
      </c>
      <c r="D1976" t="s">
        <v>75</v>
      </c>
      <c r="E1976">
        <v>81299</v>
      </c>
      <c r="F1976">
        <v>2576</v>
      </c>
      <c r="G1976">
        <v>555.03</v>
      </c>
      <c r="H1976">
        <v>61606</v>
      </c>
      <c r="I1976">
        <v>124</v>
      </c>
      <c r="J1976" t="s">
        <v>72</v>
      </c>
    </row>
    <row r="1977" spans="1:10" x14ac:dyDescent="0.2">
      <c r="A1977" s="1">
        <v>46034</v>
      </c>
      <c r="B1977" t="s">
        <v>18</v>
      </c>
      <c r="C1977" t="s">
        <v>26</v>
      </c>
      <c r="D1977" t="s">
        <v>12</v>
      </c>
      <c r="E1977">
        <v>72006</v>
      </c>
      <c r="F1977">
        <v>2078</v>
      </c>
      <c r="G1977">
        <v>447.66</v>
      </c>
      <c r="H1977">
        <v>52767</v>
      </c>
      <c r="I1977">
        <v>81</v>
      </c>
      <c r="J1977" t="s">
        <v>72</v>
      </c>
    </row>
    <row r="1978" spans="1:10" x14ac:dyDescent="0.2">
      <c r="A1978" s="1">
        <v>46034</v>
      </c>
      <c r="B1978" t="s">
        <v>18</v>
      </c>
      <c r="C1978" t="s">
        <v>73</v>
      </c>
      <c r="D1978" t="s">
        <v>74</v>
      </c>
      <c r="E1978">
        <v>74729</v>
      </c>
      <c r="F1978">
        <v>2490</v>
      </c>
      <c r="G1978">
        <v>512.16999999999996</v>
      </c>
      <c r="H1978">
        <v>61217</v>
      </c>
      <c r="I1978">
        <v>100</v>
      </c>
      <c r="J1978" t="s">
        <v>72</v>
      </c>
    </row>
    <row r="1979" spans="1:10" x14ac:dyDescent="0.2">
      <c r="A1979" s="1">
        <v>46035</v>
      </c>
      <c r="B1979" t="s">
        <v>10</v>
      </c>
      <c r="C1979" t="s">
        <v>26</v>
      </c>
      <c r="D1979" t="s">
        <v>74</v>
      </c>
      <c r="E1979">
        <v>62011</v>
      </c>
      <c r="F1979">
        <v>1951</v>
      </c>
      <c r="G1979">
        <v>427.04</v>
      </c>
      <c r="H1979">
        <v>48322</v>
      </c>
      <c r="I1979">
        <v>107</v>
      </c>
      <c r="J1979" t="s">
        <v>72</v>
      </c>
    </row>
    <row r="1980" spans="1:10" x14ac:dyDescent="0.2">
      <c r="A1980" s="1">
        <v>46035</v>
      </c>
      <c r="B1980" t="s">
        <v>10</v>
      </c>
      <c r="C1980" t="s">
        <v>73</v>
      </c>
      <c r="D1980" t="s">
        <v>74</v>
      </c>
      <c r="E1980">
        <v>69965</v>
      </c>
      <c r="F1980">
        <v>2071</v>
      </c>
      <c r="G1980">
        <v>393.88</v>
      </c>
      <c r="H1980">
        <v>54141</v>
      </c>
      <c r="I1980">
        <v>60</v>
      </c>
      <c r="J1980" t="s">
        <v>72</v>
      </c>
    </row>
    <row r="1981" spans="1:10" x14ac:dyDescent="0.2">
      <c r="A1981" s="1">
        <v>46035</v>
      </c>
      <c r="B1981" t="s">
        <v>15</v>
      </c>
      <c r="C1981" t="s">
        <v>16</v>
      </c>
      <c r="D1981" t="s">
        <v>74</v>
      </c>
      <c r="E1981">
        <v>104455</v>
      </c>
      <c r="F1981">
        <v>3677</v>
      </c>
      <c r="G1981">
        <v>754.78</v>
      </c>
      <c r="H1981">
        <v>75420</v>
      </c>
      <c r="I1981">
        <v>154</v>
      </c>
      <c r="J1981" t="s">
        <v>72</v>
      </c>
    </row>
    <row r="1982" spans="1:10" x14ac:dyDescent="0.2">
      <c r="A1982" s="1">
        <v>46035</v>
      </c>
      <c r="B1982" t="s">
        <v>15</v>
      </c>
      <c r="C1982" t="s">
        <v>76</v>
      </c>
      <c r="D1982" t="s">
        <v>75</v>
      </c>
      <c r="E1982">
        <v>71486</v>
      </c>
      <c r="F1982">
        <v>2379</v>
      </c>
      <c r="G1982">
        <v>483.93</v>
      </c>
      <c r="H1982">
        <v>55562</v>
      </c>
      <c r="I1982">
        <v>124</v>
      </c>
      <c r="J1982" t="s">
        <v>72</v>
      </c>
    </row>
    <row r="1983" spans="1:10" x14ac:dyDescent="0.2">
      <c r="A1983" s="1">
        <v>46035</v>
      </c>
      <c r="B1983" t="s">
        <v>18</v>
      </c>
      <c r="C1983" t="s">
        <v>26</v>
      </c>
      <c r="D1983" t="s">
        <v>12</v>
      </c>
      <c r="E1983">
        <v>56988</v>
      </c>
      <c r="F1983">
        <v>1863</v>
      </c>
      <c r="G1983">
        <v>391.54</v>
      </c>
      <c r="H1983">
        <v>45390</v>
      </c>
      <c r="I1983">
        <v>71</v>
      </c>
      <c r="J1983" t="s">
        <v>72</v>
      </c>
    </row>
    <row r="1984" spans="1:10" x14ac:dyDescent="0.2">
      <c r="A1984" s="1">
        <v>46035</v>
      </c>
      <c r="B1984" t="s">
        <v>18</v>
      </c>
      <c r="C1984" t="s">
        <v>73</v>
      </c>
      <c r="D1984" t="s">
        <v>74</v>
      </c>
      <c r="E1984">
        <v>77622</v>
      </c>
      <c r="F1984">
        <v>3226</v>
      </c>
      <c r="G1984">
        <v>619.73</v>
      </c>
      <c r="H1984">
        <v>60820</v>
      </c>
      <c r="I1984">
        <v>184</v>
      </c>
      <c r="J1984" t="s">
        <v>72</v>
      </c>
    </row>
    <row r="1985" spans="1:10" x14ac:dyDescent="0.2">
      <c r="A1985" s="1">
        <v>46036</v>
      </c>
      <c r="B1985" t="s">
        <v>10</v>
      </c>
      <c r="C1985" t="s">
        <v>26</v>
      </c>
      <c r="D1985" t="s">
        <v>74</v>
      </c>
      <c r="E1985">
        <v>100232</v>
      </c>
      <c r="F1985">
        <v>3106</v>
      </c>
      <c r="G1985">
        <v>608.49</v>
      </c>
      <c r="H1985">
        <v>75147</v>
      </c>
      <c r="I1985">
        <v>140</v>
      </c>
      <c r="J1985" t="s">
        <v>72</v>
      </c>
    </row>
    <row r="1986" spans="1:10" x14ac:dyDescent="0.2">
      <c r="A1986" s="1">
        <v>46036</v>
      </c>
      <c r="B1986" t="s">
        <v>10</v>
      </c>
      <c r="C1986" t="s">
        <v>73</v>
      </c>
      <c r="D1986" t="s">
        <v>74</v>
      </c>
      <c r="E1986">
        <v>42053</v>
      </c>
      <c r="F1986">
        <v>1600</v>
      </c>
      <c r="G1986">
        <v>343.51</v>
      </c>
      <c r="H1986">
        <v>32767</v>
      </c>
      <c r="I1986">
        <v>57</v>
      </c>
      <c r="J1986" t="s">
        <v>72</v>
      </c>
    </row>
    <row r="1987" spans="1:10" x14ac:dyDescent="0.2">
      <c r="A1987" s="1">
        <v>46036</v>
      </c>
      <c r="B1987" t="s">
        <v>15</v>
      </c>
      <c r="C1987" t="s">
        <v>16</v>
      </c>
      <c r="D1987" t="s">
        <v>74</v>
      </c>
      <c r="E1987">
        <v>85981</v>
      </c>
      <c r="F1987">
        <v>2659</v>
      </c>
      <c r="G1987">
        <v>605.55999999999995</v>
      </c>
      <c r="H1987">
        <v>67508</v>
      </c>
      <c r="I1987">
        <v>98</v>
      </c>
      <c r="J1987" t="s">
        <v>72</v>
      </c>
    </row>
    <row r="1988" spans="1:10" x14ac:dyDescent="0.2">
      <c r="A1988" s="1">
        <v>46036</v>
      </c>
      <c r="B1988" t="s">
        <v>15</v>
      </c>
      <c r="C1988" t="s">
        <v>76</v>
      </c>
      <c r="D1988" t="s">
        <v>74</v>
      </c>
      <c r="E1988">
        <v>86742</v>
      </c>
      <c r="F1988">
        <v>3234</v>
      </c>
      <c r="G1988">
        <v>642.91999999999996</v>
      </c>
      <c r="H1988">
        <v>66048</v>
      </c>
      <c r="I1988">
        <v>114</v>
      </c>
      <c r="J1988" t="s">
        <v>72</v>
      </c>
    </row>
    <row r="1989" spans="1:10" x14ac:dyDescent="0.2">
      <c r="A1989" s="1">
        <v>46036</v>
      </c>
      <c r="B1989" t="s">
        <v>18</v>
      </c>
      <c r="C1989" t="s">
        <v>26</v>
      </c>
      <c r="D1989" t="s">
        <v>12</v>
      </c>
      <c r="E1989">
        <v>101770</v>
      </c>
      <c r="F1989">
        <v>3106</v>
      </c>
      <c r="G1989">
        <v>562.54999999999995</v>
      </c>
      <c r="H1989">
        <v>80432</v>
      </c>
      <c r="I1989">
        <v>167</v>
      </c>
      <c r="J1989" t="s">
        <v>72</v>
      </c>
    </row>
    <row r="1990" spans="1:10" x14ac:dyDescent="0.2">
      <c r="A1990" s="1">
        <v>46036</v>
      </c>
      <c r="B1990" t="s">
        <v>18</v>
      </c>
      <c r="C1990" t="s">
        <v>73</v>
      </c>
      <c r="D1990" t="s">
        <v>74</v>
      </c>
      <c r="E1990">
        <v>57912</v>
      </c>
      <c r="F1990">
        <v>2157</v>
      </c>
      <c r="G1990">
        <v>494.89</v>
      </c>
      <c r="H1990">
        <v>47129</v>
      </c>
      <c r="I1990">
        <v>77</v>
      </c>
      <c r="J1990" t="s">
        <v>72</v>
      </c>
    </row>
    <row r="1991" spans="1:10" x14ac:dyDescent="0.2">
      <c r="A1991" s="1">
        <v>46037</v>
      </c>
      <c r="B1991" t="s">
        <v>10</v>
      </c>
      <c r="C1991" t="s">
        <v>26</v>
      </c>
      <c r="D1991" t="s">
        <v>71</v>
      </c>
      <c r="E1991">
        <v>99824</v>
      </c>
      <c r="F1991">
        <v>3925</v>
      </c>
      <c r="G1991">
        <v>907.33</v>
      </c>
      <c r="H1991">
        <v>80925</v>
      </c>
      <c r="I1991">
        <v>219</v>
      </c>
      <c r="J1991" t="s">
        <v>72</v>
      </c>
    </row>
    <row r="1992" spans="1:10" x14ac:dyDescent="0.2">
      <c r="A1992" s="1">
        <v>46037</v>
      </c>
      <c r="B1992" t="s">
        <v>10</v>
      </c>
      <c r="C1992" t="s">
        <v>73</v>
      </c>
      <c r="D1992" t="s">
        <v>74</v>
      </c>
      <c r="E1992">
        <v>98454</v>
      </c>
      <c r="F1992">
        <v>3033</v>
      </c>
      <c r="G1992">
        <v>630.1</v>
      </c>
      <c r="H1992">
        <v>73253</v>
      </c>
      <c r="I1992">
        <v>152</v>
      </c>
      <c r="J1992" t="s">
        <v>72</v>
      </c>
    </row>
    <row r="1993" spans="1:10" x14ac:dyDescent="0.2">
      <c r="A1993" s="1">
        <v>46037</v>
      </c>
      <c r="B1993" t="s">
        <v>15</v>
      </c>
      <c r="C1993" t="s">
        <v>16</v>
      </c>
      <c r="D1993" t="s">
        <v>74</v>
      </c>
      <c r="E1993">
        <v>87067</v>
      </c>
      <c r="F1993">
        <v>2937</v>
      </c>
      <c r="G1993">
        <v>680.24</v>
      </c>
      <c r="H1993">
        <v>70621</v>
      </c>
      <c r="I1993">
        <v>138</v>
      </c>
      <c r="J1993" t="s">
        <v>72</v>
      </c>
    </row>
    <row r="1994" spans="1:10" x14ac:dyDescent="0.2">
      <c r="A1994" s="1">
        <v>46037</v>
      </c>
      <c r="B1994" t="s">
        <v>15</v>
      </c>
      <c r="C1994" t="s">
        <v>76</v>
      </c>
      <c r="D1994" t="s">
        <v>74</v>
      </c>
      <c r="E1994">
        <v>64987</v>
      </c>
      <c r="F1994">
        <v>2569</v>
      </c>
      <c r="G1994">
        <v>562</v>
      </c>
      <c r="H1994">
        <v>48457</v>
      </c>
      <c r="I1994">
        <v>118</v>
      </c>
      <c r="J1994" t="s">
        <v>72</v>
      </c>
    </row>
    <row r="1995" spans="1:10" x14ac:dyDescent="0.2">
      <c r="A1995" s="1">
        <v>46037</v>
      </c>
      <c r="B1995" t="s">
        <v>18</v>
      </c>
      <c r="C1995" t="s">
        <v>26</v>
      </c>
      <c r="D1995" t="s">
        <v>12</v>
      </c>
      <c r="E1995">
        <v>61258</v>
      </c>
      <c r="F1995">
        <v>1812</v>
      </c>
      <c r="G1995">
        <v>347.03</v>
      </c>
      <c r="H1995">
        <v>45610</v>
      </c>
      <c r="I1995">
        <v>95</v>
      </c>
      <c r="J1995" t="s">
        <v>72</v>
      </c>
    </row>
    <row r="1996" spans="1:10" x14ac:dyDescent="0.2">
      <c r="A1996" s="1">
        <v>46037</v>
      </c>
      <c r="B1996" t="s">
        <v>18</v>
      </c>
      <c r="C1996" t="s">
        <v>73</v>
      </c>
      <c r="D1996" t="s">
        <v>74</v>
      </c>
      <c r="E1996">
        <v>93620</v>
      </c>
      <c r="F1996">
        <v>3355</v>
      </c>
      <c r="G1996">
        <v>691.69</v>
      </c>
      <c r="H1996">
        <v>73462</v>
      </c>
      <c r="I1996">
        <v>97</v>
      </c>
      <c r="J1996" t="s">
        <v>72</v>
      </c>
    </row>
    <row r="1997" spans="1:10" x14ac:dyDescent="0.2">
      <c r="A1997" s="1">
        <v>46038</v>
      </c>
      <c r="B1997" t="s">
        <v>10</v>
      </c>
      <c r="C1997" t="s">
        <v>26</v>
      </c>
      <c r="D1997" t="s">
        <v>74</v>
      </c>
      <c r="E1997">
        <v>65744</v>
      </c>
      <c r="F1997">
        <v>1966</v>
      </c>
      <c r="G1997">
        <v>384.36</v>
      </c>
      <c r="H1997">
        <v>52618</v>
      </c>
      <c r="I1997">
        <v>93</v>
      </c>
      <c r="J1997" t="s">
        <v>72</v>
      </c>
    </row>
    <row r="1998" spans="1:10" x14ac:dyDescent="0.2">
      <c r="A1998" s="1">
        <v>46038</v>
      </c>
      <c r="B1998" t="s">
        <v>10</v>
      </c>
      <c r="C1998" t="s">
        <v>73</v>
      </c>
      <c r="D1998" t="s">
        <v>74</v>
      </c>
      <c r="E1998">
        <v>35535</v>
      </c>
      <c r="F1998">
        <v>1474</v>
      </c>
      <c r="G1998">
        <v>308.29000000000002</v>
      </c>
      <c r="H1998">
        <v>25655</v>
      </c>
      <c r="I1998">
        <v>79</v>
      </c>
      <c r="J1998" t="s">
        <v>72</v>
      </c>
    </row>
    <row r="1999" spans="1:10" x14ac:dyDescent="0.2">
      <c r="A1999" s="1">
        <v>46038</v>
      </c>
      <c r="B1999" t="s">
        <v>15</v>
      </c>
      <c r="C1999" t="s">
        <v>16</v>
      </c>
      <c r="D1999" t="s">
        <v>75</v>
      </c>
      <c r="E1999">
        <v>71144</v>
      </c>
      <c r="F1999">
        <v>2591</v>
      </c>
      <c r="G1999">
        <v>601.19000000000005</v>
      </c>
      <c r="H1999">
        <v>57630</v>
      </c>
      <c r="I1999">
        <v>104</v>
      </c>
      <c r="J1999" t="s">
        <v>72</v>
      </c>
    </row>
    <row r="2000" spans="1:10" x14ac:dyDescent="0.2">
      <c r="A2000" s="1">
        <v>46038</v>
      </c>
      <c r="B2000" t="s">
        <v>15</v>
      </c>
      <c r="C2000" t="s">
        <v>76</v>
      </c>
      <c r="D2000" t="s">
        <v>74</v>
      </c>
      <c r="E2000">
        <v>41836</v>
      </c>
      <c r="F2000">
        <v>1403</v>
      </c>
      <c r="G2000">
        <v>323.24</v>
      </c>
      <c r="H2000">
        <v>33647</v>
      </c>
      <c r="I2000">
        <v>49</v>
      </c>
      <c r="J2000" t="s">
        <v>72</v>
      </c>
    </row>
    <row r="2001" spans="1:10" x14ac:dyDescent="0.2">
      <c r="A2001" s="1">
        <v>46038</v>
      </c>
      <c r="B2001" t="s">
        <v>18</v>
      </c>
      <c r="C2001" t="s">
        <v>26</v>
      </c>
      <c r="D2001" t="s">
        <v>12</v>
      </c>
      <c r="E2001">
        <v>98414</v>
      </c>
      <c r="F2001">
        <v>3670</v>
      </c>
      <c r="G2001">
        <v>788.41</v>
      </c>
      <c r="H2001">
        <v>78486</v>
      </c>
      <c r="I2001">
        <v>160</v>
      </c>
      <c r="J2001" t="s">
        <v>72</v>
      </c>
    </row>
    <row r="2002" spans="1:10" x14ac:dyDescent="0.2">
      <c r="A2002" s="1">
        <v>46038</v>
      </c>
      <c r="B2002" t="s">
        <v>18</v>
      </c>
      <c r="C2002" t="s">
        <v>73</v>
      </c>
      <c r="D2002" t="s">
        <v>74</v>
      </c>
      <c r="E2002">
        <v>41829</v>
      </c>
      <c r="F2002">
        <v>1310</v>
      </c>
      <c r="G2002">
        <v>245.41</v>
      </c>
      <c r="H2002">
        <v>33491</v>
      </c>
      <c r="I2002">
        <v>49</v>
      </c>
      <c r="J2002" t="s">
        <v>72</v>
      </c>
    </row>
    <row r="2003" spans="1:10" x14ac:dyDescent="0.2">
      <c r="A2003" s="1">
        <v>46039</v>
      </c>
      <c r="B2003" t="s">
        <v>10</v>
      </c>
      <c r="C2003" t="s">
        <v>26</v>
      </c>
      <c r="D2003" t="s">
        <v>71</v>
      </c>
      <c r="E2003">
        <v>113555</v>
      </c>
      <c r="F2003">
        <v>4460</v>
      </c>
      <c r="G2003">
        <v>1001.88</v>
      </c>
      <c r="H2003">
        <v>92382</v>
      </c>
      <c r="I2003">
        <v>154</v>
      </c>
      <c r="J2003" t="s">
        <v>72</v>
      </c>
    </row>
    <row r="2004" spans="1:10" x14ac:dyDescent="0.2">
      <c r="A2004" s="1">
        <v>46039</v>
      </c>
      <c r="B2004" t="s">
        <v>10</v>
      </c>
      <c r="C2004" t="s">
        <v>73</v>
      </c>
      <c r="D2004" t="s">
        <v>74</v>
      </c>
      <c r="E2004">
        <v>74139</v>
      </c>
      <c r="F2004">
        <v>2298</v>
      </c>
      <c r="G2004">
        <v>451.49</v>
      </c>
      <c r="H2004">
        <v>56407</v>
      </c>
      <c r="I2004">
        <v>123</v>
      </c>
      <c r="J2004" t="s">
        <v>72</v>
      </c>
    </row>
    <row r="2005" spans="1:10" x14ac:dyDescent="0.2">
      <c r="A2005" s="1">
        <v>46039</v>
      </c>
      <c r="B2005" t="s">
        <v>15</v>
      </c>
      <c r="C2005" t="s">
        <v>16</v>
      </c>
      <c r="D2005" t="s">
        <v>75</v>
      </c>
      <c r="E2005">
        <v>131980</v>
      </c>
      <c r="F2005">
        <v>4681</v>
      </c>
      <c r="G2005">
        <v>1039.07</v>
      </c>
      <c r="H2005">
        <v>96516</v>
      </c>
      <c r="I2005">
        <v>207</v>
      </c>
      <c r="J2005" t="s">
        <v>72</v>
      </c>
    </row>
    <row r="2006" spans="1:10" x14ac:dyDescent="0.2">
      <c r="A2006" s="1">
        <v>46039</v>
      </c>
      <c r="B2006" t="s">
        <v>15</v>
      </c>
      <c r="C2006" t="s">
        <v>76</v>
      </c>
      <c r="D2006" t="s">
        <v>74</v>
      </c>
      <c r="E2006">
        <v>87204</v>
      </c>
      <c r="F2006">
        <v>3617</v>
      </c>
      <c r="G2006">
        <v>841.91</v>
      </c>
      <c r="H2006">
        <v>70957</v>
      </c>
      <c r="I2006">
        <v>140</v>
      </c>
      <c r="J2006" t="s">
        <v>72</v>
      </c>
    </row>
    <row r="2007" spans="1:10" x14ac:dyDescent="0.2">
      <c r="A2007" s="1">
        <v>46039</v>
      </c>
      <c r="B2007" t="s">
        <v>19</v>
      </c>
      <c r="C2007" t="s">
        <v>26</v>
      </c>
      <c r="D2007" t="s">
        <v>74</v>
      </c>
      <c r="E2007">
        <v>98548</v>
      </c>
      <c r="F2007">
        <v>2788</v>
      </c>
      <c r="G2007">
        <v>663.57</v>
      </c>
      <c r="H2007">
        <v>76924</v>
      </c>
      <c r="I2007">
        <v>148</v>
      </c>
      <c r="J2007" t="s">
        <v>72</v>
      </c>
    </row>
    <row r="2008" spans="1:10" x14ac:dyDescent="0.2">
      <c r="A2008" s="1">
        <v>46039</v>
      </c>
      <c r="B2008" t="s">
        <v>19</v>
      </c>
      <c r="C2008" t="s">
        <v>73</v>
      </c>
      <c r="D2008" t="s">
        <v>12</v>
      </c>
      <c r="E2008">
        <v>85979</v>
      </c>
      <c r="F2008">
        <v>2711</v>
      </c>
      <c r="G2008">
        <v>550.54999999999995</v>
      </c>
      <c r="H2008">
        <v>67398</v>
      </c>
      <c r="I2008">
        <v>132</v>
      </c>
      <c r="J2008" t="s">
        <v>72</v>
      </c>
    </row>
    <row r="2009" spans="1:10" x14ac:dyDescent="0.2">
      <c r="A2009" s="1">
        <v>46039</v>
      </c>
      <c r="B2009" t="s">
        <v>18</v>
      </c>
      <c r="C2009" t="s">
        <v>26</v>
      </c>
      <c r="D2009" t="s">
        <v>12</v>
      </c>
      <c r="E2009">
        <v>140155</v>
      </c>
      <c r="F2009">
        <v>5625</v>
      </c>
      <c r="G2009">
        <v>1301.96</v>
      </c>
      <c r="H2009">
        <v>106356</v>
      </c>
      <c r="I2009">
        <v>311</v>
      </c>
      <c r="J2009" t="s">
        <v>72</v>
      </c>
    </row>
    <row r="2010" spans="1:10" x14ac:dyDescent="0.2">
      <c r="A2010" s="1">
        <v>46039</v>
      </c>
      <c r="B2010" t="s">
        <v>18</v>
      </c>
      <c r="C2010" t="s">
        <v>73</v>
      </c>
      <c r="D2010" t="s">
        <v>74</v>
      </c>
      <c r="E2010">
        <v>88890</v>
      </c>
      <c r="F2010">
        <v>2863</v>
      </c>
      <c r="G2010">
        <v>676.18</v>
      </c>
      <c r="H2010">
        <v>70726</v>
      </c>
      <c r="I2010">
        <v>105</v>
      </c>
      <c r="J2010" t="s">
        <v>72</v>
      </c>
    </row>
    <row r="2011" spans="1:10" x14ac:dyDescent="0.2">
      <c r="A2011" s="1">
        <v>46040</v>
      </c>
      <c r="B2011" t="s">
        <v>10</v>
      </c>
      <c r="C2011" t="s">
        <v>26</v>
      </c>
      <c r="D2011" t="s">
        <v>74</v>
      </c>
      <c r="E2011">
        <v>122527</v>
      </c>
      <c r="F2011">
        <v>4513</v>
      </c>
      <c r="G2011">
        <v>1050.48</v>
      </c>
      <c r="H2011">
        <v>97614</v>
      </c>
      <c r="I2011">
        <v>181</v>
      </c>
      <c r="J2011" t="s">
        <v>72</v>
      </c>
    </row>
    <row r="2012" spans="1:10" x14ac:dyDescent="0.2">
      <c r="A2012" s="1">
        <v>46040</v>
      </c>
      <c r="B2012" t="s">
        <v>10</v>
      </c>
      <c r="C2012" t="s">
        <v>73</v>
      </c>
      <c r="D2012" t="s">
        <v>74</v>
      </c>
      <c r="E2012">
        <v>92285</v>
      </c>
      <c r="F2012">
        <v>3703</v>
      </c>
      <c r="G2012">
        <v>849.44</v>
      </c>
      <c r="H2012">
        <v>75124</v>
      </c>
      <c r="I2012">
        <v>156</v>
      </c>
      <c r="J2012" t="s">
        <v>72</v>
      </c>
    </row>
    <row r="2013" spans="1:10" x14ac:dyDescent="0.2">
      <c r="A2013" s="1">
        <v>46040</v>
      </c>
      <c r="B2013" t="s">
        <v>15</v>
      </c>
      <c r="C2013" t="s">
        <v>16</v>
      </c>
      <c r="D2013" t="s">
        <v>74</v>
      </c>
      <c r="E2013">
        <v>103054</v>
      </c>
      <c r="F2013">
        <v>3920</v>
      </c>
      <c r="G2013">
        <v>911.81</v>
      </c>
      <c r="H2013">
        <v>82651</v>
      </c>
      <c r="I2013">
        <v>206</v>
      </c>
      <c r="J2013" t="s">
        <v>72</v>
      </c>
    </row>
    <row r="2014" spans="1:10" x14ac:dyDescent="0.2">
      <c r="A2014" s="1">
        <v>46040</v>
      </c>
      <c r="B2014" t="s">
        <v>15</v>
      </c>
      <c r="C2014" t="s">
        <v>76</v>
      </c>
      <c r="D2014" t="s">
        <v>74</v>
      </c>
      <c r="E2014">
        <v>134912</v>
      </c>
      <c r="F2014">
        <v>3902</v>
      </c>
      <c r="G2014">
        <v>800.89</v>
      </c>
      <c r="H2014">
        <v>106974</v>
      </c>
      <c r="I2014">
        <v>173</v>
      </c>
      <c r="J2014" t="s">
        <v>72</v>
      </c>
    </row>
    <row r="2015" spans="1:10" x14ac:dyDescent="0.2">
      <c r="A2015" s="1">
        <v>46040</v>
      </c>
      <c r="B2015" t="s">
        <v>19</v>
      </c>
      <c r="C2015" t="s">
        <v>26</v>
      </c>
      <c r="D2015" t="s">
        <v>74</v>
      </c>
      <c r="E2015">
        <v>125172</v>
      </c>
      <c r="F2015">
        <v>4723</v>
      </c>
      <c r="G2015">
        <v>1066.07</v>
      </c>
      <c r="H2015">
        <v>98152</v>
      </c>
      <c r="I2015">
        <v>158</v>
      </c>
      <c r="J2015" t="s">
        <v>72</v>
      </c>
    </row>
    <row r="2016" spans="1:10" x14ac:dyDescent="0.2">
      <c r="A2016" s="1">
        <v>46040</v>
      </c>
      <c r="B2016" t="s">
        <v>19</v>
      </c>
      <c r="C2016" t="s">
        <v>73</v>
      </c>
      <c r="D2016" t="s">
        <v>74</v>
      </c>
      <c r="E2016">
        <v>66971</v>
      </c>
      <c r="F2016">
        <v>1878</v>
      </c>
      <c r="G2016">
        <v>360.58</v>
      </c>
      <c r="H2016">
        <v>50265</v>
      </c>
      <c r="I2016">
        <v>85</v>
      </c>
      <c r="J2016" t="s">
        <v>72</v>
      </c>
    </row>
    <row r="2017" spans="1:10" x14ac:dyDescent="0.2">
      <c r="A2017" s="1">
        <v>46040</v>
      </c>
      <c r="B2017" t="s">
        <v>18</v>
      </c>
      <c r="C2017" t="s">
        <v>26</v>
      </c>
      <c r="D2017" t="s">
        <v>12</v>
      </c>
      <c r="E2017">
        <v>70960</v>
      </c>
      <c r="F2017">
        <v>2234</v>
      </c>
      <c r="G2017">
        <v>497.77</v>
      </c>
      <c r="H2017">
        <v>56538</v>
      </c>
      <c r="I2017">
        <v>106</v>
      </c>
      <c r="J2017" t="s">
        <v>72</v>
      </c>
    </row>
    <row r="2018" spans="1:10" x14ac:dyDescent="0.2">
      <c r="A2018" s="1">
        <v>46040</v>
      </c>
      <c r="B2018" t="s">
        <v>18</v>
      </c>
      <c r="C2018" t="s">
        <v>73</v>
      </c>
      <c r="D2018" t="s">
        <v>74</v>
      </c>
      <c r="E2018">
        <v>151001</v>
      </c>
      <c r="F2018">
        <v>5677</v>
      </c>
      <c r="G2018">
        <v>1291.8499999999999</v>
      </c>
      <c r="H2018">
        <v>113543</v>
      </c>
      <c r="I2018">
        <v>240</v>
      </c>
      <c r="J2018" t="s">
        <v>72</v>
      </c>
    </row>
    <row r="2019" spans="1:10" x14ac:dyDescent="0.2">
      <c r="A2019" s="1">
        <v>46041</v>
      </c>
      <c r="B2019" t="s">
        <v>10</v>
      </c>
      <c r="C2019" t="s">
        <v>26</v>
      </c>
      <c r="D2019" t="s">
        <v>71</v>
      </c>
      <c r="E2019">
        <v>47499</v>
      </c>
      <c r="F2019">
        <v>1503</v>
      </c>
      <c r="G2019">
        <v>332.54</v>
      </c>
      <c r="H2019">
        <v>38126</v>
      </c>
      <c r="I2019">
        <v>78</v>
      </c>
      <c r="J2019" t="s">
        <v>72</v>
      </c>
    </row>
    <row r="2020" spans="1:10" x14ac:dyDescent="0.2">
      <c r="A2020" s="1">
        <v>46041</v>
      </c>
      <c r="B2020" t="s">
        <v>10</v>
      </c>
      <c r="C2020" t="s">
        <v>73</v>
      </c>
      <c r="D2020" t="s">
        <v>74</v>
      </c>
      <c r="E2020">
        <v>41062</v>
      </c>
      <c r="F2020">
        <v>1388</v>
      </c>
      <c r="G2020">
        <v>264.99</v>
      </c>
      <c r="H2020">
        <v>33163</v>
      </c>
      <c r="I2020">
        <v>78</v>
      </c>
      <c r="J2020" t="s">
        <v>72</v>
      </c>
    </row>
    <row r="2021" spans="1:10" x14ac:dyDescent="0.2">
      <c r="A2021" s="1">
        <v>46041</v>
      </c>
      <c r="B2021" t="s">
        <v>15</v>
      </c>
      <c r="C2021" t="s">
        <v>16</v>
      </c>
      <c r="D2021" t="s">
        <v>75</v>
      </c>
      <c r="E2021">
        <v>32717</v>
      </c>
      <c r="F2021">
        <v>1350</v>
      </c>
      <c r="G2021">
        <v>317.77</v>
      </c>
      <c r="H2021">
        <v>25673</v>
      </c>
      <c r="I2021">
        <v>63</v>
      </c>
      <c r="J2021" t="s">
        <v>72</v>
      </c>
    </row>
    <row r="2022" spans="1:10" x14ac:dyDescent="0.2">
      <c r="A2022" s="1">
        <v>46041</v>
      </c>
      <c r="B2022" t="s">
        <v>15</v>
      </c>
      <c r="C2022" t="s">
        <v>76</v>
      </c>
      <c r="D2022" t="s">
        <v>75</v>
      </c>
      <c r="E2022">
        <v>90610</v>
      </c>
      <c r="F2022">
        <v>2788</v>
      </c>
      <c r="G2022">
        <v>619.15</v>
      </c>
      <c r="H2022">
        <v>66768</v>
      </c>
      <c r="I2022">
        <v>111</v>
      </c>
      <c r="J2022" t="s">
        <v>72</v>
      </c>
    </row>
    <row r="2023" spans="1:10" x14ac:dyDescent="0.2">
      <c r="A2023" s="1">
        <v>46041</v>
      </c>
      <c r="B2023" t="s">
        <v>18</v>
      </c>
      <c r="C2023" t="s">
        <v>26</v>
      </c>
      <c r="D2023" t="s">
        <v>12</v>
      </c>
      <c r="E2023">
        <v>108694</v>
      </c>
      <c r="F2023">
        <v>3439</v>
      </c>
      <c r="G2023">
        <v>637.4</v>
      </c>
      <c r="H2023">
        <v>82258</v>
      </c>
      <c r="I2023">
        <v>194</v>
      </c>
      <c r="J2023" t="s">
        <v>72</v>
      </c>
    </row>
    <row r="2024" spans="1:10" x14ac:dyDescent="0.2">
      <c r="A2024" s="1">
        <v>46041</v>
      </c>
      <c r="B2024" t="s">
        <v>18</v>
      </c>
      <c r="C2024" t="s">
        <v>73</v>
      </c>
      <c r="D2024" t="s">
        <v>74</v>
      </c>
      <c r="E2024">
        <v>31850</v>
      </c>
      <c r="F2024">
        <v>1212</v>
      </c>
      <c r="G2024">
        <v>249.8</v>
      </c>
      <c r="H2024">
        <v>25862</v>
      </c>
      <c r="I2024">
        <v>50</v>
      </c>
      <c r="J2024" t="s">
        <v>72</v>
      </c>
    </row>
    <row r="2025" spans="1:10" x14ac:dyDescent="0.2">
      <c r="A2025" s="1">
        <v>46042</v>
      </c>
      <c r="B2025" t="s">
        <v>10</v>
      </c>
      <c r="C2025" t="s">
        <v>26</v>
      </c>
      <c r="D2025" t="s">
        <v>71</v>
      </c>
      <c r="E2025">
        <v>94769</v>
      </c>
      <c r="F2025">
        <v>2810</v>
      </c>
      <c r="G2025">
        <v>626.11</v>
      </c>
      <c r="H2025">
        <v>70039</v>
      </c>
      <c r="I2025">
        <v>151</v>
      </c>
      <c r="J2025" t="s">
        <v>72</v>
      </c>
    </row>
    <row r="2026" spans="1:10" x14ac:dyDescent="0.2">
      <c r="A2026" s="1">
        <v>46042</v>
      </c>
      <c r="B2026" t="s">
        <v>10</v>
      </c>
      <c r="C2026" t="s">
        <v>73</v>
      </c>
      <c r="D2026" t="s">
        <v>71</v>
      </c>
      <c r="E2026">
        <v>67743</v>
      </c>
      <c r="F2026">
        <v>2604</v>
      </c>
      <c r="G2026">
        <v>528.41999999999996</v>
      </c>
      <c r="H2026">
        <v>51696</v>
      </c>
      <c r="I2026">
        <v>89</v>
      </c>
      <c r="J2026" t="s">
        <v>72</v>
      </c>
    </row>
    <row r="2027" spans="1:10" x14ac:dyDescent="0.2">
      <c r="A2027" s="1">
        <v>46042</v>
      </c>
      <c r="B2027" t="s">
        <v>15</v>
      </c>
      <c r="C2027" t="s">
        <v>16</v>
      </c>
      <c r="D2027" t="s">
        <v>75</v>
      </c>
      <c r="E2027">
        <v>67089</v>
      </c>
      <c r="F2027">
        <v>2561</v>
      </c>
      <c r="G2027">
        <v>490.08</v>
      </c>
      <c r="H2027">
        <v>49514</v>
      </c>
      <c r="I2027">
        <v>132</v>
      </c>
      <c r="J2027" t="s">
        <v>72</v>
      </c>
    </row>
    <row r="2028" spans="1:10" x14ac:dyDescent="0.2">
      <c r="A2028" s="1">
        <v>46042</v>
      </c>
      <c r="B2028" t="s">
        <v>15</v>
      </c>
      <c r="C2028" t="s">
        <v>76</v>
      </c>
      <c r="D2028" t="s">
        <v>75</v>
      </c>
      <c r="E2028">
        <v>68036</v>
      </c>
      <c r="F2028">
        <v>2834</v>
      </c>
      <c r="G2028">
        <v>550.16</v>
      </c>
      <c r="H2028">
        <v>52054</v>
      </c>
      <c r="I2028">
        <v>100</v>
      </c>
      <c r="J2028" t="s">
        <v>72</v>
      </c>
    </row>
    <row r="2029" spans="1:10" x14ac:dyDescent="0.2">
      <c r="A2029" s="1">
        <v>46042</v>
      </c>
      <c r="B2029" t="s">
        <v>18</v>
      </c>
      <c r="C2029" t="s">
        <v>26</v>
      </c>
      <c r="D2029" t="s">
        <v>12</v>
      </c>
      <c r="E2029">
        <v>41237</v>
      </c>
      <c r="F2029">
        <v>1160</v>
      </c>
      <c r="G2029">
        <v>218.07</v>
      </c>
      <c r="H2029">
        <v>31023</v>
      </c>
      <c r="I2029">
        <v>56</v>
      </c>
      <c r="J2029" t="s">
        <v>72</v>
      </c>
    </row>
    <row r="2030" spans="1:10" x14ac:dyDescent="0.2">
      <c r="A2030" s="1">
        <v>46042</v>
      </c>
      <c r="B2030" t="s">
        <v>18</v>
      </c>
      <c r="C2030" t="s">
        <v>73</v>
      </c>
      <c r="D2030" t="s">
        <v>74</v>
      </c>
      <c r="E2030">
        <v>80265</v>
      </c>
      <c r="F2030">
        <v>3043</v>
      </c>
      <c r="G2030">
        <v>682.14</v>
      </c>
      <c r="H2030">
        <v>59847</v>
      </c>
      <c r="I2030">
        <v>93</v>
      </c>
      <c r="J2030" t="s">
        <v>72</v>
      </c>
    </row>
    <row r="2031" spans="1:10" x14ac:dyDescent="0.2">
      <c r="A2031" s="1">
        <v>46043</v>
      </c>
      <c r="B2031" t="s">
        <v>10</v>
      </c>
      <c r="C2031" t="s">
        <v>26</v>
      </c>
      <c r="D2031" t="s">
        <v>74</v>
      </c>
      <c r="E2031">
        <v>36830</v>
      </c>
      <c r="F2031">
        <v>1202</v>
      </c>
      <c r="G2031">
        <v>233.3</v>
      </c>
      <c r="H2031">
        <v>29862</v>
      </c>
      <c r="I2031">
        <v>69</v>
      </c>
      <c r="J2031" t="s">
        <v>72</v>
      </c>
    </row>
    <row r="2032" spans="1:10" x14ac:dyDescent="0.2">
      <c r="A2032" s="1">
        <v>46043</v>
      </c>
      <c r="B2032" t="s">
        <v>10</v>
      </c>
      <c r="C2032" t="s">
        <v>73</v>
      </c>
      <c r="D2032" t="s">
        <v>74</v>
      </c>
      <c r="E2032">
        <v>30702</v>
      </c>
      <c r="F2032">
        <v>968</v>
      </c>
      <c r="G2032">
        <v>210.23</v>
      </c>
      <c r="H2032">
        <v>23034</v>
      </c>
      <c r="I2032">
        <v>38</v>
      </c>
      <c r="J2032" t="s">
        <v>72</v>
      </c>
    </row>
    <row r="2033" spans="1:10" x14ac:dyDescent="0.2">
      <c r="A2033" s="1">
        <v>46043</v>
      </c>
      <c r="B2033" t="s">
        <v>15</v>
      </c>
      <c r="C2033" t="s">
        <v>16</v>
      </c>
      <c r="D2033" t="s">
        <v>74</v>
      </c>
      <c r="E2033">
        <v>47332</v>
      </c>
      <c r="F2033">
        <v>1966</v>
      </c>
      <c r="G2033">
        <v>419.89</v>
      </c>
      <c r="H2033">
        <v>36826</v>
      </c>
      <c r="I2033">
        <v>70</v>
      </c>
      <c r="J2033" t="s">
        <v>72</v>
      </c>
    </row>
    <row r="2034" spans="1:10" x14ac:dyDescent="0.2">
      <c r="A2034" s="1">
        <v>46043</v>
      </c>
      <c r="B2034" t="s">
        <v>15</v>
      </c>
      <c r="C2034" t="s">
        <v>76</v>
      </c>
      <c r="D2034" t="s">
        <v>74</v>
      </c>
      <c r="E2034">
        <v>74456</v>
      </c>
      <c r="F2034">
        <v>2999</v>
      </c>
      <c r="G2034">
        <v>563.55999999999995</v>
      </c>
      <c r="H2034">
        <v>55970</v>
      </c>
      <c r="I2034">
        <v>131</v>
      </c>
      <c r="J2034" t="s">
        <v>72</v>
      </c>
    </row>
    <row r="2035" spans="1:10" x14ac:dyDescent="0.2">
      <c r="A2035" s="1">
        <v>46043</v>
      </c>
      <c r="B2035" t="s">
        <v>18</v>
      </c>
      <c r="C2035" t="s">
        <v>26</v>
      </c>
      <c r="D2035" t="s">
        <v>12</v>
      </c>
      <c r="E2035">
        <v>64131</v>
      </c>
      <c r="F2035">
        <v>1900</v>
      </c>
      <c r="G2035">
        <v>347.03</v>
      </c>
      <c r="H2035">
        <v>46994</v>
      </c>
      <c r="I2035">
        <v>102</v>
      </c>
      <c r="J2035" t="s">
        <v>72</v>
      </c>
    </row>
    <row r="2036" spans="1:10" x14ac:dyDescent="0.2">
      <c r="A2036" s="1">
        <v>46043</v>
      </c>
      <c r="B2036" t="s">
        <v>18</v>
      </c>
      <c r="C2036" t="s">
        <v>73</v>
      </c>
      <c r="D2036" t="s">
        <v>74</v>
      </c>
      <c r="E2036">
        <v>77263</v>
      </c>
      <c r="F2036">
        <v>3165</v>
      </c>
      <c r="G2036">
        <v>623.42999999999995</v>
      </c>
      <c r="H2036">
        <v>62404</v>
      </c>
      <c r="I2036">
        <v>146</v>
      </c>
      <c r="J2036" t="s">
        <v>72</v>
      </c>
    </row>
    <row r="2037" spans="1:10" x14ac:dyDescent="0.2">
      <c r="A2037" s="1">
        <v>46044</v>
      </c>
      <c r="B2037" t="s">
        <v>10</v>
      </c>
      <c r="C2037" t="s">
        <v>26</v>
      </c>
      <c r="D2037" t="s">
        <v>12</v>
      </c>
      <c r="E2037">
        <v>97760</v>
      </c>
      <c r="F2037">
        <v>3165</v>
      </c>
      <c r="G2037">
        <v>739.22</v>
      </c>
      <c r="H2037">
        <v>73471</v>
      </c>
      <c r="I2037">
        <v>183</v>
      </c>
      <c r="J2037" t="s">
        <v>72</v>
      </c>
    </row>
    <row r="2038" spans="1:10" x14ac:dyDescent="0.2">
      <c r="A2038" s="1">
        <v>46044</v>
      </c>
      <c r="B2038" t="s">
        <v>10</v>
      </c>
      <c r="C2038" t="s">
        <v>73</v>
      </c>
      <c r="D2038" t="s">
        <v>74</v>
      </c>
      <c r="E2038">
        <v>102833</v>
      </c>
      <c r="F2038">
        <v>4107</v>
      </c>
      <c r="G2038">
        <v>901.26</v>
      </c>
      <c r="H2038">
        <v>82248</v>
      </c>
      <c r="I2038">
        <v>121</v>
      </c>
      <c r="J2038" t="s">
        <v>72</v>
      </c>
    </row>
    <row r="2039" spans="1:10" x14ac:dyDescent="0.2">
      <c r="A2039" s="1">
        <v>46044</v>
      </c>
      <c r="B2039" t="s">
        <v>15</v>
      </c>
      <c r="C2039" t="s">
        <v>16</v>
      </c>
      <c r="D2039" t="s">
        <v>75</v>
      </c>
      <c r="E2039">
        <v>37152</v>
      </c>
      <c r="F2039">
        <v>1159</v>
      </c>
      <c r="G2039">
        <v>211.11</v>
      </c>
      <c r="H2039">
        <v>27716</v>
      </c>
      <c r="I2039">
        <v>56</v>
      </c>
      <c r="J2039" t="s">
        <v>72</v>
      </c>
    </row>
    <row r="2040" spans="1:10" x14ac:dyDescent="0.2">
      <c r="A2040" s="1">
        <v>46044</v>
      </c>
      <c r="B2040" t="s">
        <v>15</v>
      </c>
      <c r="C2040" t="s">
        <v>76</v>
      </c>
      <c r="D2040" t="s">
        <v>74</v>
      </c>
      <c r="E2040">
        <v>45207</v>
      </c>
      <c r="F2040">
        <v>1895</v>
      </c>
      <c r="G2040">
        <v>446.52</v>
      </c>
      <c r="H2040">
        <v>32733</v>
      </c>
      <c r="I2040">
        <v>73</v>
      </c>
      <c r="J2040" t="s">
        <v>72</v>
      </c>
    </row>
    <row r="2041" spans="1:10" x14ac:dyDescent="0.2">
      <c r="A2041" s="1">
        <v>46044</v>
      </c>
      <c r="B2041" t="s">
        <v>18</v>
      </c>
      <c r="C2041" t="s">
        <v>26</v>
      </c>
      <c r="D2041" t="s">
        <v>12</v>
      </c>
      <c r="E2041">
        <v>89999</v>
      </c>
      <c r="F2041">
        <v>3141</v>
      </c>
      <c r="G2041">
        <v>724.79</v>
      </c>
      <c r="H2041">
        <v>72601</v>
      </c>
      <c r="I2041">
        <v>99</v>
      </c>
      <c r="J2041" t="s">
        <v>72</v>
      </c>
    </row>
    <row r="2042" spans="1:10" x14ac:dyDescent="0.2">
      <c r="A2042" s="1">
        <v>46044</v>
      </c>
      <c r="B2042" t="s">
        <v>18</v>
      </c>
      <c r="C2042" t="s">
        <v>73</v>
      </c>
      <c r="D2042" t="s">
        <v>74</v>
      </c>
      <c r="E2042">
        <v>56703</v>
      </c>
      <c r="F2042">
        <v>2276</v>
      </c>
      <c r="G2042">
        <v>434.35</v>
      </c>
      <c r="H2042">
        <v>41780</v>
      </c>
      <c r="I2042">
        <v>98</v>
      </c>
      <c r="J2042" t="s">
        <v>72</v>
      </c>
    </row>
    <row r="2043" spans="1:10" x14ac:dyDescent="0.2">
      <c r="A2043" s="1">
        <v>46045</v>
      </c>
      <c r="B2043" t="s">
        <v>10</v>
      </c>
      <c r="C2043" t="s">
        <v>26</v>
      </c>
      <c r="D2043" t="s">
        <v>12</v>
      </c>
      <c r="E2043">
        <v>103825</v>
      </c>
      <c r="F2043">
        <v>4202</v>
      </c>
      <c r="G2043">
        <v>904.02</v>
      </c>
      <c r="H2043">
        <v>80812</v>
      </c>
      <c r="I2043">
        <v>240</v>
      </c>
      <c r="J2043" t="s">
        <v>72</v>
      </c>
    </row>
    <row r="2044" spans="1:10" x14ac:dyDescent="0.2">
      <c r="A2044" s="1">
        <v>46045</v>
      </c>
      <c r="B2044" t="s">
        <v>10</v>
      </c>
      <c r="C2044" t="s">
        <v>73</v>
      </c>
      <c r="D2044" t="s">
        <v>74</v>
      </c>
      <c r="E2044">
        <v>84580</v>
      </c>
      <c r="F2044">
        <v>3458</v>
      </c>
      <c r="G2044">
        <v>673.51</v>
      </c>
      <c r="H2044">
        <v>65110</v>
      </c>
      <c r="I2044">
        <v>106</v>
      </c>
      <c r="J2044" t="s">
        <v>72</v>
      </c>
    </row>
    <row r="2045" spans="1:10" x14ac:dyDescent="0.2">
      <c r="A2045" s="1">
        <v>46045</v>
      </c>
      <c r="B2045" t="s">
        <v>15</v>
      </c>
      <c r="C2045" t="s">
        <v>16</v>
      </c>
      <c r="D2045" t="s">
        <v>74</v>
      </c>
      <c r="E2045">
        <v>33402</v>
      </c>
      <c r="F2045">
        <v>1068</v>
      </c>
      <c r="G2045">
        <v>255.12</v>
      </c>
      <c r="H2045">
        <v>24456</v>
      </c>
      <c r="I2045">
        <v>41</v>
      </c>
      <c r="J2045" t="s">
        <v>72</v>
      </c>
    </row>
    <row r="2046" spans="1:10" x14ac:dyDescent="0.2">
      <c r="A2046" s="1">
        <v>46045</v>
      </c>
      <c r="B2046" t="s">
        <v>15</v>
      </c>
      <c r="C2046" t="s">
        <v>76</v>
      </c>
      <c r="D2046" t="s">
        <v>75</v>
      </c>
      <c r="E2046">
        <v>72406</v>
      </c>
      <c r="F2046">
        <v>2183</v>
      </c>
      <c r="G2046">
        <v>403.56</v>
      </c>
      <c r="H2046">
        <v>58147</v>
      </c>
      <c r="I2046">
        <v>104</v>
      </c>
      <c r="J2046" t="s">
        <v>72</v>
      </c>
    </row>
    <row r="2047" spans="1:10" x14ac:dyDescent="0.2">
      <c r="A2047" s="1">
        <v>46045</v>
      </c>
      <c r="B2047" t="s">
        <v>18</v>
      </c>
      <c r="C2047" t="s">
        <v>26</v>
      </c>
      <c r="D2047" t="s">
        <v>12</v>
      </c>
      <c r="E2047">
        <v>65300</v>
      </c>
      <c r="F2047">
        <v>2371</v>
      </c>
      <c r="G2047">
        <v>427.61</v>
      </c>
      <c r="H2047">
        <v>53348</v>
      </c>
      <c r="I2047">
        <v>113</v>
      </c>
      <c r="J2047" t="s">
        <v>72</v>
      </c>
    </row>
    <row r="2048" spans="1:10" x14ac:dyDescent="0.2">
      <c r="A2048" s="1">
        <v>46045</v>
      </c>
      <c r="B2048" t="s">
        <v>18</v>
      </c>
      <c r="C2048" t="s">
        <v>73</v>
      </c>
      <c r="D2048" t="s">
        <v>74</v>
      </c>
      <c r="E2048">
        <v>72587</v>
      </c>
      <c r="F2048">
        <v>2995</v>
      </c>
      <c r="G2048">
        <v>718.77</v>
      </c>
      <c r="H2048">
        <v>58845</v>
      </c>
      <c r="I2048">
        <v>155</v>
      </c>
      <c r="J2048" t="s">
        <v>72</v>
      </c>
    </row>
    <row r="2049" spans="1:10" x14ac:dyDescent="0.2">
      <c r="A2049" s="1">
        <v>46046</v>
      </c>
      <c r="B2049" t="s">
        <v>10</v>
      </c>
      <c r="C2049" t="s">
        <v>26</v>
      </c>
      <c r="D2049" t="s">
        <v>74</v>
      </c>
      <c r="E2049">
        <v>80785</v>
      </c>
      <c r="F2049">
        <v>3238</v>
      </c>
      <c r="G2049">
        <v>738.57</v>
      </c>
      <c r="H2049">
        <v>60451</v>
      </c>
      <c r="I2049">
        <v>168</v>
      </c>
      <c r="J2049" t="s">
        <v>72</v>
      </c>
    </row>
    <row r="2050" spans="1:10" x14ac:dyDescent="0.2">
      <c r="A2050" s="1">
        <v>46046</v>
      </c>
      <c r="B2050" t="s">
        <v>10</v>
      </c>
      <c r="C2050" t="s">
        <v>73</v>
      </c>
      <c r="D2050" t="s">
        <v>74</v>
      </c>
      <c r="E2050">
        <v>142402</v>
      </c>
      <c r="F2050">
        <v>5884</v>
      </c>
      <c r="G2050">
        <v>1193.77</v>
      </c>
      <c r="H2050">
        <v>108209</v>
      </c>
      <c r="I2050">
        <v>196</v>
      </c>
      <c r="J2050" t="s">
        <v>72</v>
      </c>
    </row>
    <row r="2051" spans="1:10" x14ac:dyDescent="0.2">
      <c r="A2051" s="1">
        <v>46046</v>
      </c>
      <c r="B2051" t="s">
        <v>15</v>
      </c>
      <c r="C2051" t="s">
        <v>16</v>
      </c>
      <c r="D2051" t="s">
        <v>74</v>
      </c>
      <c r="E2051">
        <v>58365</v>
      </c>
      <c r="F2051">
        <v>1650</v>
      </c>
      <c r="G2051">
        <v>317.61</v>
      </c>
      <c r="H2051">
        <v>44290</v>
      </c>
      <c r="I2051">
        <v>66</v>
      </c>
      <c r="J2051" t="s">
        <v>72</v>
      </c>
    </row>
    <row r="2052" spans="1:10" x14ac:dyDescent="0.2">
      <c r="A2052" s="1">
        <v>46046</v>
      </c>
      <c r="B2052" t="s">
        <v>15</v>
      </c>
      <c r="C2052" t="s">
        <v>76</v>
      </c>
      <c r="D2052" t="s">
        <v>75</v>
      </c>
      <c r="E2052">
        <v>64129</v>
      </c>
      <c r="F2052">
        <v>2063</v>
      </c>
      <c r="G2052">
        <v>470.5</v>
      </c>
      <c r="H2052">
        <v>50892</v>
      </c>
      <c r="I2052">
        <v>114</v>
      </c>
      <c r="J2052" t="s">
        <v>72</v>
      </c>
    </row>
    <row r="2053" spans="1:10" x14ac:dyDescent="0.2">
      <c r="A2053" s="1">
        <v>46046</v>
      </c>
      <c r="B2053" t="s">
        <v>19</v>
      </c>
      <c r="C2053" t="s">
        <v>26</v>
      </c>
      <c r="D2053" t="s">
        <v>12</v>
      </c>
      <c r="E2053">
        <v>107884</v>
      </c>
      <c r="F2053">
        <v>4025</v>
      </c>
      <c r="G2053">
        <v>925.44</v>
      </c>
      <c r="H2053">
        <v>83207</v>
      </c>
      <c r="I2053">
        <v>171</v>
      </c>
      <c r="J2053" t="s">
        <v>72</v>
      </c>
    </row>
    <row r="2054" spans="1:10" x14ac:dyDescent="0.2">
      <c r="A2054" s="1">
        <v>46046</v>
      </c>
      <c r="B2054" t="s">
        <v>19</v>
      </c>
      <c r="C2054" t="s">
        <v>73</v>
      </c>
      <c r="D2054" t="s">
        <v>74</v>
      </c>
      <c r="E2054">
        <v>129425</v>
      </c>
      <c r="F2054">
        <v>4110</v>
      </c>
      <c r="G2054">
        <v>887.84</v>
      </c>
      <c r="H2054">
        <v>94353</v>
      </c>
      <c r="I2054">
        <v>167</v>
      </c>
      <c r="J2054" t="s">
        <v>72</v>
      </c>
    </row>
    <row r="2055" spans="1:10" x14ac:dyDescent="0.2">
      <c r="A2055" s="1">
        <v>46046</v>
      </c>
      <c r="B2055" t="s">
        <v>18</v>
      </c>
      <c r="C2055" t="s">
        <v>26</v>
      </c>
      <c r="D2055" t="s">
        <v>12</v>
      </c>
      <c r="E2055">
        <v>76196</v>
      </c>
      <c r="F2055">
        <v>2596</v>
      </c>
      <c r="G2055">
        <v>533.64</v>
      </c>
      <c r="H2055">
        <v>55169</v>
      </c>
      <c r="I2055">
        <v>99</v>
      </c>
      <c r="J2055" t="s">
        <v>72</v>
      </c>
    </row>
    <row r="2056" spans="1:10" x14ac:dyDescent="0.2">
      <c r="A2056" s="1">
        <v>46046</v>
      </c>
      <c r="B2056" t="s">
        <v>18</v>
      </c>
      <c r="C2056" t="s">
        <v>73</v>
      </c>
      <c r="D2056" t="s">
        <v>74</v>
      </c>
      <c r="E2056">
        <v>83146</v>
      </c>
      <c r="F2056">
        <v>3081</v>
      </c>
      <c r="G2056">
        <v>686.5</v>
      </c>
      <c r="H2056">
        <v>67603</v>
      </c>
      <c r="I2056">
        <v>135</v>
      </c>
      <c r="J2056" t="s">
        <v>72</v>
      </c>
    </row>
    <row r="2057" spans="1:10" x14ac:dyDescent="0.2">
      <c r="A2057" s="1">
        <v>46047</v>
      </c>
      <c r="B2057" t="s">
        <v>10</v>
      </c>
      <c r="C2057" t="s">
        <v>26</v>
      </c>
      <c r="D2057" t="s">
        <v>71</v>
      </c>
      <c r="E2057">
        <v>138278</v>
      </c>
      <c r="F2057">
        <v>4034</v>
      </c>
      <c r="G2057">
        <v>839.45</v>
      </c>
      <c r="H2057">
        <v>100655</v>
      </c>
      <c r="I2057">
        <v>209</v>
      </c>
      <c r="J2057" t="s">
        <v>72</v>
      </c>
    </row>
    <row r="2058" spans="1:10" x14ac:dyDescent="0.2">
      <c r="A2058" s="1">
        <v>46047</v>
      </c>
      <c r="B2058" t="s">
        <v>10</v>
      </c>
      <c r="C2058" t="s">
        <v>73</v>
      </c>
      <c r="D2058" t="s">
        <v>71</v>
      </c>
      <c r="E2058">
        <v>69269</v>
      </c>
      <c r="F2058">
        <v>2893</v>
      </c>
      <c r="G2058">
        <v>639.52</v>
      </c>
      <c r="H2058">
        <v>51954</v>
      </c>
      <c r="I2058">
        <v>102</v>
      </c>
      <c r="J2058" t="s">
        <v>72</v>
      </c>
    </row>
    <row r="2059" spans="1:10" x14ac:dyDescent="0.2">
      <c r="A2059" s="1">
        <v>46047</v>
      </c>
      <c r="B2059" t="s">
        <v>15</v>
      </c>
      <c r="C2059" t="s">
        <v>16</v>
      </c>
      <c r="D2059" t="s">
        <v>74</v>
      </c>
      <c r="E2059">
        <v>96220</v>
      </c>
      <c r="F2059">
        <v>3460</v>
      </c>
      <c r="G2059">
        <v>737.19</v>
      </c>
      <c r="H2059">
        <v>78104</v>
      </c>
      <c r="I2059">
        <v>150</v>
      </c>
      <c r="J2059" t="s">
        <v>72</v>
      </c>
    </row>
    <row r="2060" spans="1:10" x14ac:dyDescent="0.2">
      <c r="A2060" s="1">
        <v>46047</v>
      </c>
      <c r="B2060" t="s">
        <v>15</v>
      </c>
      <c r="C2060" t="s">
        <v>76</v>
      </c>
      <c r="D2060" t="s">
        <v>74</v>
      </c>
      <c r="E2060">
        <v>117788</v>
      </c>
      <c r="F2060">
        <v>3453</v>
      </c>
      <c r="G2060">
        <v>758.46</v>
      </c>
      <c r="H2060">
        <v>91503</v>
      </c>
      <c r="I2060">
        <v>122</v>
      </c>
      <c r="J2060" t="s">
        <v>72</v>
      </c>
    </row>
    <row r="2061" spans="1:10" x14ac:dyDescent="0.2">
      <c r="A2061" s="1">
        <v>46047</v>
      </c>
      <c r="B2061" t="s">
        <v>19</v>
      </c>
      <c r="C2061" t="s">
        <v>26</v>
      </c>
      <c r="D2061" t="s">
        <v>74</v>
      </c>
      <c r="E2061">
        <v>149451</v>
      </c>
      <c r="F2061">
        <v>4355</v>
      </c>
      <c r="G2061">
        <v>915.45</v>
      </c>
      <c r="H2061">
        <v>109307</v>
      </c>
      <c r="I2061">
        <v>208</v>
      </c>
      <c r="J2061" t="s">
        <v>72</v>
      </c>
    </row>
    <row r="2062" spans="1:10" x14ac:dyDescent="0.2">
      <c r="A2062" s="1">
        <v>46047</v>
      </c>
      <c r="B2062" t="s">
        <v>19</v>
      </c>
      <c r="C2062" t="s">
        <v>73</v>
      </c>
      <c r="D2062" t="s">
        <v>12</v>
      </c>
      <c r="E2062">
        <v>75434</v>
      </c>
      <c r="F2062">
        <v>3002</v>
      </c>
      <c r="G2062">
        <v>548.51</v>
      </c>
      <c r="H2062">
        <v>57452</v>
      </c>
      <c r="I2062">
        <v>147</v>
      </c>
      <c r="J2062" t="s">
        <v>72</v>
      </c>
    </row>
    <row r="2063" spans="1:10" x14ac:dyDescent="0.2">
      <c r="A2063" s="1">
        <v>46047</v>
      </c>
      <c r="B2063" t="s">
        <v>18</v>
      </c>
      <c r="C2063" t="s">
        <v>26</v>
      </c>
      <c r="D2063" t="s">
        <v>12</v>
      </c>
      <c r="E2063">
        <v>149752</v>
      </c>
      <c r="F2063">
        <v>5711</v>
      </c>
      <c r="G2063">
        <v>1287.5</v>
      </c>
      <c r="H2063">
        <v>114559</v>
      </c>
      <c r="I2063">
        <v>298</v>
      </c>
      <c r="J2063" t="s">
        <v>72</v>
      </c>
    </row>
    <row r="2064" spans="1:10" x14ac:dyDescent="0.2">
      <c r="A2064" s="1">
        <v>46047</v>
      </c>
      <c r="B2064" t="s">
        <v>18</v>
      </c>
      <c r="C2064" t="s">
        <v>73</v>
      </c>
      <c r="D2064" t="s">
        <v>74</v>
      </c>
      <c r="E2064">
        <v>76349</v>
      </c>
      <c r="F2064">
        <v>2363</v>
      </c>
      <c r="G2064">
        <v>436.43</v>
      </c>
      <c r="H2064">
        <v>62470</v>
      </c>
      <c r="I2064">
        <v>84</v>
      </c>
      <c r="J2064" t="s">
        <v>72</v>
      </c>
    </row>
    <row r="2065" spans="1:10" x14ac:dyDescent="0.2">
      <c r="A2065" s="1">
        <v>46048</v>
      </c>
      <c r="B2065" t="s">
        <v>10</v>
      </c>
      <c r="C2065" t="s">
        <v>26</v>
      </c>
      <c r="D2065" t="s">
        <v>71</v>
      </c>
      <c r="E2065">
        <v>43936</v>
      </c>
      <c r="F2065">
        <v>1497</v>
      </c>
      <c r="G2065">
        <v>271.07</v>
      </c>
      <c r="H2065">
        <v>33369</v>
      </c>
      <c r="I2065">
        <v>42</v>
      </c>
      <c r="J2065" t="s">
        <v>72</v>
      </c>
    </row>
    <row r="2066" spans="1:10" x14ac:dyDescent="0.2">
      <c r="A2066" s="1">
        <v>46048</v>
      </c>
      <c r="B2066" t="s">
        <v>10</v>
      </c>
      <c r="C2066" t="s">
        <v>73</v>
      </c>
      <c r="D2066" t="s">
        <v>71</v>
      </c>
      <c r="E2066">
        <v>90314</v>
      </c>
      <c r="F2066">
        <v>3403</v>
      </c>
      <c r="G2066">
        <v>789.93</v>
      </c>
      <c r="H2066">
        <v>73748</v>
      </c>
      <c r="I2066">
        <v>156</v>
      </c>
      <c r="J2066" t="s">
        <v>72</v>
      </c>
    </row>
    <row r="2067" spans="1:10" x14ac:dyDescent="0.2">
      <c r="A2067" s="1">
        <v>46048</v>
      </c>
      <c r="B2067" t="s">
        <v>15</v>
      </c>
      <c r="C2067" t="s">
        <v>16</v>
      </c>
      <c r="D2067" t="s">
        <v>74</v>
      </c>
      <c r="E2067">
        <v>69688</v>
      </c>
      <c r="F2067">
        <v>2554</v>
      </c>
      <c r="G2067">
        <v>608.96</v>
      </c>
      <c r="H2067">
        <v>52689</v>
      </c>
      <c r="I2067">
        <v>123</v>
      </c>
      <c r="J2067" t="s">
        <v>72</v>
      </c>
    </row>
    <row r="2068" spans="1:10" x14ac:dyDescent="0.2">
      <c r="A2068" s="1">
        <v>46048</v>
      </c>
      <c r="B2068" t="s">
        <v>15</v>
      </c>
      <c r="C2068" t="s">
        <v>76</v>
      </c>
      <c r="D2068" t="s">
        <v>74</v>
      </c>
      <c r="E2068">
        <v>69669</v>
      </c>
      <c r="F2068">
        <v>2036</v>
      </c>
      <c r="G2068">
        <v>382.99</v>
      </c>
      <c r="H2068">
        <v>51490</v>
      </c>
      <c r="I2068">
        <v>106</v>
      </c>
      <c r="J2068" t="s">
        <v>72</v>
      </c>
    </row>
    <row r="2069" spans="1:10" x14ac:dyDescent="0.2">
      <c r="A2069" s="1">
        <v>46048</v>
      </c>
      <c r="B2069" t="s">
        <v>18</v>
      </c>
      <c r="C2069" t="s">
        <v>26</v>
      </c>
      <c r="D2069" t="s">
        <v>12</v>
      </c>
      <c r="E2069">
        <v>33514</v>
      </c>
      <c r="F2069">
        <v>1036</v>
      </c>
      <c r="G2069">
        <v>226.8</v>
      </c>
      <c r="H2069">
        <v>26307</v>
      </c>
      <c r="I2069">
        <v>42</v>
      </c>
      <c r="J2069" t="s">
        <v>72</v>
      </c>
    </row>
    <row r="2070" spans="1:10" x14ac:dyDescent="0.2">
      <c r="A2070" s="1">
        <v>46048</v>
      </c>
      <c r="B2070" t="s">
        <v>18</v>
      </c>
      <c r="C2070" t="s">
        <v>73</v>
      </c>
      <c r="D2070" t="s">
        <v>74</v>
      </c>
      <c r="E2070">
        <v>41284</v>
      </c>
      <c r="F2070">
        <v>1329</v>
      </c>
      <c r="G2070">
        <v>276.17</v>
      </c>
      <c r="H2070">
        <v>31681</v>
      </c>
      <c r="I2070">
        <v>38</v>
      </c>
      <c r="J2070" t="s">
        <v>72</v>
      </c>
    </row>
    <row r="2071" spans="1:10" x14ac:dyDescent="0.2">
      <c r="A2071" s="1">
        <v>46049</v>
      </c>
      <c r="B2071" t="s">
        <v>10</v>
      </c>
      <c r="C2071" t="s">
        <v>26</v>
      </c>
      <c r="D2071" t="s">
        <v>74</v>
      </c>
      <c r="E2071">
        <v>49978</v>
      </c>
      <c r="F2071">
        <v>1916</v>
      </c>
      <c r="G2071">
        <v>396.07</v>
      </c>
      <c r="H2071">
        <v>38408</v>
      </c>
      <c r="I2071">
        <v>54</v>
      </c>
      <c r="J2071" t="s">
        <v>72</v>
      </c>
    </row>
    <row r="2072" spans="1:10" x14ac:dyDescent="0.2">
      <c r="A2072" s="1">
        <v>46049</v>
      </c>
      <c r="B2072" t="s">
        <v>10</v>
      </c>
      <c r="C2072" t="s">
        <v>73</v>
      </c>
      <c r="D2072" t="s">
        <v>71</v>
      </c>
      <c r="E2072">
        <v>106706</v>
      </c>
      <c r="F2072">
        <v>3350</v>
      </c>
      <c r="G2072">
        <v>662.26</v>
      </c>
      <c r="H2072">
        <v>85679</v>
      </c>
      <c r="I2072">
        <v>133</v>
      </c>
      <c r="J2072" t="s">
        <v>72</v>
      </c>
    </row>
    <row r="2073" spans="1:10" x14ac:dyDescent="0.2">
      <c r="A2073" s="1">
        <v>46049</v>
      </c>
      <c r="B2073" t="s">
        <v>15</v>
      </c>
      <c r="C2073" t="s">
        <v>16</v>
      </c>
      <c r="D2073" t="s">
        <v>74</v>
      </c>
      <c r="E2073">
        <v>31032</v>
      </c>
      <c r="F2073">
        <v>913</v>
      </c>
      <c r="G2073">
        <v>210.77</v>
      </c>
      <c r="H2073">
        <v>23682</v>
      </c>
      <c r="I2073">
        <v>36</v>
      </c>
      <c r="J2073" t="s">
        <v>72</v>
      </c>
    </row>
    <row r="2074" spans="1:10" x14ac:dyDescent="0.2">
      <c r="A2074" s="1">
        <v>46049</v>
      </c>
      <c r="B2074" t="s">
        <v>15</v>
      </c>
      <c r="C2074" t="s">
        <v>76</v>
      </c>
      <c r="D2074" t="s">
        <v>74</v>
      </c>
      <c r="E2074">
        <v>105846</v>
      </c>
      <c r="F2074">
        <v>3846</v>
      </c>
      <c r="G2074">
        <v>820.19</v>
      </c>
      <c r="H2074">
        <v>79286</v>
      </c>
      <c r="I2074">
        <v>163</v>
      </c>
      <c r="J2074" t="s">
        <v>72</v>
      </c>
    </row>
    <row r="2075" spans="1:10" x14ac:dyDescent="0.2">
      <c r="A2075" s="1">
        <v>46049</v>
      </c>
      <c r="B2075" t="s">
        <v>18</v>
      </c>
      <c r="C2075" t="s">
        <v>26</v>
      </c>
      <c r="D2075" t="s">
        <v>12</v>
      </c>
      <c r="E2075">
        <v>97286</v>
      </c>
      <c r="F2075">
        <v>3529</v>
      </c>
      <c r="G2075">
        <v>764.7</v>
      </c>
      <c r="H2075">
        <v>76648</v>
      </c>
      <c r="I2075">
        <v>185</v>
      </c>
      <c r="J2075" t="s">
        <v>72</v>
      </c>
    </row>
    <row r="2076" spans="1:10" x14ac:dyDescent="0.2">
      <c r="A2076" s="1">
        <v>46049</v>
      </c>
      <c r="B2076" t="s">
        <v>18</v>
      </c>
      <c r="C2076" t="s">
        <v>73</v>
      </c>
      <c r="D2076" t="s">
        <v>74</v>
      </c>
      <c r="E2076">
        <v>60396</v>
      </c>
      <c r="F2076">
        <v>2295</v>
      </c>
      <c r="G2076">
        <v>485.85</v>
      </c>
      <c r="H2076">
        <v>46033</v>
      </c>
      <c r="I2076">
        <v>86</v>
      </c>
      <c r="J2076" t="s">
        <v>72</v>
      </c>
    </row>
    <row r="2077" spans="1:10" x14ac:dyDescent="0.2">
      <c r="A2077" s="1">
        <v>46050</v>
      </c>
      <c r="B2077" t="s">
        <v>10</v>
      </c>
      <c r="C2077" t="s">
        <v>26</v>
      </c>
      <c r="D2077" t="s">
        <v>74</v>
      </c>
      <c r="E2077">
        <v>65107</v>
      </c>
      <c r="F2077">
        <v>2636</v>
      </c>
      <c r="G2077">
        <v>540.45000000000005</v>
      </c>
      <c r="H2077">
        <v>49958</v>
      </c>
      <c r="I2077">
        <v>112</v>
      </c>
      <c r="J2077" t="s">
        <v>72</v>
      </c>
    </row>
    <row r="2078" spans="1:10" x14ac:dyDescent="0.2">
      <c r="A2078" s="1">
        <v>46050</v>
      </c>
      <c r="B2078" t="s">
        <v>10</v>
      </c>
      <c r="C2078" t="s">
        <v>73</v>
      </c>
      <c r="D2078" t="s">
        <v>71</v>
      </c>
      <c r="E2078">
        <v>88762</v>
      </c>
      <c r="F2078">
        <v>3352</v>
      </c>
      <c r="G2078">
        <v>607.54</v>
      </c>
      <c r="H2078">
        <v>66465</v>
      </c>
      <c r="I2078">
        <v>113</v>
      </c>
      <c r="J2078" t="s">
        <v>72</v>
      </c>
    </row>
    <row r="2079" spans="1:10" x14ac:dyDescent="0.2">
      <c r="A2079" s="1">
        <v>46050</v>
      </c>
      <c r="B2079" t="s">
        <v>15</v>
      </c>
      <c r="C2079" t="s">
        <v>16</v>
      </c>
      <c r="D2079" t="s">
        <v>74</v>
      </c>
      <c r="E2079">
        <v>87424</v>
      </c>
      <c r="F2079">
        <v>2731</v>
      </c>
      <c r="G2079">
        <v>527.58000000000004</v>
      </c>
      <c r="H2079">
        <v>70892</v>
      </c>
      <c r="I2079">
        <v>104</v>
      </c>
      <c r="J2079" t="s">
        <v>72</v>
      </c>
    </row>
    <row r="2080" spans="1:10" x14ac:dyDescent="0.2">
      <c r="A2080" s="1">
        <v>46050</v>
      </c>
      <c r="B2080" t="s">
        <v>15</v>
      </c>
      <c r="C2080" t="s">
        <v>76</v>
      </c>
      <c r="D2080" t="s">
        <v>74</v>
      </c>
      <c r="E2080">
        <v>47191</v>
      </c>
      <c r="F2080">
        <v>1904</v>
      </c>
      <c r="G2080">
        <v>425.31</v>
      </c>
      <c r="H2080">
        <v>35819</v>
      </c>
      <c r="I2080">
        <v>77</v>
      </c>
      <c r="J2080" t="s">
        <v>72</v>
      </c>
    </row>
    <row r="2081" spans="1:10" x14ac:dyDescent="0.2">
      <c r="A2081" s="1">
        <v>46050</v>
      </c>
      <c r="B2081" t="s">
        <v>18</v>
      </c>
      <c r="C2081" t="s">
        <v>26</v>
      </c>
      <c r="D2081" t="s">
        <v>12</v>
      </c>
      <c r="E2081">
        <v>91908</v>
      </c>
      <c r="F2081">
        <v>3602</v>
      </c>
      <c r="G2081">
        <v>830.88</v>
      </c>
      <c r="H2081">
        <v>71888</v>
      </c>
      <c r="I2081">
        <v>131</v>
      </c>
      <c r="J2081" t="s">
        <v>72</v>
      </c>
    </row>
    <row r="2082" spans="1:10" x14ac:dyDescent="0.2">
      <c r="A2082" s="1">
        <v>46050</v>
      </c>
      <c r="B2082" t="s">
        <v>18</v>
      </c>
      <c r="C2082" t="s">
        <v>73</v>
      </c>
      <c r="D2082" t="s">
        <v>74</v>
      </c>
      <c r="E2082">
        <v>93293</v>
      </c>
      <c r="F2082">
        <v>2780</v>
      </c>
      <c r="G2082">
        <v>533.66999999999996</v>
      </c>
      <c r="H2082">
        <v>72822</v>
      </c>
      <c r="I2082">
        <v>86</v>
      </c>
      <c r="J2082" t="s">
        <v>72</v>
      </c>
    </row>
    <row r="2083" spans="1:10" x14ac:dyDescent="0.2">
      <c r="A2083" s="1">
        <v>46051</v>
      </c>
      <c r="B2083" t="s">
        <v>10</v>
      </c>
      <c r="C2083" t="s">
        <v>26</v>
      </c>
      <c r="D2083" t="s">
        <v>12</v>
      </c>
      <c r="E2083">
        <v>94713</v>
      </c>
      <c r="F2083">
        <v>3054</v>
      </c>
      <c r="G2083">
        <v>588.1</v>
      </c>
      <c r="H2083">
        <v>68638</v>
      </c>
      <c r="I2083">
        <v>87</v>
      </c>
      <c r="J2083" t="s">
        <v>72</v>
      </c>
    </row>
    <row r="2084" spans="1:10" x14ac:dyDescent="0.2">
      <c r="A2084" s="1">
        <v>46051</v>
      </c>
      <c r="B2084" t="s">
        <v>10</v>
      </c>
      <c r="C2084" t="s">
        <v>73</v>
      </c>
      <c r="D2084" t="s">
        <v>71</v>
      </c>
      <c r="E2084">
        <v>76798</v>
      </c>
      <c r="F2084">
        <v>2878</v>
      </c>
      <c r="G2084">
        <v>548.21</v>
      </c>
      <c r="H2084">
        <v>61895</v>
      </c>
      <c r="I2084">
        <v>124</v>
      </c>
      <c r="J2084" t="s">
        <v>72</v>
      </c>
    </row>
    <row r="2085" spans="1:10" x14ac:dyDescent="0.2">
      <c r="A2085" s="1">
        <v>46051</v>
      </c>
      <c r="B2085" t="s">
        <v>15</v>
      </c>
      <c r="C2085" t="s">
        <v>16</v>
      </c>
      <c r="D2085" t="s">
        <v>75</v>
      </c>
      <c r="E2085">
        <v>74267</v>
      </c>
      <c r="F2085">
        <v>2527</v>
      </c>
      <c r="G2085">
        <v>548.49</v>
      </c>
      <c r="H2085">
        <v>54368</v>
      </c>
      <c r="I2085">
        <v>87</v>
      </c>
      <c r="J2085" t="s">
        <v>72</v>
      </c>
    </row>
    <row r="2086" spans="1:10" x14ac:dyDescent="0.2">
      <c r="A2086" s="1">
        <v>46051</v>
      </c>
      <c r="B2086" t="s">
        <v>15</v>
      </c>
      <c r="C2086" t="s">
        <v>76</v>
      </c>
      <c r="D2086" t="s">
        <v>74</v>
      </c>
      <c r="E2086">
        <v>74606</v>
      </c>
      <c r="F2086">
        <v>2908</v>
      </c>
      <c r="G2086">
        <v>657.68</v>
      </c>
      <c r="H2086">
        <v>59461</v>
      </c>
      <c r="I2086">
        <v>130</v>
      </c>
      <c r="J2086" t="s">
        <v>72</v>
      </c>
    </row>
    <row r="2087" spans="1:10" x14ac:dyDescent="0.2">
      <c r="A2087" s="1">
        <v>46051</v>
      </c>
      <c r="B2087" t="s">
        <v>18</v>
      </c>
      <c r="C2087" t="s">
        <v>26</v>
      </c>
      <c r="D2087" t="s">
        <v>12</v>
      </c>
      <c r="E2087">
        <v>97552</v>
      </c>
      <c r="F2087">
        <v>3556</v>
      </c>
      <c r="G2087">
        <v>662.3</v>
      </c>
      <c r="H2087">
        <v>70729</v>
      </c>
      <c r="I2087">
        <v>200</v>
      </c>
      <c r="J2087" t="s">
        <v>72</v>
      </c>
    </row>
    <row r="2088" spans="1:10" x14ac:dyDescent="0.2">
      <c r="A2088" s="1">
        <v>46051</v>
      </c>
      <c r="B2088" t="s">
        <v>18</v>
      </c>
      <c r="C2088" t="s">
        <v>73</v>
      </c>
      <c r="D2088" t="s">
        <v>74</v>
      </c>
      <c r="E2088">
        <v>44539</v>
      </c>
      <c r="F2088">
        <v>1854</v>
      </c>
      <c r="G2088">
        <v>420.67</v>
      </c>
      <c r="H2088">
        <v>34783</v>
      </c>
      <c r="I2088">
        <v>99</v>
      </c>
      <c r="J2088" t="s">
        <v>72</v>
      </c>
    </row>
    <row r="2089" spans="1:10" x14ac:dyDescent="0.2">
      <c r="A2089" s="1">
        <v>46052</v>
      </c>
      <c r="B2089" t="s">
        <v>10</v>
      </c>
      <c r="C2089" t="s">
        <v>26</v>
      </c>
      <c r="D2089" t="s">
        <v>74</v>
      </c>
      <c r="E2089">
        <v>103724</v>
      </c>
      <c r="F2089">
        <v>2965</v>
      </c>
      <c r="G2089">
        <v>552.45000000000005</v>
      </c>
      <c r="H2089">
        <v>81215</v>
      </c>
      <c r="I2089">
        <v>160</v>
      </c>
      <c r="J2089" t="s">
        <v>72</v>
      </c>
    </row>
    <row r="2090" spans="1:10" x14ac:dyDescent="0.2">
      <c r="A2090" s="1">
        <v>46052</v>
      </c>
      <c r="B2090" t="s">
        <v>10</v>
      </c>
      <c r="C2090" t="s">
        <v>73</v>
      </c>
      <c r="D2090" t="s">
        <v>71</v>
      </c>
      <c r="E2090">
        <v>50582</v>
      </c>
      <c r="F2090">
        <v>1932</v>
      </c>
      <c r="G2090">
        <v>429.85</v>
      </c>
      <c r="H2090">
        <v>40273</v>
      </c>
      <c r="I2090">
        <v>82</v>
      </c>
      <c r="J2090" t="s">
        <v>72</v>
      </c>
    </row>
    <row r="2091" spans="1:10" x14ac:dyDescent="0.2">
      <c r="A2091" s="1">
        <v>46052</v>
      </c>
      <c r="B2091" t="s">
        <v>15</v>
      </c>
      <c r="C2091" t="s">
        <v>16</v>
      </c>
      <c r="D2091" t="s">
        <v>75</v>
      </c>
      <c r="E2091">
        <v>50223</v>
      </c>
      <c r="F2091">
        <v>1861</v>
      </c>
      <c r="G2091">
        <v>372.34</v>
      </c>
      <c r="H2091">
        <v>36852</v>
      </c>
      <c r="I2091">
        <v>99</v>
      </c>
      <c r="J2091" t="s">
        <v>72</v>
      </c>
    </row>
    <row r="2092" spans="1:10" x14ac:dyDescent="0.2">
      <c r="A2092" s="1">
        <v>46052</v>
      </c>
      <c r="B2092" t="s">
        <v>15</v>
      </c>
      <c r="C2092" t="s">
        <v>76</v>
      </c>
      <c r="D2092" t="s">
        <v>74</v>
      </c>
      <c r="E2092">
        <v>84493</v>
      </c>
      <c r="F2092">
        <v>3275</v>
      </c>
      <c r="G2092">
        <v>590.79</v>
      </c>
      <c r="H2092">
        <v>67888</v>
      </c>
      <c r="I2092">
        <v>138</v>
      </c>
      <c r="J2092" t="s">
        <v>72</v>
      </c>
    </row>
    <row r="2093" spans="1:10" x14ac:dyDescent="0.2">
      <c r="A2093" s="1">
        <v>46052</v>
      </c>
      <c r="B2093" t="s">
        <v>18</v>
      </c>
      <c r="C2093" t="s">
        <v>26</v>
      </c>
      <c r="D2093" t="s">
        <v>12</v>
      </c>
      <c r="E2093">
        <v>96194</v>
      </c>
      <c r="F2093">
        <v>2924</v>
      </c>
      <c r="G2093">
        <v>572.99</v>
      </c>
      <c r="H2093">
        <v>76139</v>
      </c>
      <c r="I2093">
        <v>118</v>
      </c>
      <c r="J2093" t="s">
        <v>72</v>
      </c>
    </row>
    <row r="2094" spans="1:10" x14ac:dyDescent="0.2">
      <c r="A2094" s="1">
        <v>46052</v>
      </c>
      <c r="B2094" t="s">
        <v>18</v>
      </c>
      <c r="C2094" t="s">
        <v>73</v>
      </c>
      <c r="D2094" t="s">
        <v>74</v>
      </c>
      <c r="E2094">
        <v>49871</v>
      </c>
      <c r="F2094">
        <v>1922</v>
      </c>
      <c r="G2094">
        <v>407.04</v>
      </c>
      <c r="H2094">
        <v>39833</v>
      </c>
      <c r="I2094">
        <v>61</v>
      </c>
      <c r="J2094" t="s">
        <v>72</v>
      </c>
    </row>
    <row r="2095" spans="1:10" x14ac:dyDescent="0.2">
      <c r="A2095" s="1">
        <v>46053</v>
      </c>
      <c r="B2095" t="s">
        <v>10</v>
      </c>
      <c r="C2095" t="s">
        <v>26</v>
      </c>
      <c r="D2095" t="s">
        <v>12</v>
      </c>
      <c r="E2095">
        <v>117860</v>
      </c>
      <c r="F2095">
        <v>4814</v>
      </c>
      <c r="G2095">
        <v>1125.92</v>
      </c>
      <c r="H2095">
        <v>96077</v>
      </c>
      <c r="I2095">
        <v>209</v>
      </c>
      <c r="J2095" t="s">
        <v>72</v>
      </c>
    </row>
    <row r="2096" spans="1:10" x14ac:dyDescent="0.2">
      <c r="A2096" s="1">
        <v>46053</v>
      </c>
      <c r="B2096" t="s">
        <v>10</v>
      </c>
      <c r="C2096" t="s">
        <v>73</v>
      </c>
      <c r="D2096" t="s">
        <v>71</v>
      </c>
      <c r="E2096">
        <v>47461</v>
      </c>
      <c r="F2096">
        <v>1622</v>
      </c>
      <c r="G2096">
        <v>366.91</v>
      </c>
      <c r="H2096">
        <v>37577</v>
      </c>
      <c r="I2096">
        <v>70</v>
      </c>
      <c r="J2096" t="s">
        <v>72</v>
      </c>
    </row>
    <row r="2097" spans="1:10" x14ac:dyDescent="0.2">
      <c r="A2097" s="1">
        <v>46053</v>
      </c>
      <c r="B2097" t="s">
        <v>15</v>
      </c>
      <c r="C2097" t="s">
        <v>16</v>
      </c>
      <c r="D2097" t="s">
        <v>75</v>
      </c>
      <c r="E2097">
        <v>57556</v>
      </c>
      <c r="F2097">
        <v>1884</v>
      </c>
      <c r="G2097">
        <v>384.52</v>
      </c>
      <c r="H2097">
        <v>45885</v>
      </c>
      <c r="I2097">
        <v>77</v>
      </c>
      <c r="J2097" t="s">
        <v>72</v>
      </c>
    </row>
    <row r="2098" spans="1:10" x14ac:dyDescent="0.2">
      <c r="A2098" s="1">
        <v>46053</v>
      </c>
      <c r="B2098" t="s">
        <v>15</v>
      </c>
      <c r="C2098" t="s">
        <v>76</v>
      </c>
      <c r="D2098" t="s">
        <v>74</v>
      </c>
      <c r="E2098">
        <v>48805</v>
      </c>
      <c r="F2098">
        <v>1817</v>
      </c>
      <c r="G2098">
        <v>396.99</v>
      </c>
      <c r="H2098">
        <v>39544</v>
      </c>
      <c r="I2098">
        <v>54</v>
      </c>
      <c r="J2098" t="s">
        <v>72</v>
      </c>
    </row>
    <row r="2099" spans="1:10" x14ac:dyDescent="0.2">
      <c r="A2099" s="1">
        <v>46053</v>
      </c>
      <c r="B2099" t="s">
        <v>19</v>
      </c>
      <c r="C2099" t="s">
        <v>26</v>
      </c>
      <c r="D2099" t="s">
        <v>74</v>
      </c>
      <c r="E2099">
        <v>118942</v>
      </c>
      <c r="F2099">
        <v>3999</v>
      </c>
      <c r="G2099">
        <v>883.19</v>
      </c>
      <c r="H2099">
        <v>92222</v>
      </c>
      <c r="I2099">
        <v>148</v>
      </c>
      <c r="J2099" t="s">
        <v>72</v>
      </c>
    </row>
    <row r="2100" spans="1:10" x14ac:dyDescent="0.2">
      <c r="A2100" s="1">
        <v>46053</v>
      </c>
      <c r="B2100" t="s">
        <v>19</v>
      </c>
      <c r="C2100" t="s">
        <v>73</v>
      </c>
      <c r="D2100" t="s">
        <v>74</v>
      </c>
      <c r="E2100">
        <v>105152</v>
      </c>
      <c r="F2100">
        <v>2955</v>
      </c>
      <c r="G2100">
        <v>581.51</v>
      </c>
      <c r="H2100">
        <v>81259</v>
      </c>
      <c r="I2100">
        <v>164</v>
      </c>
      <c r="J2100" t="s">
        <v>72</v>
      </c>
    </row>
    <row r="2101" spans="1:10" x14ac:dyDescent="0.2">
      <c r="A2101" s="1">
        <v>46053</v>
      </c>
      <c r="B2101" t="s">
        <v>18</v>
      </c>
      <c r="C2101" t="s">
        <v>26</v>
      </c>
      <c r="D2101" t="s">
        <v>12</v>
      </c>
      <c r="E2101">
        <v>123874</v>
      </c>
      <c r="F2101">
        <v>4585</v>
      </c>
      <c r="G2101">
        <v>1069.47</v>
      </c>
      <c r="H2101">
        <v>96923</v>
      </c>
      <c r="I2101">
        <v>213</v>
      </c>
      <c r="J2101" t="s">
        <v>72</v>
      </c>
    </row>
    <row r="2102" spans="1:10" x14ac:dyDescent="0.2">
      <c r="A2102" s="1">
        <v>46053</v>
      </c>
      <c r="B2102" t="s">
        <v>18</v>
      </c>
      <c r="C2102" t="s">
        <v>73</v>
      </c>
      <c r="D2102" t="s">
        <v>74</v>
      </c>
      <c r="E2102">
        <v>105352</v>
      </c>
      <c r="F2102">
        <v>4259</v>
      </c>
      <c r="G2102">
        <v>966.34</v>
      </c>
      <c r="H2102">
        <v>80114</v>
      </c>
      <c r="I2102">
        <v>144</v>
      </c>
      <c r="J2102" t="s">
        <v>72</v>
      </c>
    </row>
    <row r="2103" spans="1:10" x14ac:dyDescent="0.2">
      <c r="A2103" s="1">
        <v>46054</v>
      </c>
      <c r="B2103" t="s">
        <v>10</v>
      </c>
      <c r="C2103" t="s">
        <v>26</v>
      </c>
      <c r="D2103" t="s">
        <v>12</v>
      </c>
      <c r="E2103">
        <v>57464</v>
      </c>
      <c r="F2103">
        <v>1638</v>
      </c>
      <c r="G2103">
        <v>327.71</v>
      </c>
      <c r="H2103">
        <v>45540</v>
      </c>
      <c r="I2103">
        <v>82</v>
      </c>
      <c r="J2103" t="s">
        <v>72</v>
      </c>
    </row>
    <row r="2104" spans="1:10" x14ac:dyDescent="0.2">
      <c r="A2104" s="1">
        <v>46054</v>
      </c>
      <c r="B2104" t="s">
        <v>10</v>
      </c>
      <c r="C2104" t="s">
        <v>73</v>
      </c>
      <c r="D2104" t="s">
        <v>74</v>
      </c>
      <c r="E2104">
        <v>137506</v>
      </c>
      <c r="F2104">
        <v>5759</v>
      </c>
      <c r="G2104">
        <v>1134.73</v>
      </c>
      <c r="H2104">
        <v>100280</v>
      </c>
      <c r="I2104">
        <v>256</v>
      </c>
      <c r="J2104" t="s">
        <v>72</v>
      </c>
    </row>
    <row r="2105" spans="1:10" x14ac:dyDescent="0.2">
      <c r="A2105" s="1">
        <v>46054</v>
      </c>
      <c r="B2105" t="s">
        <v>15</v>
      </c>
      <c r="C2105" t="s">
        <v>16</v>
      </c>
      <c r="D2105" t="s">
        <v>74</v>
      </c>
      <c r="E2105">
        <v>71365</v>
      </c>
      <c r="F2105">
        <v>2021</v>
      </c>
      <c r="G2105">
        <v>471.74</v>
      </c>
      <c r="H2105">
        <v>55236</v>
      </c>
      <c r="I2105">
        <v>72</v>
      </c>
      <c r="J2105" t="s">
        <v>72</v>
      </c>
    </row>
    <row r="2106" spans="1:10" x14ac:dyDescent="0.2">
      <c r="A2106" s="1">
        <v>46054</v>
      </c>
      <c r="B2106" t="s">
        <v>15</v>
      </c>
      <c r="C2106" t="s">
        <v>76</v>
      </c>
      <c r="D2106" t="s">
        <v>74</v>
      </c>
      <c r="E2106">
        <v>119573</v>
      </c>
      <c r="F2106">
        <v>5000</v>
      </c>
      <c r="G2106">
        <v>933.13</v>
      </c>
      <c r="H2106">
        <v>86809</v>
      </c>
      <c r="I2106">
        <v>195</v>
      </c>
      <c r="J2106" t="s">
        <v>72</v>
      </c>
    </row>
    <row r="2107" spans="1:10" x14ac:dyDescent="0.2">
      <c r="A2107" s="1">
        <v>46054</v>
      </c>
      <c r="B2107" t="s">
        <v>19</v>
      </c>
      <c r="C2107" t="s">
        <v>26</v>
      </c>
      <c r="D2107" t="s">
        <v>74</v>
      </c>
      <c r="E2107">
        <v>64719</v>
      </c>
      <c r="F2107">
        <v>1855</v>
      </c>
      <c r="G2107">
        <v>406.35</v>
      </c>
      <c r="H2107">
        <v>47405</v>
      </c>
      <c r="I2107">
        <v>68</v>
      </c>
      <c r="J2107" t="s">
        <v>72</v>
      </c>
    </row>
    <row r="2108" spans="1:10" x14ac:dyDescent="0.2">
      <c r="A2108" s="1">
        <v>46054</v>
      </c>
      <c r="B2108" t="s">
        <v>19</v>
      </c>
      <c r="C2108" t="s">
        <v>73</v>
      </c>
      <c r="D2108" t="s">
        <v>12</v>
      </c>
      <c r="E2108">
        <v>125151</v>
      </c>
      <c r="F2108">
        <v>4098</v>
      </c>
      <c r="G2108">
        <v>795.69</v>
      </c>
      <c r="H2108">
        <v>99441</v>
      </c>
      <c r="I2108">
        <v>186</v>
      </c>
      <c r="J2108" t="s">
        <v>72</v>
      </c>
    </row>
    <row r="2109" spans="1:10" x14ac:dyDescent="0.2">
      <c r="A2109" s="1">
        <v>46054</v>
      </c>
      <c r="B2109" t="s">
        <v>20</v>
      </c>
      <c r="C2109" t="s">
        <v>77</v>
      </c>
      <c r="D2109" t="s">
        <v>12</v>
      </c>
      <c r="E2109">
        <v>106286</v>
      </c>
      <c r="F2109">
        <v>3421</v>
      </c>
      <c r="G2109">
        <v>752.67</v>
      </c>
      <c r="H2109">
        <v>85189</v>
      </c>
      <c r="I2109">
        <v>154</v>
      </c>
      <c r="J2109" t="s">
        <v>72</v>
      </c>
    </row>
    <row r="2110" spans="1:10" x14ac:dyDescent="0.2">
      <c r="A2110" s="1">
        <v>46054</v>
      </c>
      <c r="B2110" t="s">
        <v>20</v>
      </c>
      <c r="C2110" t="s">
        <v>73</v>
      </c>
      <c r="D2110" t="s">
        <v>71</v>
      </c>
      <c r="E2110">
        <v>111301</v>
      </c>
      <c r="F2110">
        <v>3926</v>
      </c>
      <c r="G2110">
        <v>765.01</v>
      </c>
      <c r="H2110">
        <v>83785</v>
      </c>
      <c r="I2110">
        <v>178</v>
      </c>
      <c r="J2110" t="s">
        <v>72</v>
      </c>
    </row>
    <row r="2111" spans="1:10" x14ac:dyDescent="0.2">
      <c r="A2111" s="1">
        <v>46055</v>
      </c>
      <c r="B2111" t="s">
        <v>10</v>
      </c>
      <c r="C2111" t="s">
        <v>26</v>
      </c>
      <c r="D2111" t="s">
        <v>12</v>
      </c>
      <c r="E2111">
        <v>89547</v>
      </c>
      <c r="F2111">
        <v>2630</v>
      </c>
      <c r="G2111">
        <v>585.70000000000005</v>
      </c>
      <c r="H2111">
        <v>71892</v>
      </c>
      <c r="I2111">
        <v>80</v>
      </c>
      <c r="J2111" t="s">
        <v>72</v>
      </c>
    </row>
    <row r="2112" spans="1:10" x14ac:dyDescent="0.2">
      <c r="A2112" s="1">
        <v>46055</v>
      </c>
      <c r="B2112" t="s">
        <v>10</v>
      </c>
      <c r="C2112" t="s">
        <v>73</v>
      </c>
      <c r="D2112" t="s">
        <v>74</v>
      </c>
      <c r="E2112">
        <v>85690</v>
      </c>
      <c r="F2112">
        <v>3465</v>
      </c>
      <c r="G2112">
        <v>722.71</v>
      </c>
      <c r="H2112">
        <v>65519</v>
      </c>
      <c r="I2112">
        <v>135</v>
      </c>
      <c r="J2112" t="s">
        <v>72</v>
      </c>
    </row>
    <row r="2113" spans="1:10" x14ac:dyDescent="0.2">
      <c r="A2113" s="1">
        <v>46055</v>
      </c>
      <c r="B2113" t="s">
        <v>15</v>
      </c>
      <c r="C2113" t="s">
        <v>16</v>
      </c>
      <c r="D2113" t="s">
        <v>74</v>
      </c>
      <c r="E2113">
        <v>107101</v>
      </c>
      <c r="F2113">
        <v>3836</v>
      </c>
      <c r="G2113">
        <v>869.73</v>
      </c>
      <c r="H2113">
        <v>86452</v>
      </c>
      <c r="I2113">
        <v>174</v>
      </c>
      <c r="J2113" t="s">
        <v>72</v>
      </c>
    </row>
    <row r="2114" spans="1:10" x14ac:dyDescent="0.2">
      <c r="A2114" s="1">
        <v>46055</v>
      </c>
      <c r="B2114" t="s">
        <v>15</v>
      </c>
      <c r="C2114" t="s">
        <v>76</v>
      </c>
      <c r="D2114" t="s">
        <v>74</v>
      </c>
      <c r="E2114">
        <v>87682</v>
      </c>
      <c r="F2114">
        <v>3300</v>
      </c>
      <c r="G2114">
        <v>781.67</v>
      </c>
      <c r="H2114">
        <v>69546</v>
      </c>
      <c r="I2114">
        <v>133</v>
      </c>
      <c r="J2114" t="s">
        <v>72</v>
      </c>
    </row>
    <row r="2115" spans="1:10" x14ac:dyDescent="0.2">
      <c r="A2115" s="1">
        <v>46055</v>
      </c>
      <c r="B2115" t="s">
        <v>20</v>
      </c>
      <c r="C2115" t="s">
        <v>77</v>
      </c>
      <c r="D2115" t="s">
        <v>12</v>
      </c>
      <c r="E2115">
        <v>48919</v>
      </c>
      <c r="F2115">
        <v>1716</v>
      </c>
      <c r="G2115">
        <v>358.79</v>
      </c>
      <c r="H2115">
        <v>37460</v>
      </c>
      <c r="I2115">
        <v>97</v>
      </c>
      <c r="J2115" t="s">
        <v>72</v>
      </c>
    </row>
    <row r="2116" spans="1:10" x14ac:dyDescent="0.2">
      <c r="A2116" s="1">
        <v>46055</v>
      </c>
      <c r="B2116" t="s">
        <v>20</v>
      </c>
      <c r="C2116" t="s">
        <v>73</v>
      </c>
      <c r="D2116" t="s">
        <v>71</v>
      </c>
      <c r="E2116">
        <v>57871</v>
      </c>
      <c r="F2116">
        <v>1989</v>
      </c>
      <c r="G2116">
        <v>361.91</v>
      </c>
      <c r="H2116">
        <v>42574</v>
      </c>
      <c r="I2116">
        <v>89</v>
      </c>
      <c r="J2116" t="s">
        <v>72</v>
      </c>
    </row>
    <row r="2117" spans="1:10" x14ac:dyDescent="0.2">
      <c r="A2117" s="1">
        <v>46056</v>
      </c>
      <c r="B2117" t="s">
        <v>10</v>
      </c>
      <c r="C2117" t="s">
        <v>26</v>
      </c>
      <c r="D2117" t="s">
        <v>74</v>
      </c>
      <c r="E2117">
        <v>108852</v>
      </c>
      <c r="F2117">
        <v>4346</v>
      </c>
      <c r="G2117">
        <v>811.05</v>
      </c>
      <c r="H2117">
        <v>82396</v>
      </c>
      <c r="I2117">
        <v>159</v>
      </c>
      <c r="J2117" t="s">
        <v>72</v>
      </c>
    </row>
    <row r="2118" spans="1:10" x14ac:dyDescent="0.2">
      <c r="A2118" s="1">
        <v>46056</v>
      </c>
      <c r="B2118" t="s">
        <v>10</v>
      </c>
      <c r="C2118" t="s">
        <v>73</v>
      </c>
      <c r="D2118" t="s">
        <v>74</v>
      </c>
      <c r="E2118">
        <v>45432</v>
      </c>
      <c r="F2118">
        <v>1508</v>
      </c>
      <c r="G2118">
        <v>361.11</v>
      </c>
      <c r="H2118">
        <v>34088</v>
      </c>
      <c r="I2118">
        <v>64</v>
      </c>
      <c r="J2118" t="s">
        <v>72</v>
      </c>
    </row>
    <row r="2119" spans="1:10" x14ac:dyDescent="0.2">
      <c r="A2119" s="1">
        <v>46056</v>
      </c>
      <c r="B2119" t="s">
        <v>15</v>
      </c>
      <c r="C2119" t="s">
        <v>16</v>
      </c>
      <c r="D2119" t="s">
        <v>75</v>
      </c>
      <c r="E2119">
        <v>48630</v>
      </c>
      <c r="F2119">
        <v>1895</v>
      </c>
      <c r="G2119">
        <v>389.05</v>
      </c>
      <c r="H2119">
        <v>39569</v>
      </c>
      <c r="I2119">
        <v>70</v>
      </c>
      <c r="J2119" t="s">
        <v>72</v>
      </c>
    </row>
    <row r="2120" spans="1:10" x14ac:dyDescent="0.2">
      <c r="A2120" s="1">
        <v>46056</v>
      </c>
      <c r="B2120" t="s">
        <v>15</v>
      </c>
      <c r="C2120" t="s">
        <v>76</v>
      </c>
      <c r="D2120" t="s">
        <v>74</v>
      </c>
      <c r="E2120">
        <v>58256</v>
      </c>
      <c r="F2120">
        <v>1780</v>
      </c>
      <c r="G2120">
        <v>399.4</v>
      </c>
      <c r="H2120">
        <v>41956</v>
      </c>
      <c r="I2120">
        <v>79</v>
      </c>
      <c r="J2120" t="s">
        <v>72</v>
      </c>
    </row>
    <row r="2121" spans="1:10" x14ac:dyDescent="0.2">
      <c r="A2121" s="1">
        <v>46056</v>
      </c>
      <c r="B2121" t="s">
        <v>20</v>
      </c>
      <c r="C2121" t="s">
        <v>77</v>
      </c>
      <c r="D2121" t="s">
        <v>12</v>
      </c>
      <c r="E2121">
        <v>35856</v>
      </c>
      <c r="F2121">
        <v>1213</v>
      </c>
      <c r="G2121">
        <v>260.05</v>
      </c>
      <c r="H2121">
        <v>27844</v>
      </c>
      <c r="I2121">
        <v>66</v>
      </c>
      <c r="J2121" t="s">
        <v>72</v>
      </c>
    </row>
    <row r="2122" spans="1:10" x14ac:dyDescent="0.2">
      <c r="A2122" s="1">
        <v>46056</v>
      </c>
      <c r="B2122" t="s">
        <v>20</v>
      </c>
      <c r="C2122" t="s">
        <v>73</v>
      </c>
      <c r="D2122" t="s">
        <v>71</v>
      </c>
      <c r="E2122">
        <v>92289</v>
      </c>
      <c r="F2122">
        <v>3662</v>
      </c>
      <c r="G2122">
        <v>842.34</v>
      </c>
      <c r="H2122">
        <v>67673</v>
      </c>
      <c r="I2122">
        <v>117</v>
      </c>
      <c r="J2122" t="s">
        <v>72</v>
      </c>
    </row>
    <row r="2123" spans="1:10" x14ac:dyDescent="0.2">
      <c r="A2123" s="1">
        <v>46057</v>
      </c>
      <c r="B2123" t="s">
        <v>10</v>
      </c>
      <c r="C2123" t="s">
        <v>26</v>
      </c>
      <c r="D2123" t="s">
        <v>71</v>
      </c>
      <c r="E2123">
        <v>90415</v>
      </c>
      <c r="F2123">
        <v>3495</v>
      </c>
      <c r="G2123">
        <v>769.02</v>
      </c>
      <c r="H2123">
        <v>66445</v>
      </c>
      <c r="I2123">
        <v>174</v>
      </c>
      <c r="J2123" t="s">
        <v>72</v>
      </c>
    </row>
    <row r="2124" spans="1:10" x14ac:dyDescent="0.2">
      <c r="A2124" s="1">
        <v>46057</v>
      </c>
      <c r="B2124" t="s">
        <v>10</v>
      </c>
      <c r="C2124" t="s">
        <v>73</v>
      </c>
      <c r="D2124" t="s">
        <v>74</v>
      </c>
      <c r="E2124">
        <v>83690</v>
      </c>
      <c r="F2124">
        <v>2797</v>
      </c>
      <c r="G2124">
        <v>654.54</v>
      </c>
      <c r="H2124">
        <v>63093</v>
      </c>
      <c r="I2124">
        <v>82</v>
      </c>
      <c r="J2124" t="s">
        <v>72</v>
      </c>
    </row>
    <row r="2125" spans="1:10" x14ac:dyDescent="0.2">
      <c r="A2125" s="1">
        <v>46057</v>
      </c>
      <c r="B2125" t="s">
        <v>15</v>
      </c>
      <c r="C2125" t="s">
        <v>16</v>
      </c>
      <c r="D2125" t="s">
        <v>74</v>
      </c>
      <c r="E2125">
        <v>66356</v>
      </c>
      <c r="F2125">
        <v>2458</v>
      </c>
      <c r="G2125">
        <v>570.15</v>
      </c>
      <c r="H2125">
        <v>52469</v>
      </c>
      <c r="I2125">
        <v>111</v>
      </c>
      <c r="J2125" t="s">
        <v>72</v>
      </c>
    </row>
    <row r="2126" spans="1:10" x14ac:dyDescent="0.2">
      <c r="A2126" s="1">
        <v>46057</v>
      </c>
      <c r="B2126" t="s">
        <v>15</v>
      </c>
      <c r="C2126" t="s">
        <v>76</v>
      </c>
      <c r="D2126" t="s">
        <v>74</v>
      </c>
      <c r="E2126">
        <v>103537</v>
      </c>
      <c r="F2126">
        <v>3834</v>
      </c>
      <c r="G2126">
        <v>838.25</v>
      </c>
      <c r="H2126">
        <v>75428</v>
      </c>
      <c r="I2126">
        <v>217</v>
      </c>
      <c r="J2126" t="s">
        <v>72</v>
      </c>
    </row>
    <row r="2127" spans="1:10" x14ac:dyDescent="0.2">
      <c r="A2127" s="1">
        <v>46057</v>
      </c>
      <c r="B2127" t="s">
        <v>20</v>
      </c>
      <c r="C2127" t="s">
        <v>77</v>
      </c>
      <c r="D2127" t="s">
        <v>12</v>
      </c>
      <c r="E2127">
        <v>104743</v>
      </c>
      <c r="F2127">
        <v>3697</v>
      </c>
      <c r="G2127">
        <v>831.95</v>
      </c>
      <c r="H2127">
        <v>80679</v>
      </c>
      <c r="I2127">
        <v>105</v>
      </c>
      <c r="J2127" t="s">
        <v>72</v>
      </c>
    </row>
    <row r="2128" spans="1:10" x14ac:dyDescent="0.2">
      <c r="A2128" s="1">
        <v>46057</v>
      </c>
      <c r="B2128" t="s">
        <v>20</v>
      </c>
      <c r="C2128" t="s">
        <v>73</v>
      </c>
      <c r="D2128" t="s">
        <v>71</v>
      </c>
      <c r="E2128">
        <v>32486</v>
      </c>
      <c r="F2128">
        <v>1034</v>
      </c>
      <c r="G2128">
        <v>198.89</v>
      </c>
      <c r="H2128">
        <v>26085</v>
      </c>
      <c r="I2128">
        <v>54</v>
      </c>
      <c r="J2128" t="s">
        <v>72</v>
      </c>
    </row>
    <row r="2129" spans="1:10" x14ac:dyDescent="0.2">
      <c r="A2129" s="1">
        <v>46058</v>
      </c>
      <c r="B2129" t="s">
        <v>10</v>
      </c>
      <c r="C2129" t="s">
        <v>26</v>
      </c>
      <c r="D2129" t="s">
        <v>71</v>
      </c>
      <c r="E2129">
        <v>88226</v>
      </c>
      <c r="F2129">
        <v>2574</v>
      </c>
      <c r="G2129">
        <v>545.72</v>
      </c>
      <c r="H2129">
        <v>66349</v>
      </c>
      <c r="I2129">
        <v>117</v>
      </c>
      <c r="J2129" t="s">
        <v>72</v>
      </c>
    </row>
    <row r="2130" spans="1:10" x14ac:dyDescent="0.2">
      <c r="A2130" s="1">
        <v>46058</v>
      </c>
      <c r="B2130" t="s">
        <v>10</v>
      </c>
      <c r="C2130" t="s">
        <v>73</v>
      </c>
      <c r="D2130" t="s">
        <v>71</v>
      </c>
      <c r="E2130">
        <v>33049</v>
      </c>
      <c r="F2130">
        <v>1082</v>
      </c>
      <c r="G2130">
        <v>206.48</v>
      </c>
      <c r="H2130">
        <v>23874</v>
      </c>
      <c r="I2130">
        <v>47</v>
      </c>
      <c r="J2130" t="s">
        <v>72</v>
      </c>
    </row>
    <row r="2131" spans="1:10" x14ac:dyDescent="0.2">
      <c r="A2131" s="1">
        <v>46058</v>
      </c>
      <c r="B2131" t="s">
        <v>15</v>
      </c>
      <c r="C2131" t="s">
        <v>16</v>
      </c>
      <c r="D2131" t="s">
        <v>74</v>
      </c>
      <c r="E2131">
        <v>63708</v>
      </c>
      <c r="F2131">
        <v>1865</v>
      </c>
      <c r="G2131">
        <v>445.34</v>
      </c>
      <c r="H2131">
        <v>49321</v>
      </c>
      <c r="I2131">
        <v>68</v>
      </c>
      <c r="J2131" t="s">
        <v>72</v>
      </c>
    </row>
    <row r="2132" spans="1:10" x14ac:dyDescent="0.2">
      <c r="A2132" s="1">
        <v>46058</v>
      </c>
      <c r="B2132" t="s">
        <v>15</v>
      </c>
      <c r="C2132" t="s">
        <v>76</v>
      </c>
      <c r="D2132" t="s">
        <v>75</v>
      </c>
      <c r="E2132">
        <v>63496</v>
      </c>
      <c r="F2132">
        <v>2460</v>
      </c>
      <c r="G2132">
        <v>465.56</v>
      </c>
      <c r="H2132">
        <v>51762</v>
      </c>
      <c r="I2132">
        <v>118</v>
      </c>
      <c r="J2132" t="s">
        <v>72</v>
      </c>
    </row>
    <row r="2133" spans="1:10" x14ac:dyDescent="0.2">
      <c r="A2133" s="1">
        <v>46058</v>
      </c>
      <c r="B2133" t="s">
        <v>20</v>
      </c>
      <c r="C2133" t="s">
        <v>77</v>
      </c>
      <c r="D2133" t="s">
        <v>12</v>
      </c>
      <c r="E2133">
        <v>72636</v>
      </c>
      <c r="F2133">
        <v>2218</v>
      </c>
      <c r="G2133">
        <v>494.17</v>
      </c>
      <c r="H2133">
        <v>54462</v>
      </c>
      <c r="I2133">
        <v>68</v>
      </c>
      <c r="J2133" t="s">
        <v>72</v>
      </c>
    </row>
    <row r="2134" spans="1:10" x14ac:dyDescent="0.2">
      <c r="A2134" s="1">
        <v>46058</v>
      </c>
      <c r="B2134" t="s">
        <v>20</v>
      </c>
      <c r="C2134" t="s">
        <v>73</v>
      </c>
      <c r="D2134" t="s">
        <v>71</v>
      </c>
      <c r="E2134">
        <v>84109</v>
      </c>
      <c r="F2134">
        <v>3406</v>
      </c>
      <c r="G2134">
        <v>665.79</v>
      </c>
      <c r="H2134">
        <v>68477</v>
      </c>
      <c r="I2134">
        <v>187</v>
      </c>
      <c r="J2134" t="s">
        <v>72</v>
      </c>
    </row>
    <row r="2135" spans="1:10" x14ac:dyDescent="0.2">
      <c r="A2135" s="1">
        <v>46059</v>
      </c>
      <c r="B2135" t="s">
        <v>10</v>
      </c>
      <c r="C2135" t="s">
        <v>26</v>
      </c>
      <c r="D2135" t="s">
        <v>74</v>
      </c>
      <c r="E2135">
        <v>56549</v>
      </c>
      <c r="F2135">
        <v>1773</v>
      </c>
      <c r="G2135">
        <v>382.65</v>
      </c>
      <c r="H2135">
        <v>42052</v>
      </c>
      <c r="I2135">
        <v>76</v>
      </c>
      <c r="J2135" t="s">
        <v>72</v>
      </c>
    </row>
    <row r="2136" spans="1:10" x14ac:dyDescent="0.2">
      <c r="A2136" s="1">
        <v>46059</v>
      </c>
      <c r="B2136" t="s">
        <v>10</v>
      </c>
      <c r="C2136" t="s">
        <v>73</v>
      </c>
      <c r="D2136" t="s">
        <v>71</v>
      </c>
      <c r="E2136">
        <v>45083</v>
      </c>
      <c r="F2136">
        <v>1432</v>
      </c>
      <c r="G2136">
        <v>285.11</v>
      </c>
      <c r="H2136">
        <v>34953</v>
      </c>
      <c r="I2136">
        <v>42</v>
      </c>
      <c r="J2136" t="s">
        <v>72</v>
      </c>
    </row>
    <row r="2137" spans="1:10" x14ac:dyDescent="0.2">
      <c r="A2137" s="1">
        <v>46059</v>
      </c>
      <c r="B2137" t="s">
        <v>15</v>
      </c>
      <c r="C2137" t="s">
        <v>16</v>
      </c>
      <c r="D2137" t="s">
        <v>75</v>
      </c>
      <c r="E2137">
        <v>83411</v>
      </c>
      <c r="F2137">
        <v>3075</v>
      </c>
      <c r="G2137">
        <v>722.08</v>
      </c>
      <c r="H2137">
        <v>60211</v>
      </c>
      <c r="I2137">
        <v>137</v>
      </c>
      <c r="J2137" t="s">
        <v>72</v>
      </c>
    </row>
    <row r="2138" spans="1:10" x14ac:dyDescent="0.2">
      <c r="A2138" s="1">
        <v>46059</v>
      </c>
      <c r="B2138" t="s">
        <v>15</v>
      </c>
      <c r="C2138" t="s">
        <v>76</v>
      </c>
      <c r="D2138" t="s">
        <v>75</v>
      </c>
      <c r="E2138">
        <v>62285</v>
      </c>
      <c r="F2138">
        <v>2409</v>
      </c>
      <c r="G2138">
        <v>527.79999999999995</v>
      </c>
      <c r="H2138">
        <v>45627</v>
      </c>
      <c r="I2138">
        <v>108</v>
      </c>
      <c r="J2138" t="s">
        <v>72</v>
      </c>
    </row>
    <row r="2139" spans="1:10" x14ac:dyDescent="0.2">
      <c r="A2139" s="1">
        <v>46059</v>
      </c>
      <c r="B2139" t="s">
        <v>20</v>
      </c>
      <c r="C2139" t="s">
        <v>77</v>
      </c>
      <c r="D2139" t="s">
        <v>74</v>
      </c>
      <c r="E2139">
        <v>40998</v>
      </c>
      <c r="F2139">
        <v>1633</v>
      </c>
      <c r="G2139">
        <v>342.97</v>
      </c>
      <c r="H2139">
        <v>32728</v>
      </c>
      <c r="I2139">
        <v>52</v>
      </c>
      <c r="J2139" t="s">
        <v>72</v>
      </c>
    </row>
    <row r="2140" spans="1:10" x14ac:dyDescent="0.2">
      <c r="A2140" s="1">
        <v>46059</v>
      </c>
      <c r="B2140" t="s">
        <v>20</v>
      </c>
      <c r="C2140" t="s">
        <v>73</v>
      </c>
      <c r="D2140" t="s">
        <v>71</v>
      </c>
      <c r="E2140">
        <v>62133</v>
      </c>
      <c r="F2140">
        <v>2207</v>
      </c>
      <c r="G2140">
        <v>453.37</v>
      </c>
      <c r="H2140">
        <v>50399</v>
      </c>
      <c r="I2140">
        <v>91</v>
      </c>
      <c r="J2140" t="s">
        <v>72</v>
      </c>
    </row>
    <row r="2141" spans="1:10" x14ac:dyDescent="0.2">
      <c r="A2141" s="1">
        <v>46060</v>
      </c>
      <c r="B2141" t="s">
        <v>10</v>
      </c>
      <c r="C2141" t="s">
        <v>26</v>
      </c>
      <c r="D2141" t="s">
        <v>74</v>
      </c>
      <c r="E2141">
        <v>127262</v>
      </c>
      <c r="F2141">
        <v>5275</v>
      </c>
      <c r="G2141">
        <v>1145.96</v>
      </c>
      <c r="H2141">
        <v>99939</v>
      </c>
      <c r="I2141">
        <v>174</v>
      </c>
      <c r="J2141" t="s">
        <v>72</v>
      </c>
    </row>
    <row r="2142" spans="1:10" x14ac:dyDescent="0.2">
      <c r="A2142" s="1">
        <v>46060</v>
      </c>
      <c r="B2142" t="s">
        <v>10</v>
      </c>
      <c r="C2142" t="s">
        <v>73</v>
      </c>
      <c r="D2142" t="s">
        <v>74</v>
      </c>
      <c r="E2142">
        <v>130481</v>
      </c>
      <c r="F2142">
        <v>4152</v>
      </c>
      <c r="G2142">
        <v>809.86</v>
      </c>
      <c r="H2142">
        <v>102818</v>
      </c>
      <c r="I2142">
        <v>240</v>
      </c>
      <c r="J2142" t="s">
        <v>72</v>
      </c>
    </row>
    <row r="2143" spans="1:10" x14ac:dyDescent="0.2">
      <c r="A2143" s="1">
        <v>46060</v>
      </c>
      <c r="B2143" t="s">
        <v>15</v>
      </c>
      <c r="C2143" t="s">
        <v>16</v>
      </c>
      <c r="D2143" t="s">
        <v>75</v>
      </c>
      <c r="E2143">
        <v>149375</v>
      </c>
      <c r="F2143">
        <v>5940</v>
      </c>
      <c r="G2143">
        <v>1169.46</v>
      </c>
      <c r="H2143">
        <v>109961</v>
      </c>
      <c r="I2143">
        <v>261</v>
      </c>
      <c r="J2143" t="s">
        <v>72</v>
      </c>
    </row>
    <row r="2144" spans="1:10" x14ac:dyDescent="0.2">
      <c r="A2144" s="1">
        <v>46060</v>
      </c>
      <c r="B2144" t="s">
        <v>15</v>
      </c>
      <c r="C2144" t="s">
        <v>76</v>
      </c>
      <c r="D2144" t="s">
        <v>75</v>
      </c>
      <c r="E2144">
        <v>97167</v>
      </c>
      <c r="F2144">
        <v>2842</v>
      </c>
      <c r="G2144">
        <v>630.66</v>
      </c>
      <c r="H2144">
        <v>78029</v>
      </c>
      <c r="I2144">
        <v>141</v>
      </c>
      <c r="J2144" t="s">
        <v>72</v>
      </c>
    </row>
    <row r="2145" spans="1:10" x14ac:dyDescent="0.2">
      <c r="A2145" s="1">
        <v>46060</v>
      </c>
      <c r="B2145" t="s">
        <v>19</v>
      </c>
      <c r="C2145" t="s">
        <v>26</v>
      </c>
      <c r="D2145" t="s">
        <v>74</v>
      </c>
      <c r="E2145">
        <v>121265</v>
      </c>
      <c r="F2145">
        <v>3753</v>
      </c>
      <c r="G2145">
        <v>789.22</v>
      </c>
      <c r="H2145">
        <v>97036</v>
      </c>
      <c r="I2145">
        <v>204</v>
      </c>
      <c r="J2145" t="s">
        <v>72</v>
      </c>
    </row>
    <row r="2146" spans="1:10" x14ac:dyDescent="0.2">
      <c r="A2146" s="1">
        <v>46060</v>
      </c>
      <c r="B2146" t="s">
        <v>19</v>
      </c>
      <c r="C2146" t="s">
        <v>73</v>
      </c>
      <c r="D2146" t="s">
        <v>74</v>
      </c>
      <c r="E2146">
        <v>89959</v>
      </c>
      <c r="F2146">
        <v>3752</v>
      </c>
      <c r="G2146">
        <v>834.69</v>
      </c>
      <c r="H2146">
        <v>67226</v>
      </c>
      <c r="I2146">
        <v>179</v>
      </c>
      <c r="J2146" t="s">
        <v>72</v>
      </c>
    </row>
    <row r="2147" spans="1:10" x14ac:dyDescent="0.2">
      <c r="A2147" s="1">
        <v>46060</v>
      </c>
      <c r="B2147" t="s">
        <v>20</v>
      </c>
      <c r="C2147" t="s">
        <v>77</v>
      </c>
      <c r="D2147" t="s">
        <v>74</v>
      </c>
      <c r="E2147">
        <v>104689</v>
      </c>
      <c r="F2147">
        <v>3239</v>
      </c>
      <c r="G2147">
        <v>769.39</v>
      </c>
      <c r="H2147">
        <v>78814</v>
      </c>
      <c r="I2147">
        <v>179</v>
      </c>
      <c r="J2147" t="s">
        <v>72</v>
      </c>
    </row>
    <row r="2148" spans="1:10" x14ac:dyDescent="0.2">
      <c r="A2148" s="1">
        <v>46060</v>
      </c>
      <c r="B2148" t="s">
        <v>20</v>
      </c>
      <c r="C2148" t="s">
        <v>73</v>
      </c>
      <c r="D2148" t="s">
        <v>71</v>
      </c>
      <c r="E2148">
        <v>42375</v>
      </c>
      <c r="F2148">
        <v>1547</v>
      </c>
      <c r="G2148">
        <v>278.86</v>
      </c>
      <c r="H2148">
        <v>30550</v>
      </c>
      <c r="I2148">
        <v>51</v>
      </c>
      <c r="J2148" t="s">
        <v>72</v>
      </c>
    </row>
    <row r="2149" spans="1:10" x14ac:dyDescent="0.2">
      <c r="A2149" s="1">
        <v>46061</v>
      </c>
      <c r="B2149" t="s">
        <v>10</v>
      </c>
      <c r="C2149" t="s">
        <v>26</v>
      </c>
      <c r="D2149" t="s">
        <v>71</v>
      </c>
      <c r="E2149">
        <v>131727</v>
      </c>
      <c r="F2149">
        <v>5094</v>
      </c>
      <c r="G2149">
        <v>1081.3900000000001</v>
      </c>
      <c r="H2149">
        <v>105214</v>
      </c>
      <c r="I2149">
        <v>241</v>
      </c>
      <c r="J2149" t="s">
        <v>72</v>
      </c>
    </row>
    <row r="2150" spans="1:10" x14ac:dyDescent="0.2">
      <c r="A2150" s="1">
        <v>46061</v>
      </c>
      <c r="B2150" t="s">
        <v>10</v>
      </c>
      <c r="C2150" t="s">
        <v>73</v>
      </c>
      <c r="D2150" t="s">
        <v>74</v>
      </c>
      <c r="E2150">
        <v>140841</v>
      </c>
      <c r="F2150">
        <v>4004</v>
      </c>
      <c r="G2150">
        <v>920.62</v>
      </c>
      <c r="H2150">
        <v>110864</v>
      </c>
      <c r="I2150">
        <v>192</v>
      </c>
      <c r="J2150" t="s">
        <v>72</v>
      </c>
    </row>
    <row r="2151" spans="1:10" x14ac:dyDescent="0.2">
      <c r="A2151" s="1">
        <v>46061</v>
      </c>
      <c r="B2151" t="s">
        <v>15</v>
      </c>
      <c r="C2151" t="s">
        <v>16</v>
      </c>
      <c r="D2151" t="s">
        <v>74</v>
      </c>
      <c r="E2151">
        <v>111064</v>
      </c>
      <c r="F2151">
        <v>4396</v>
      </c>
      <c r="G2151">
        <v>885.7</v>
      </c>
      <c r="H2151">
        <v>81933</v>
      </c>
      <c r="I2151">
        <v>224</v>
      </c>
      <c r="J2151" t="s">
        <v>72</v>
      </c>
    </row>
    <row r="2152" spans="1:10" x14ac:dyDescent="0.2">
      <c r="A2152" s="1">
        <v>46061</v>
      </c>
      <c r="B2152" t="s">
        <v>15</v>
      </c>
      <c r="C2152" t="s">
        <v>76</v>
      </c>
      <c r="D2152" t="s">
        <v>75</v>
      </c>
      <c r="E2152">
        <v>64894</v>
      </c>
      <c r="F2152">
        <v>2237</v>
      </c>
      <c r="G2152">
        <v>528.32000000000005</v>
      </c>
      <c r="H2152">
        <v>49608</v>
      </c>
      <c r="I2152">
        <v>77</v>
      </c>
      <c r="J2152" t="s">
        <v>72</v>
      </c>
    </row>
    <row r="2153" spans="1:10" x14ac:dyDescent="0.2">
      <c r="A2153" s="1">
        <v>46061</v>
      </c>
      <c r="B2153" t="s">
        <v>19</v>
      </c>
      <c r="C2153" t="s">
        <v>26</v>
      </c>
      <c r="D2153" t="s">
        <v>12</v>
      </c>
      <c r="E2153">
        <v>93587</v>
      </c>
      <c r="F2153">
        <v>3512</v>
      </c>
      <c r="G2153">
        <v>781.6</v>
      </c>
      <c r="H2153">
        <v>69174</v>
      </c>
      <c r="I2153">
        <v>184</v>
      </c>
      <c r="J2153" t="s">
        <v>72</v>
      </c>
    </row>
    <row r="2154" spans="1:10" x14ac:dyDescent="0.2">
      <c r="A2154" s="1">
        <v>46061</v>
      </c>
      <c r="B2154" t="s">
        <v>19</v>
      </c>
      <c r="C2154" t="s">
        <v>73</v>
      </c>
      <c r="D2154" t="s">
        <v>74</v>
      </c>
      <c r="E2154">
        <v>82580</v>
      </c>
      <c r="F2154">
        <v>2583</v>
      </c>
      <c r="G2154">
        <v>541.47</v>
      </c>
      <c r="H2154">
        <v>62455</v>
      </c>
      <c r="I2154">
        <v>94</v>
      </c>
      <c r="J2154" t="s">
        <v>72</v>
      </c>
    </row>
    <row r="2155" spans="1:10" x14ac:dyDescent="0.2">
      <c r="A2155" s="1">
        <v>46061</v>
      </c>
      <c r="B2155" t="s">
        <v>20</v>
      </c>
      <c r="C2155" t="s">
        <v>77</v>
      </c>
      <c r="D2155" t="s">
        <v>12</v>
      </c>
      <c r="E2155">
        <v>43309</v>
      </c>
      <c r="F2155">
        <v>1331</v>
      </c>
      <c r="G2155">
        <v>305.14999999999998</v>
      </c>
      <c r="H2155">
        <v>32897</v>
      </c>
      <c r="I2155">
        <v>72</v>
      </c>
      <c r="J2155" t="s">
        <v>72</v>
      </c>
    </row>
    <row r="2156" spans="1:10" x14ac:dyDescent="0.2">
      <c r="A2156" s="1">
        <v>46061</v>
      </c>
      <c r="B2156" t="s">
        <v>20</v>
      </c>
      <c r="C2156" t="s">
        <v>73</v>
      </c>
      <c r="D2156" t="s">
        <v>71</v>
      </c>
      <c r="E2156">
        <v>73281</v>
      </c>
      <c r="F2156">
        <v>2617</v>
      </c>
      <c r="G2156">
        <v>574.66999999999996</v>
      </c>
      <c r="H2156">
        <v>56907</v>
      </c>
      <c r="I2156">
        <v>126</v>
      </c>
      <c r="J2156" t="s">
        <v>72</v>
      </c>
    </row>
    <row r="2157" spans="1:10" x14ac:dyDescent="0.2">
      <c r="A2157" s="1">
        <v>46062</v>
      </c>
      <c r="B2157" t="s">
        <v>10</v>
      </c>
      <c r="C2157" t="s">
        <v>26</v>
      </c>
      <c r="D2157" t="s">
        <v>71</v>
      </c>
      <c r="E2157">
        <v>84809</v>
      </c>
      <c r="F2157">
        <v>2452</v>
      </c>
      <c r="G2157">
        <v>460.23</v>
      </c>
      <c r="H2157">
        <v>61614</v>
      </c>
      <c r="I2157">
        <v>87</v>
      </c>
      <c r="J2157" t="s">
        <v>72</v>
      </c>
    </row>
    <row r="2158" spans="1:10" x14ac:dyDescent="0.2">
      <c r="A2158" s="1">
        <v>46062</v>
      </c>
      <c r="B2158" t="s">
        <v>10</v>
      </c>
      <c r="C2158" t="s">
        <v>73</v>
      </c>
      <c r="D2158" t="s">
        <v>74</v>
      </c>
      <c r="E2158">
        <v>157697</v>
      </c>
      <c r="F2158">
        <v>6024</v>
      </c>
      <c r="G2158">
        <v>1183.47</v>
      </c>
      <c r="H2158">
        <v>126909</v>
      </c>
      <c r="I2158">
        <v>172</v>
      </c>
      <c r="J2158" t="s">
        <v>72</v>
      </c>
    </row>
    <row r="2159" spans="1:10" x14ac:dyDescent="0.2">
      <c r="A2159" s="1">
        <v>46062</v>
      </c>
      <c r="B2159" t="s">
        <v>15</v>
      </c>
      <c r="C2159" t="s">
        <v>16</v>
      </c>
      <c r="D2159" t="s">
        <v>74</v>
      </c>
      <c r="E2159">
        <v>165464</v>
      </c>
      <c r="F2159">
        <v>6678</v>
      </c>
      <c r="G2159">
        <v>1202.82</v>
      </c>
      <c r="H2159">
        <v>126201</v>
      </c>
      <c r="I2159">
        <v>321</v>
      </c>
      <c r="J2159" t="s">
        <v>72</v>
      </c>
    </row>
    <row r="2160" spans="1:10" x14ac:dyDescent="0.2">
      <c r="A2160" s="1">
        <v>46062</v>
      </c>
      <c r="B2160" t="s">
        <v>15</v>
      </c>
      <c r="C2160" t="s">
        <v>76</v>
      </c>
      <c r="D2160" t="s">
        <v>75</v>
      </c>
      <c r="E2160">
        <v>115737</v>
      </c>
      <c r="F2160">
        <v>3941</v>
      </c>
      <c r="G2160">
        <v>944.68</v>
      </c>
      <c r="H2160">
        <v>86502</v>
      </c>
      <c r="I2160">
        <v>190</v>
      </c>
      <c r="J2160" t="s">
        <v>72</v>
      </c>
    </row>
    <row r="2161" spans="1:10" x14ac:dyDescent="0.2">
      <c r="A2161" s="1">
        <v>46062</v>
      </c>
      <c r="B2161" t="s">
        <v>20</v>
      </c>
      <c r="C2161" t="s">
        <v>77</v>
      </c>
      <c r="D2161" t="s">
        <v>74</v>
      </c>
      <c r="E2161">
        <v>151928</v>
      </c>
      <c r="F2161">
        <v>5022</v>
      </c>
      <c r="G2161">
        <v>1132.67</v>
      </c>
      <c r="H2161">
        <v>122815</v>
      </c>
      <c r="I2161">
        <v>174</v>
      </c>
      <c r="J2161" t="s">
        <v>72</v>
      </c>
    </row>
    <row r="2162" spans="1:10" x14ac:dyDescent="0.2">
      <c r="A2162" s="1">
        <v>46062</v>
      </c>
      <c r="B2162" t="s">
        <v>20</v>
      </c>
      <c r="C2162" t="s">
        <v>73</v>
      </c>
      <c r="D2162" t="s">
        <v>71</v>
      </c>
      <c r="E2162">
        <v>136092</v>
      </c>
      <c r="F2162">
        <v>4824</v>
      </c>
      <c r="G2162">
        <v>959.85</v>
      </c>
      <c r="H2162">
        <v>103319</v>
      </c>
      <c r="I2162">
        <v>183</v>
      </c>
      <c r="J2162" t="s">
        <v>72</v>
      </c>
    </row>
    <row r="2163" spans="1:10" x14ac:dyDescent="0.2">
      <c r="A2163" s="1">
        <v>46063</v>
      </c>
      <c r="B2163" t="s">
        <v>10</v>
      </c>
      <c r="C2163" t="s">
        <v>26</v>
      </c>
      <c r="D2163" t="s">
        <v>71</v>
      </c>
      <c r="E2163">
        <v>53320</v>
      </c>
      <c r="F2163">
        <v>2232</v>
      </c>
      <c r="G2163">
        <v>431.98</v>
      </c>
      <c r="H2163">
        <v>42067</v>
      </c>
      <c r="I2163">
        <v>126</v>
      </c>
      <c r="J2163" t="s">
        <v>72</v>
      </c>
    </row>
    <row r="2164" spans="1:10" x14ac:dyDescent="0.2">
      <c r="A2164" s="1">
        <v>46063</v>
      </c>
      <c r="B2164" t="s">
        <v>10</v>
      </c>
      <c r="C2164" t="s">
        <v>73</v>
      </c>
      <c r="D2164" t="s">
        <v>74</v>
      </c>
      <c r="E2164">
        <v>89288</v>
      </c>
      <c r="F2164">
        <v>2705</v>
      </c>
      <c r="G2164">
        <v>537.34</v>
      </c>
      <c r="H2164">
        <v>69876</v>
      </c>
      <c r="I2164">
        <v>83</v>
      </c>
      <c r="J2164" t="s">
        <v>72</v>
      </c>
    </row>
    <row r="2165" spans="1:10" x14ac:dyDescent="0.2">
      <c r="A2165" s="1">
        <v>46063</v>
      </c>
      <c r="B2165" t="s">
        <v>15</v>
      </c>
      <c r="C2165" t="s">
        <v>16</v>
      </c>
      <c r="D2165" t="s">
        <v>74</v>
      </c>
      <c r="E2165">
        <v>138585</v>
      </c>
      <c r="F2165">
        <v>5448</v>
      </c>
      <c r="G2165">
        <v>1174.33</v>
      </c>
      <c r="H2165">
        <v>108460</v>
      </c>
      <c r="I2165">
        <v>207</v>
      </c>
      <c r="J2165" t="s">
        <v>72</v>
      </c>
    </row>
    <row r="2166" spans="1:10" x14ac:dyDescent="0.2">
      <c r="A2166" s="1">
        <v>46063</v>
      </c>
      <c r="B2166" t="s">
        <v>15</v>
      </c>
      <c r="C2166" t="s">
        <v>76</v>
      </c>
      <c r="D2166" t="s">
        <v>74</v>
      </c>
      <c r="E2166">
        <v>99830</v>
      </c>
      <c r="F2166">
        <v>2945</v>
      </c>
      <c r="G2166">
        <v>572.22</v>
      </c>
      <c r="H2166">
        <v>75279</v>
      </c>
      <c r="I2166">
        <v>87</v>
      </c>
      <c r="J2166" t="s">
        <v>72</v>
      </c>
    </row>
    <row r="2167" spans="1:10" x14ac:dyDescent="0.2">
      <c r="A2167" s="1">
        <v>46063</v>
      </c>
      <c r="B2167" t="s">
        <v>20</v>
      </c>
      <c r="C2167" t="s">
        <v>77</v>
      </c>
      <c r="D2167" t="s">
        <v>74</v>
      </c>
      <c r="E2167">
        <v>156982</v>
      </c>
      <c r="F2167">
        <v>6140</v>
      </c>
      <c r="G2167">
        <v>1452.8</v>
      </c>
      <c r="H2167">
        <v>125204</v>
      </c>
      <c r="I2167">
        <v>286</v>
      </c>
      <c r="J2167" t="s">
        <v>72</v>
      </c>
    </row>
    <row r="2168" spans="1:10" x14ac:dyDescent="0.2">
      <c r="A2168" s="1">
        <v>46063</v>
      </c>
      <c r="B2168" t="s">
        <v>20</v>
      </c>
      <c r="C2168" t="s">
        <v>73</v>
      </c>
      <c r="D2168" t="s">
        <v>71</v>
      </c>
      <c r="E2168">
        <v>141627</v>
      </c>
      <c r="F2168">
        <v>5113</v>
      </c>
      <c r="G2168">
        <v>946.58</v>
      </c>
      <c r="H2168">
        <v>102830</v>
      </c>
      <c r="I2168">
        <v>148</v>
      </c>
      <c r="J2168" t="s">
        <v>72</v>
      </c>
    </row>
    <row r="2169" spans="1:10" x14ac:dyDescent="0.2">
      <c r="A2169" s="1">
        <v>46064</v>
      </c>
      <c r="B2169" t="s">
        <v>10</v>
      </c>
      <c r="C2169" t="s">
        <v>26</v>
      </c>
      <c r="D2169" t="s">
        <v>12</v>
      </c>
      <c r="E2169">
        <v>61636</v>
      </c>
      <c r="F2169">
        <v>2401</v>
      </c>
      <c r="G2169">
        <v>441.11</v>
      </c>
      <c r="H2169">
        <v>49323</v>
      </c>
      <c r="I2169">
        <v>71</v>
      </c>
      <c r="J2169" t="s">
        <v>72</v>
      </c>
    </row>
    <row r="2170" spans="1:10" x14ac:dyDescent="0.2">
      <c r="A2170" s="1">
        <v>46064</v>
      </c>
      <c r="B2170" t="s">
        <v>10</v>
      </c>
      <c r="C2170" t="s">
        <v>73</v>
      </c>
      <c r="D2170" t="s">
        <v>71</v>
      </c>
      <c r="E2170">
        <v>61796</v>
      </c>
      <c r="F2170">
        <v>1818</v>
      </c>
      <c r="G2170">
        <v>333.33</v>
      </c>
      <c r="H2170">
        <v>44815</v>
      </c>
      <c r="I2170">
        <v>97</v>
      </c>
      <c r="J2170" t="s">
        <v>72</v>
      </c>
    </row>
    <row r="2171" spans="1:10" x14ac:dyDescent="0.2">
      <c r="A2171" s="1">
        <v>46064</v>
      </c>
      <c r="B2171" t="s">
        <v>15</v>
      </c>
      <c r="C2171" t="s">
        <v>16</v>
      </c>
      <c r="D2171" t="s">
        <v>74</v>
      </c>
      <c r="E2171">
        <v>68096</v>
      </c>
      <c r="F2171">
        <v>2495</v>
      </c>
      <c r="G2171">
        <v>510.64</v>
      </c>
      <c r="H2171">
        <v>54916</v>
      </c>
      <c r="I2171">
        <v>128</v>
      </c>
      <c r="J2171" t="s">
        <v>72</v>
      </c>
    </row>
    <row r="2172" spans="1:10" x14ac:dyDescent="0.2">
      <c r="A2172" s="1">
        <v>46064</v>
      </c>
      <c r="B2172" t="s">
        <v>15</v>
      </c>
      <c r="C2172" t="s">
        <v>76</v>
      </c>
      <c r="D2172" t="s">
        <v>75</v>
      </c>
      <c r="E2172">
        <v>143086</v>
      </c>
      <c r="F2172">
        <v>4775</v>
      </c>
      <c r="G2172">
        <v>1087.31</v>
      </c>
      <c r="H2172">
        <v>115612</v>
      </c>
      <c r="I2172">
        <v>222</v>
      </c>
      <c r="J2172" t="s">
        <v>72</v>
      </c>
    </row>
    <row r="2173" spans="1:10" x14ac:dyDescent="0.2">
      <c r="A2173" s="1">
        <v>46064</v>
      </c>
      <c r="B2173" t="s">
        <v>20</v>
      </c>
      <c r="C2173" t="s">
        <v>77</v>
      </c>
      <c r="D2173" t="s">
        <v>74</v>
      </c>
      <c r="E2173">
        <v>53446</v>
      </c>
      <c r="F2173">
        <v>1836</v>
      </c>
      <c r="G2173">
        <v>366.63</v>
      </c>
      <c r="H2173">
        <v>39509</v>
      </c>
      <c r="I2173">
        <v>57</v>
      </c>
      <c r="J2173" t="s">
        <v>72</v>
      </c>
    </row>
    <row r="2174" spans="1:10" x14ac:dyDescent="0.2">
      <c r="A2174" s="1">
        <v>46064</v>
      </c>
      <c r="B2174" t="s">
        <v>20</v>
      </c>
      <c r="C2174" t="s">
        <v>73</v>
      </c>
      <c r="D2174" t="s">
        <v>71</v>
      </c>
      <c r="E2174">
        <v>172336</v>
      </c>
      <c r="F2174">
        <v>6730</v>
      </c>
      <c r="G2174">
        <v>1289.58</v>
      </c>
      <c r="H2174">
        <v>133960</v>
      </c>
      <c r="I2174">
        <v>317</v>
      </c>
      <c r="J2174" t="s">
        <v>72</v>
      </c>
    </row>
    <row r="2175" spans="1:10" x14ac:dyDescent="0.2">
      <c r="A2175" s="1">
        <v>46065</v>
      </c>
      <c r="B2175" t="s">
        <v>10</v>
      </c>
      <c r="C2175" t="s">
        <v>26</v>
      </c>
      <c r="D2175" t="s">
        <v>12</v>
      </c>
      <c r="E2175">
        <v>122529</v>
      </c>
      <c r="F2175">
        <v>4153</v>
      </c>
      <c r="G2175">
        <v>928.1</v>
      </c>
      <c r="H2175">
        <v>93668</v>
      </c>
      <c r="I2175">
        <v>146</v>
      </c>
      <c r="J2175" t="s">
        <v>72</v>
      </c>
    </row>
    <row r="2176" spans="1:10" x14ac:dyDescent="0.2">
      <c r="A2176" s="1">
        <v>46065</v>
      </c>
      <c r="B2176" t="s">
        <v>10</v>
      </c>
      <c r="C2176" t="s">
        <v>73</v>
      </c>
      <c r="D2176" t="s">
        <v>74</v>
      </c>
      <c r="E2176">
        <v>60684</v>
      </c>
      <c r="F2176">
        <v>1807</v>
      </c>
      <c r="G2176">
        <v>388.63</v>
      </c>
      <c r="H2176">
        <v>46806</v>
      </c>
      <c r="I2176">
        <v>85</v>
      </c>
      <c r="J2176" t="s">
        <v>72</v>
      </c>
    </row>
    <row r="2177" spans="1:10" x14ac:dyDescent="0.2">
      <c r="A2177" s="1">
        <v>46065</v>
      </c>
      <c r="B2177" t="s">
        <v>15</v>
      </c>
      <c r="C2177" t="s">
        <v>16</v>
      </c>
      <c r="D2177" t="s">
        <v>74</v>
      </c>
      <c r="E2177">
        <v>113260</v>
      </c>
      <c r="F2177">
        <v>4096</v>
      </c>
      <c r="G2177">
        <v>870.27</v>
      </c>
      <c r="H2177">
        <v>83196</v>
      </c>
      <c r="I2177">
        <v>172</v>
      </c>
      <c r="J2177" t="s">
        <v>72</v>
      </c>
    </row>
    <row r="2178" spans="1:10" x14ac:dyDescent="0.2">
      <c r="A2178" s="1">
        <v>46065</v>
      </c>
      <c r="B2178" t="s">
        <v>15</v>
      </c>
      <c r="C2178" t="s">
        <v>76</v>
      </c>
      <c r="D2178" t="s">
        <v>74</v>
      </c>
      <c r="E2178">
        <v>109040</v>
      </c>
      <c r="F2178">
        <v>3616</v>
      </c>
      <c r="G2178">
        <v>652.63</v>
      </c>
      <c r="H2178">
        <v>84903</v>
      </c>
      <c r="I2178">
        <v>174</v>
      </c>
      <c r="J2178" t="s">
        <v>72</v>
      </c>
    </row>
    <row r="2179" spans="1:10" x14ac:dyDescent="0.2">
      <c r="A2179" s="1">
        <v>46065</v>
      </c>
      <c r="B2179" t="s">
        <v>20</v>
      </c>
      <c r="C2179" t="s">
        <v>77</v>
      </c>
      <c r="D2179" t="s">
        <v>12</v>
      </c>
      <c r="E2179">
        <v>97782</v>
      </c>
      <c r="F2179">
        <v>3432</v>
      </c>
      <c r="G2179">
        <v>789.74</v>
      </c>
      <c r="H2179">
        <v>78799</v>
      </c>
      <c r="I2179">
        <v>139</v>
      </c>
      <c r="J2179" t="s">
        <v>72</v>
      </c>
    </row>
    <row r="2180" spans="1:10" x14ac:dyDescent="0.2">
      <c r="A2180" s="1">
        <v>46065</v>
      </c>
      <c r="B2180" t="s">
        <v>20</v>
      </c>
      <c r="C2180" t="s">
        <v>73</v>
      </c>
      <c r="D2180" t="s">
        <v>71</v>
      </c>
      <c r="E2180">
        <v>90020</v>
      </c>
      <c r="F2180">
        <v>3327</v>
      </c>
      <c r="G2180">
        <v>639.04</v>
      </c>
      <c r="H2180">
        <v>65430</v>
      </c>
      <c r="I2180">
        <v>112</v>
      </c>
      <c r="J2180" t="s">
        <v>72</v>
      </c>
    </row>
    <row r="2181" spans="1:10" x14ac:dyDescent="0.2">
      <c r="A2181" s="1">
        <v>46066</v>
      </c>
      <c r="B2181" t="s">
        <v>10</v>
      </c>
      <c r="C2181" t="s">
        <v>26</v>
      </c>
      <c r="D2181" t="s">
        <v>12</v>
      </c>
      <c r="E2181">
        <v>146020</v>
      </c>
      <c r="F2181">
        <v>5314</v>
      </c>
      <c r="G2181">
        <v>1062.0999999999999</v>
      </c>
      <c r="H2181">
        <v>113580</v>
      </c>
      <c r="I2181">
        <v>302</v>
      </c>
      <c r="J2181" t="s">
        <v>72</v>
      </c>
    </row>
    <row r="2182" spans="1:10" x14ac:dyDescent="0.2">
      <c r="A2182" s="1">
        <v>46066</v>
      </c>
      <c r="B2182" t="s">
        <v>10</v>
      </c>
      <c r="C2182" t="s">
        <v>73</v>
      </c>
      <c r="D2182" t="s">
        <v>71</v>
      </c>
      <c r="E2182">
        <v>135806</v>
      </c>
      <c r="F2182">
        <v>4427</v>
      </c>
      <c r="G2182">
        <v>824.71</v>
      </c>
      <c r="H2182">
        <v>109678</v>
      </c>
      <c r="I2182">
        <v>244</v>
      </c>
      <c r="J2182" t="s">
        <v>72</v>
      </c>
    </row>
    <row r="2183" spans="1:10" x14ac:dyDescent="0.2">
      <c r="A2183" s="1">
        <v>46066</v>
      </c>
      <c r="B2183" t="s">
        <v>15</v>
      </c>
      <c r="C2183" t="s">
        <v>16</v>
      </c>
      <c r="D2183" t="s">
        <v>74</v>
      </c>
      <c r="E2183">
        <v>94011</v>
      </c>
      <c r="F2183">
        <v>3843</v>
      </c>
      <c r="G2183">
        <v>839.03</v>
      </c>
      <c r="H2183">
        <v>74204</v>
      </c>
      <c r="I2183">
        <v>161</v>
      </c>
      <c r="J2183" t="s">
        <v>72</v>
      </c>
    </row>
    <row r="2184" spans="1:10" x14ac:dyDescent="0.2">
      <c r="A2184" s="1">
        <v>46066</v>
      </c>
      <c r="B2184" t="s">
        <v>15</v>
      </c>
      <c r="C2184" t="s">
        <v>76</v>
      </c>
      <c r="D2184" t="s">
        <v>75</v>
      </c>
      <c r="E2184">
        <v>98124</v>
      </c>
      <c r="F2184">
        <v>3407</v>
      </c>
      <c r="G2184">
        <v>770.33</v>
      </c>
      <c r="H2184">
        <v>78642</v>
      </c>
      <c r="I2184">
        <v>177</v>
      </c>
      <c r="J2184" t="s">
        <v>72</v>
      </c>
    </row>
    <row r="2185" spans="1:10" x14ac:dyDescent="0.2">
      <c r="A2185" s="1">
        <v>46066</v>
      </c>
      <c r="B2185" t="s">
        <v>20</v>
      </c>
      <c r="C2185" t="s">
        <v>77</v>
      </c>
      <c r="D2185" t="s">
        <v>74</v>
      </c>
      <c r="E2185">
        <v>91057</v>
      </c>
      <c r="F2185">
        <v>3059</v>
      </c>
      <c r="G2185">
        <v>702.24</v>
      </c>
      <c r="H2185">
        <v>65622</v>
      </c>
      <c r="I2185">
        <v>86</v>
      </c>
      <c r="J2185" t="s">
        <v>72</v>
      </c>
    </row>
    <row r="2186" spans="1:10" x14ac:dyDescent="0.2">
      <c r="A2186" s="1">
        <v>46066</v>
      </c>
      <c r="B2186" t="s">
        <v>20</v>
      </c>
      <c r="C2186" t="s">
        <v>73</v>
      </c>
      <c r="D2186" t="s">
        <v>71</v>
      </c>
      <c r="E2186">
        <v>54294</v>
      </c>
      <c r="F2186">
        <v>1941</v>
      </c>
      <c r="G2186">
        <v>365.96</v>
      </c>
      <c r="H2186">
        <v>41482</v>
      </c>
      <c r="I2186">
        <v>91</v>
      </c>
      <c r="J2186" t="s">
        <v>72</v>
      </c>
    </row>
    <row r="2187" spans="1:10" x14ac:dyDescent="0.2">
      <c r="A2187" s="1">
        <v>46067</v>
      </c>
      <c r="B2187" t="s">
        <v>10</v>
      </c>
      <c r="C2187" t="s">
        <v>26</v>
      </c>
      <c r="D2187" t="s">
        <v>12</v>
      </c>
      <c r="E2187">
        <v>57206</v>
      </c>
      <c r="F2187">
        <v>2382</v>
      </c>
      <c r="G2187">
        <v>457.22</v>
      </c>
      <c r="H2187">
        <v>42813</v>
      </c>
      <c r="I2187">
        <v>82</v>
      </c>
      <c r="J2187" t="s">
        <v>72</v>
      </c>
    </row>
    <row r="2188" spans="1:10" x14ac:dyDescent="0.2">
      <c r="A2188" s="1">
        <v>46067</v>
      </c>
      <c r="B2188" t="s">
        <v>10</v>
      </c>
      <c r="C2188" t="s">
        <v>73</v>
      </c>
      <c r="D2188" t="s">
        <v>71</v>
      </c>
      <c r="E2188">
        <v>84548</v>
      </c>
      <c r="F2188">
        <v>2769</v>
      </c>
      <c r="G2188">
        <v>590.54999999999995</v>
      </c>
      <c r="H2188">
        <v>62384</v>
      </c>
      <c r="I2188">
        <v>79</v>
      </c>
      <c r="J2188" t="s">
        <v>72</v>
      </c>
    </row>
    <row r="2189" spans="1:10" x14ac:dyDescent="0.2">
      <c r="A2189" s="1">
        <v>46067</v>
      </c>
      <c r="B2189" t="s">
        <v>15</v>
      </c>
      <c r="C2189" t="s">
        <v>16</v>
      </c>
      <c r="D2189" t="s">
        <v>74</v>
      </c>
      <c r="E2189">
        <v>69220</v>
      </c>
      <c r="F2189">
        <v>1958</v>
      </c>
      <c r="G2189">
        <v>432.03</v>
      </c>
      <c r="H2189">
        <v>52461</v>
      </c>
      <c r="I2189">
        <v>101</v>
      </c>
      <c r="J2189" t="s">
        <v>72</v>
      </c>
    </row>
    <row r="2190" spans="1:10" x14ac:dyDescent="0.2">
      <c r="A2190" s="1">
        <v>46067</v>
      </c>
      <c r="B2190" t="s">
        <v>15</v>
      </c>
      <c r="C2190" t="s">
        <v>76</v>
      </c>
      <c r="D2190" t="s">
        <v>75</v>
      </c>
      <c r="E2190">
        <v>118963</v>
      </c>
      <c r="F2190">
        <v>4890</v>
      </c>
      <c r="G2190">
        <v>969.71</v>
      </c>
      <c r="H2190">
        <v>88510</v>
      </c>
      <c r="I2190">
        <v>255</v>
      </c>
      <c r="J2190" t="s">
        <v>72</v>
      </c>
    </row>
    <row r="2191" spans="1:10" x14ac:dyDescent="0.2">
      <c r="A2191" s="1">
        <v>46067</v>
      </c>
      <c r="B2191" t="s">
        <v>19</v>
      </c>
      <c r="C2191" t="s">
        <v>26</v>
      </c>
      <c r="D2191" t="s">
        <v>12</v>
      </c>
      <c r="E2191">
        <v>158504</v>
      </c>
      <c r="F2191">
        <v>6606</v>
      </c>
      <c r="G2191">
        <v>1584.53</v>
      </c>
      <c r="H2191">
        <v>128097</v>
      </c>
      <c r="I2191">
        <v>359</v>
      </c>
      <c r="J2191" t="s">
        <v>72</v>
      </c>
    </row>
    <row r="2192" spans="1:10" x14ac:dyDescent="0.2">
      <c r="A2192" s="1">
        <v>46067</v>
      </c>
      <c r="B2192" t="s">
        <v>19</v>
      </c>
      <c r="C2192" t="s">
        <v>73</v>
      </c>
      <c r="D2192" t="s">
        <v>12</v>
      </c>
      <c r="E2192">
        <v>72849</v>
      </c>
      <c r="F2192">
        <v>2187</v>
      </c>
      <c r="G2192">
        <v>514.92999999999995</v>
      </c>
      <c r="H2192">
        <v>58242</v>
      </c>
      <c r="I2192">
        <v>73</v>
      </c>
      <c r="J2192" t="s">
        <v>72</v>
      </c>
    </row>
    <row r="2193" spans="1:10" x14ac:dyDescent="0.2">
      <c r="A2193" s="1">
        <v>46067</v>
      </c>
      <c r="B2193" t="s">
        <v>20</v>
      </c>
      <c r="C2193" t="s">
        <v>77</v>
      </c>
      <c r="D2193" t="s">
        <v>74</v>
      </c>
      <c r="E2193">
        <v>126486</v>
      </c>
      <c r="F2193">
        <v>4104</v>
      </c>
      <c r="G2193">
        <v>844.49</v>
      </c>
      <c r="H2193">
        <v>99116</v>
      </c>
      <c r="I2193">
        <v>228</v>
      </c>
      <c r="J2193" t="s">
        <v>72</v>
      </c>
    </row>
    <row r="2194" spans="1:10" x14ac:dyDescent="0.2">
      <c r="A2194" s="1">
        <v>46067</v>
      </c>
      <c r="B2194" t="s">
        <v>20</v>
      </c>
      <c r="C2194" t="s">
        <v>73</v>
      </c>
      <c r="D2194" t="s">
        <v>71</v>
      </c>
      <c r="E2194">
        <v>160294</v>
      </c>
      <c r="F2194">
        <v>5148</v>
      </c>
      <c r="G2194">
        <v>972.53</v>
      </c>
      <c r="H2194">
        <v>119373</v>
      </c>
      <c r="I2194">
        <v>241</v>
      </c>
      <c r="J2194" t="s">
        <v>72</v>
      </c>
    </row>
    <row r="2195" spans="1:10" x14ac:dyDescent="0.2">
      <c r="A2195" s="1">
        <v>46068</v>
      </c>
      <c r="B2195" t="s">
        <v>10</v>
      </c>
      <c r="C2195" t="s">
        <v>26</v>
      </c>
      <c r="D2195" t="s">
        <v>12</v>
      </c>
      <c r="E2195">
        <v>74520</v>
      </c>
      <c r="F2195">
        <v>2974</v>
      </c>
      <c r="G2195">
        <v>708.12</v>
      </c>
      <c r="H2195">
        <v>60255</v>
      </c>
      <c r="I2195">
        <v>101</v>
      </c>
      <c r="J2195" t="s">
        <v>72</v>
      </c>
    </row>
    <row r="2196" spans="1:10" x14ac:dyDescent="0.2">
      <c r="A2196" s="1">
        <v>46068</v>
      </c>
      <c r="B2196" t="s">
        <v>10</v>
      </c>
      <c r="C2196" t="s">
        <v>73</v>
      </c>
      <c r="D2196" t="s">
        <v>74</v>
      </c>
      <c r="E2196">
        <v>146705</v>
      </c>
      <c r="F2196">
        <v>5732</v>
      </c>
      <c r="G2196">
        <v>1243.23</v>
      </c>
      <c r="H2196">
        <v>108083</v>
      </c>
      <c r="I2196">
        <v>227</v>
      </c>
      <c r="J2196" t="s">
        <v>72</v>
      </c>
    </row>
    <row r="2197" spans="1:10" x14ac:dyDescent="0.2">
      <c r="A2197" s="1">
        <v>46068</v>
      </c>
      <c r="B2197" t="s">
        <v>15</v>
      </c>
      <c r="C2197" t="s">
        <v>16</v>
      </c>
      <c r="D2197" t="s">
        <v>74</v>
      </c>
      <c r="E2197">
        <v>152560</v>
      </c>
      <c r="F2197">
        <v>5379</v>
      </c>
      <c r="G2197">
        <v>1025.99</v>
      </c>
      <c r="H2197">
        <v>120712</v>
      </c>
      <c r="I2197">
        <v>235</v>
      </c>
      <c r="J2197" t="s">
        <v>72</v>
      </c>
    </row>
    <row r="2198" spans="1:10" x14ac:dyDescent="0.2">
      <c r="A2198" s="1">
        <v>46068</v>
      </c>
      <c r="B2198" t="s">
        <v>15</v>
      </c>
      <c r="C2198" t="s">
        <v>76</v>
      </c>
      <c r="D2198" t="s">
        <v>74</v>
      </c>
      <c r="E2198">
        <v>151764</v>
      </c>
      <c r="F2198">
        <v>5255</v>
      </c>
      <c r="G2198">
        <v>1129.1500000000001</v>
      </c>
      <c r="H2198">
        <v>118954</v>
      </c>
      <c r="I2198">
        <v>271</v>
      </c>
      <c r="J2198" t="s">
        <v>72</v>
      </c>
    </row>
    <row r="2199" spans="1:10" x14ac:dyDescent="0.2">
      <c r="A2199" s="1">
        <v>46068</v>
      </c>
      <c r="B2199" t="s">
        <v>19</v>
      </c>
      <c r="C2199" t="s">
        <v>26</v>
      </c>
      <c r="D2199" t="s">
        <v>12</v>
      </c>
      <c r="E2199">
        <v>91452</v>
      </c>
      <c r="F2199">
        <v>2841</v>
      </c>
      <c r="G2199">
        <v>545.98</v>
      </c>
      <c r="H2199">
        <v>73739</v>
      </c>
      <c r="I2199">
        <v>113</v>
      </c>
      <c r="J2199" t="s">
        <v>72</v>
      </c>
    </row>
    <row r="2200" spans="1:10" x14ac:dyDescent="0.2">
      <c r="A2200" s="1">
        <v>46068</v>
      </c>
      <c r="B2200" t="s">
        <v>19</v>
      </c>
      <c r="C2200" t="s">
        <v>73</v>
      </c>
      <c r="D2200" t="s">
        <v>74</v>
      </c>
      <c r="E2200">
        <v>137132</v>
      </c>
      <c r="F2200">
        <v>5545</v>
      </c>
      <c r="G2200">
        <v>1188.19</v>
      </c>
      <c r="H2200">
        <v>111563</v>
      </c>
      <c r="I2200">
        <v>217</v>
      </c>
      <c r="J2200" t="s">
        <v>72</v>
      </c>
    </row>
    <row r="2201" spans="1:10" x14ac:dyDescent="0.2">
      <c r="A2201" s="1">
        <v>46068</v>
      </c>
      <c r="B2201" t="s">
        <v>20</v>
      </c>
      <c r="C2201" t="s">
        <v>77</v>
      </c>
      <c r="D2201" t="s">
        <v>12</v>
      </c>
      <c r="E2201">
        <v>76169</v>
      </c>
      <c r="F2201">
        <v>2934</v>
      </c>
      <c r="G2201">
        <v>580.05999999999995</v>
      </c>
      <c r="H2201">
        <v>58793</v>
      </c>
      <c r="I2201">
        <v>102</v>
      </c>
      <c r="J2201" t="s">
        <v>72</v>
      </c>
    </row>
    <row r="2202" spans="1:10" x14ac:dyDescent="0.2">
      <c r="A2202" s="1">
        <v>46068</v>
      </c>
      <c r="B2202" t="s">
        <v>20</v>
      </c>
      <c r="C2202" t="s">
        <v>73</v>
      </c>
      <c r="D2202" t="s">
        <v>71</v>
      </c>
      <c r="E2202">
        <v>145569</v>
      </c>
      <c r="F2202">
        <v>5119</v>
      </c>
      <c r="G2202">
        <v>1024.73</v>
      </c>
      <c r="H2202">
        <v>111377</v>
      </c>
      <c r="I2202">
        <v>209</v>
      </c>
      <c r="J2202" t="s">
        <v>72</v>
      </c>
    </row>
    <row r="2203" spans="1:10" x14ac:dyDescent="0.2">
      <c r="A2203" s="1">
        <v>46069</v>
      </c>
      <c r="B2203" t="s">
        <v>10</v>
      </c>
      <c r="C2203" t="s">
        <v>26</v>
      </c>
      <c r="D2203" t="s">
        <v>12</v>
      </c>
      <c r="E2203">
        <v>152340</v>
      </c>
      <c r="F2203">
        <v>4941</v>
      </c>
      <c r="G2203">
        <v>1002.74</v>
      </c>
      <c r="H2203">
        <v>112420</v>
      </c>
      <c r="I2203">
        <v>173</v>
      </c>
      <c r="J2203" t="s">
        <v>72</v>
      </c>
    </row>
    <row r="2204" spans="1:10" x14ac:dyDescent="0.2">
      <c r="A2204" s="1">
        <v>46069</v>
      </c>
      <c r="B2204" t="s">
        <v>10</v>
      </c>
      <c r="C2204" t="s">
        <v>73</v>
      </c>
      <c r="D2204" t="s">
        <v>74</v>
      </c>
      <c r="E2204">
        <v>123307</v>
      </c>
      <c r="F2204">
        <v>5008</v>
      </c>
      <c r="G2204">
        <v>989.94</v>
      </c>
      <c r="H2204">
        <v>94968</v>
      </c>
      <c r="I2204">
        <v>222</v>
      </c>
      <c r="J2204" t="s">
        <v>72</v>
      </c>
    </row>
    <row r="2205" spans="1:10" x14ac:dyDescent="0.2">
      <c r="A2205" s="1">
        <v>46069</v>
      </c>
      <c r="B2205" t="s">
        <v>15</v>
      </c>
      <c r="C2205" t="s">
        <v>16</v>
      </c>
      <c r="D2205" t="s">
        <v>75</v>
      </c>
      <c r="E2205">
        <v>105969</v>
      </c>
      <c r="F2205">
        <v>4341</v>
      </c>
      <c r="G2205">
        <v>807.01</v>
      </c>
      <c r="H2205">
        <v>77053</v>
      </c>
      <c r="I2205">
        <v>126</v>
      </c>
      <c r="J2205" t="s">
        <v>72</v>
      </c>
    </row>
    <row r="2206" spans="1:10" x14ac:dyDescent="0.2">
      <c r="A2206" s="1">
        <v>46069</v>
      </c>
      <c r="B2206" t="s">
        <v>15</v>
      </c>
      <c r="C2206" t="s">
        <v>76</v>
      </c>
      <c r="D2206" t="s">
        <v>75</v>
      </c>
      <c r="E2206">
        <v>117993</v>
      </c>
      <c r="F2206">
        <v>3628</v>
      </c>
      <c r="G2206">
        <v>724.71</v>
      </c>
      <c r="H2206">
        <v>88526</v>
      </c>
      <c r="I2206">
        <v>190</v>
      </c>
      <c r="J2206" t="s">
        <v>72</v>
      </c>
    </row>
    <row r="2207" spans="1:10" x14ac:dyDescent="0.2">
      <c r="A2207" s="1">
        <v>46069</v>
      </c>
      <c r="B2207" t="s">
        <v>20</v>
      </c>
      <c r="C2207" t="s">
        <v>77</v>
      </c>
      <c r="D2207" t="s">
        <v>74</v>
      </c>
      <c r="E2207">
        <v>87979</v>
      </c>
      <c r="F2207">
        <v>3332</v>
      </c>
      <c r="G2207">
        <v>799.28</v>
      </c>
      <c r="H2207">
        <v>72128</v>
      </c>
      <c r="I2207">
        <v>168</v>
      </c>
      <c r="J2207" t="s">
        <v>72</v>
      </c>
    </row>
    <row r="2208" spans="1:10" x14ac:dyDescent="0.2">
      <c r="A2208" s="1">
        <v>46069</v>
      </c>
      <c r="B2208" t="s">
        <v>20</v>
      </c>
      <c r="C2208" t="s">
        <v>73</v>
      </c>
      <c r="D2208" t="s">
        <v>71</v>
      </c>
      <c r="E2208">
        <v>49788</v>
      </c>
      <c r="F2208">
        <v>1930</v>
      </c>
      <c r="G2208">
        <v>380.04</v>
      </c>
      <c r="H2208">
        <v>37573</v>
      </c>
      <c r="I2208">
        <v>111</v>
      </c>
      <c r="J2208" t="s">
        <v>72</v>
      </c>
    </row>
    <row r="2209" spans="1:10" x14ac:dyDescent="0.2">
      <c r="A2209" s="1">
        <v>46070</v>
      </c>
      <c r="B2209" t="s">
        <v>10</v>
      </c>
      <c r="C2209" t="s">
        <v>26</v>
      </c>
      <c r="D2209" t="s">
        <v>12</v>
      </c>
      <c r="E2209">
        <v>106015</v>
      </c>
      <c r="F2209">
        <v>4093</v>
      </c>
      <c r="G2209">
        <v>739.66</v>
      </c>
      <c r="H2209">
        <v>83265</v>
      </c>
      <c r="I2209">
        <v>236</v>
      </c>
      <c r="J2209" t="s">
        <v>72</v>
      </c>
    </row>
    <row r="2210" spans="1:10" x14ac:dyDescent="0.2">
      <c r="A2210" s="1">
        <v>46070</v>
      </c>
      <c r="B2210" t="s">
        <v>10</v>
      </c>
      <c r="C2210" t="s">
        <v>73</v>
      </c>
      <c r="D2210" t="s">
        <v>74</v>
      </c>
      <c r="E2210">
        <v>82101</v>
      </c>
      <c r="F2210">
        <v>2560</v>
      </c>
      <c r="G2210">
        <v>571.9</v>
      </c>
      <c r="H2210">
        <v>60835</v>
      </c>
      <c r="I2210">
        <v>89</v>
      </c>
      <c r="J2210" t="s">
        <v>72</v>
      </c>
    </row>
    <row r="2211" spans="1:10" x14ac:dyDescent="0.2">
      <c r="A2211" s="1">
        <v>46070</v>
      </c>
      <c r="B2211" t="s">
        <v>15</v>
      </c>
      <c r="C2211" t="s">
        <v>16</v>
      </c>
      <c r="D2211" t="s">
        <v>74</v>
      </c>
      <c r="E2211">
        <v>90476</v>
      </c>
      <c r="F2211">
        <v>2964</v>
      </c>
      <c r="G2211">
        <v>548.79</v>
      </c>
      <c r="H2211">
        <v>72795</v>
      </c>
      <c r="I2211">
        <v>121</v>
      </c>
      <c r="J2211" t="s">
        <v>72</v>
      </c>
    </row>
    <row r="2212" spans="1:10" x14ac:dyDescent="0.2">
      <c r="A2212" s="1">
        <v>46070</v>
      </c>
      <c r="B2212" t="s">
        <v>15</v>
      </c>
      <c r="C2212" t="s">
        <v>76</v>
      </c>
      <c r="D2212" t="s">
        <v>74</v>
      </c>
      <c r="E2212">
        <v>57470</v>
      </c>
      <c r="F2212">
        <v>1962</v>
      </c>
      <c r="G2212">
        <v>453.57</v>
      </c>
      <c r="H2212">
        <v>41551</v>
      </c>
      <c r="I2212">
        <v>63</v>
      </c>
      <c r="J2212" t="s">
        <v>72</v>
      </c>
    </row>
    <row r="2213" spans="1:10" x14ac:dyDescent="0.2">
      <c r="A2213" s="1">
        <v>46071</v>
      </c>
      <c r="B2213" t="s">
        <v>10</v>
      </c>
      <c r="C2213" t="s">
        <v>26</v>
      </c>
      <c r="D2213" t="s">
        <v>74</v>
      </c>
      <c r="E2213">
        <v>70051</v>
      </c>
      <c r="F2213">
        <v>2886</v>
      </c>
      <c r="G2213">
        <v>521.16</v>
      </c>
      <c r="H2213">
        <v>56113</v>
      </c>
      <c r="I2213">
        <v>153</v>
      </c>
      <c r="J2213" t="s">
        <v>72</v>
      </c>
    </row>
    <row r="2214" spans="1:10" x14ac:dyDescent="0.2">
      <c r="A2214" s="1">
        <v>46071</v>
      </c>
      <c r="B2214" t="s">
        <v>10</v>
      </c>
      <c r="C2214" t="s">
        <v>73</v>
      </c>
      <c r="D2214" t="s">
        <v>71</v>
      </c>
      <c r="E2214">
        <v>59555</v>
      </c>
      <c r="F2214">
        <v>2017</v>
      </c>
      <c r="G2214">
        <v>446.05</v>
      </c>
      <c r="H2214">
        <v>45281</v>
      </c>
      <c r="I2214">
        <v>103</v>
      </c>
      <c r="J2214" t="s">
        <v>72</v>
      </c>
    </row>
    <row r="2215" spans="1:10" x14ac:dyDescent="0.2">
      <c r="A2215" s="1">
        <v>46071</v>
      </c>
      <c r="B2215" t="s">
        <v>15</v>
      </c>
      <c r="C2215" t="s">
        <v>16</v>
      </c>
      <c r="D2215" t="s">
        <v>74</v>
      </c>
      <c r="E2215">
        <v>72739</v>
      </c>
      <c r="F2215">
        <v>2634</v>
      </c>
      <c r="G2215">
        <v>563.82000000000005</v>
      </c>
      <c r="H2215">
        <v>52606</v>
      </c>
      <c r="I2215">
        <v>84</v>
      </c>
      <c r="J2215" t="s">
        <v>72</v>
      </c>
    </row>
    <row r="2216" spans="1:10" x14ac:dyDescent="0.2">
      <c r="A2216" s="1">
        <v>46071</v>
      </c>
      <c r="B2216" t="s">
        <v>15</v>
      </c>
      <c r="C2216" t="s">
        <v>76</v>
      </c>
      <c r="D2216" t="s">
        <v>74</v>
      </c>
      <c r="E2216">
        <v>104473</v>
      </c>
      <c r="F2216">
        <v>3846</v>
      </c>
      <c r="G2216">
        <v>831.43</v>
      </c>
      <c r="H2216">
        <v>81570</v>
      </c>
      <c r="I2216">
        <v>207</v>
      </c>
      <c r="J2216" t="s">
        <v>72</v>
      </c>
    </row>
    <row r="2217" spans="1:10" x14ac:dyDescent="0.2">
      <c r="A2217" s="1">
        <v>46072</v>
      </c>
      <c r="B2217" t="s">
        <v>10</v>
      </c>
      <c r="C2217" t="s">
        <v>26</v>
      </c>
      <c r="D2217" t="s">
        <v>12</v>
      </c>
      <c r="E2217">
        <v>56765</v>
      </c>
      <c r="F2217">
        <v>2343</v>
      </c>
      <c r="G2217">
        <v>430.7</v>
      </c>
      <c r="H2217">
        <v>43064</v>
      </c>
      <c r="I2217">
        <v>98</v>
      </c>
      <c r="J2217" t="s">
        <v>72</v>
      </c>
    </row>
    <row r="2218" spans="1:10" x14ac:dyDescent="0.2">
      <c r="A2218" s="1">
        <v>46072</v>
      </c>
      <c r="B2218" t="s">
        <v>10</v>
      </c>
      <c r="C2218" t="s">
        <v>73</v>
      </c>
      <c r="D2218" t="s">
        <v>71</v>
      </c>
      <c r="E2218">
        <v>104647</v>
      </c>
      <c r="F2218">
        <v>4339</v>
      </c>
      <c r="G2218">
        <v>947.38</v>
      </c>
      <c r="H2218">
        <v>78533</v>
      </c>
      <c r="I2218">
        <v>143</v>
      </c>
      <c r="J2218" t="s">
        <v>72</v>
      </c>
    </row>
    <row r="2219" spans="1:10" x14ac:dyDescent="0.2">
      <c r="A2219" s="1">
        <v>46072</v>
      </c>
      <c r="B2219" t="s">
        <v>15</v>
      </c>
      <c r="C2219" t="s">
        <v>16</v>
      </c>
      <c r="D2219" t="s">
        <v>75</v>
      </c>
      <c r="E2219">
        <v>34202</v>
      </c>
      <c r="F2219">
        <v>1353</v>
      </c>
      <c r="G2219">
        <v>292.52</v>
      </c>
      <c r="H2219">
        <v>24717</v>
      </c>
      <c r="I2219">
        <v>45</v>
      </c>
      <c r="J2219" t="s">
        <v>72</v>
      </c>
    </row>
    <row r="2220" spans="1:10" x14ac:dyDescent="0.2">
      <c r="A2220" s="1">
        <v>46072</v>
      </c>
      <c r="B2220" t="s">
        <v>15</v>
      </c>
      <c r="C2220" t="s">
        <v>76</v>
      </c>
      <c r="D2220" t="s">
        <v>74</v>
      </c>
      <c r="E2220">
        <v>67200</v>
      </c>
      <c r="F2220">
        <v>2075</v>
      </c>
      <c r="G2220">
        <v>409.74</v>
      </c>
      <c r="H2220">
        <v>51907</v>
      </c>
      <c r="I2220">
        <v>86</v>
      </c>
      <c r="J2220" t="s">
        <v>72</v>
      </c>
    </row>
    <row r="2221" spans="1:10" x14ac:dyDescent="0.2">
      <c r="A2221" s="1">
        <v>46073</v>
      </c>
      <c r="B2221" t="s">
        <v>10</v>
      </c>
      <c r="C2221" t="s">
        <v>26</v>
      </c>
      <c r="D2221" t="s">
        <v>12</v>
      </c>
      <c r="E2221">
        <v>97964</v>
      </c>
      <c r="F2221">
        <v>2758</v>
      </c>
      <c r="G2221">
        <v>550.51</v>
      </c>
      <c r="H2221">
        <v>79446</v>
      </c>
      <c r="I2221">
        <v>109</v>
      </c>
      <c r="J2221" t="s">
        <v>72</v>
      </c>
    </row>
    <row r="2222" spans="1:10" x14ac:dyDescent="0.2">
      <c r="A2222" s="1">
        <v>46073</v>
      </c>
      <c r="B2222" t="s">
        <v>10</v>
      </c>
      <c r="C2222" t="s">
        <v>73</v>
      </c>
      <c r="D2222" t="s">
        <v>74</v>
      </c>
      <c r="E2222">
        <v>46926</v>
      </c>
      <c r="F2222">
        <v>1666</v>
      </c>
      <c r="G2222">
        <v>347.69</v>
      </c>
      <c r="H2222">
        <v>34109</v>
      </c>
      <c r="I2222">
        <v>94</v>
      </c>
      <c r="J2222" t="s">
        <v>72</v>
      </c>
    </row>
    <row r="2223" spans="1:10" x14ac:dyDescent="0.2">
      <c r="A2223" s="1">
        <v>46073</v>
      </c>
      <c r="B2223" t="s">
        <v>15</v>
      </c>
      <c r="C2223" t="s">
        <v>16</v>
      </c>
      <c r="D2223" t="s">
        <v>75</v>
      </c>
      <c r="E2223">
        <v>47030</v>
      </c>
      <c r="F2223">
        <v>1889</v>
      </c>
      <c r="G2223">
        <v>375.13</v>
      </c>
      <c r="H2223">
        <v>37708</v>
      </c>
      <c r="I2223">
        <v>90</v>
      </c>
      <c r="J2223" t="s">
        <v>72</v>
      </c>
    </row>
    <row r="2224" spans="1:10" x14ac:dyDescent="0.2">
      <c r="A2224" s="1">
        <v>46073</v>
      </c>
      <c r="B2224" t="s">
        <v>15</v>
      </c>
      <c r="C2224" t="s">
        <v>76</v>
      </c>
      <c r="D2224" t="s">
        <v>75</v>
      </c>
      <c r="E2224">
        <v>109129</v>
      </c>
      <c r="F2224">
        <v>3934</v>
      </c>
      <c r="G2224">
        <v>781.37</v>
      </c>
      <c r="H2224">
        <v>80787</v>
      </c>
      <c r="I2224">
        <v>194</v>
      </c>
      <c r="J2224" t="s">
        <v>72</v>
      </c>
    </row>
    <row r="2225" spans="1:10" x14ac:dyDescent="0.2">
      <c r="A2225" s="1">
        <v>46074</v>
      </c>
      <c r="B2225" t="s">
        <v>10</v>
      </c>
      <c r="C2225" t="s">
        <v>26</v>
      </c>
      <c r="D2225" t="s">
        <v>12</v>
      </c>
      <c r="E2225">
        <v>92542</v>
      </c>
      <c r="F2225">
        <v>2852</v>
      </c>
      <c r="G2225">
        <v>682.95</v>
      </c>
      <c r="H2225">
        <v>70755</v>
      </c>
      <c r="I2225">
        <v>150</v>
      </c>
      <c r="J2225" t="s">
        <v>72</v>
      </c>
    </row>
    <row r="2226" spans="1:10" x14ac:dyDescent="0.2">
      <c r="A2226" s="1">
        <v>46074</v>
      </c>
      <c r="B2226" t="s">
        <v>10</v>
      </c>
      <c r="C2226" t="s">
        <v>73</v>
      </c>
      <c r="D2226" t="s">
        <v>74</v>
      </c>
      <c r="E2226">
        <v>138495</v>
      </c>
      <c r="F2226">
        <v>4515</v>
      </c>
      <c r="G2226">
        <v>966.9</v>
      </c>
      <c r="H2226">
        <v>106515</v>
      </c>
      <c r="I2226">
        <v>189</v>
      </c>
      <c r="J2226" t="s">
        <v>72</v>
      </c>
    </row>
    <row r="2227" spans="1:10" x14ac:dyDescent="0.2">
      <c r="A2227" s="1">
        <v>46074</v>
      </c>
      <c r="B2227" t="s">
        <v>15</v>
      </c>
      <c r="C2227" t="s">
        <v>16</v>
      </c>
      <c r="D2227" t="s">
        <v>75</v>
      </c>
      <c r="E2227">
        <v>58717</v>
      </c>
      <c r="F2227">
        <v>1880</v>
      </c>
      <c r="G2227">
        <v>437.78</v>
      </c>
      <c r="H2227">
        <v>44955</v>
      </c>
      <c r="I2227">
        <v>92</v>
      </c>
      <c r="J2227" t="s">
        <v>72</v>
      </c>
    </row>
    <row r="2228" spans="1:10" x14ac:dyDescent="0.2">
      <c r="A2228" s="1">
        <v>46074</v>
      </c>
      <c r="B2228" t="s">
        <v>15</v>
      </c>
      <c r="C2228" t="s">
        <v>76</v>
      </c>
      <c r="D2228" t="s">
        <v>74</v>
      </c>
      <c r="E2228">
        <v>113764</v>
      </c>
      <c r="F2228">
        <v>4161</v>
      </c>
      <c r="G2228">
        <v>951.2</v>
      </c>
      <c r="H2228">
        <v>83902</v>
      </c>
      <c r="I2228">
        <v>147</v>
      </c>
      <c r="J2228" t="s">
        <v>72</v>
      </c>
    </row>
    <row r="2229" spans="1:10" x14ac:dyDescent="0.2">
      <c r="A2229" s="1">
        <v>46074</v>
      </c>
      <c r="B2229" t="s">
        <v>19</v>
      </c>
      <c r="C2229" t="s">
        <v>26</v>
      </c>
      <c r="D2229" t="s">
        <v>74</v>
      </c>
      <c r="E2229">
        <v>126011</v>
      </c>
      <c r="F2229">
        <v>4206</v>
      </c>
      <c r="G2229">
        <v>923.41</v>
      </c>
      <c r="H2229">
        <v>99530</v>
      </c>
      <c r="I2229">
        <v>129</v>
      </c>
      <c r="J2229" t="s">
        <v>72</v>
      </c>
    </row>
    <row r="2230" spans="1:10" x14ac:dyDescent="0.2">
      <c r="A2230" s="1">
        <v>46074</v>
      </c>
      <c r="B2230" t="s">
        <v>19</v>
      </c>
      <c r="C2230" t="s">
        <v>73</v>
      </c>
      <c r="D2230" t="s">
        <v>12</v>
      </c>
      <c r="E2230">
        <v>85983</v>
      </c>
      <c r="F2230">
        <v>3473</v>
      </c>
      <c r="G2230">
        <v>658.05</v>
      </c>
      <c r="H2230">
        <v>69496</v>
      </c>
      <c r="I2230">
        <v>153</v>
      </c>
      <c r="J2230" t="s">
        <v>72</v>
      </c>
    </row>
    <row r="2231" spans="1:10" x14ac:dyDescent="0.2">
      <c r="A2231" s="1">
        <v>46075</v>
      </c>
      <c r="B2231" t="s">
        <v>10</v>
      </c>
      <c r="C2231" t="s">
        <v>26</v>
      </c>
      <c r="D2231" t="s">
        <v>71</v>
      </c>
      <c r="E2231">
        <v>54247</v>
      </c>
      <c r="F2231">
        <v>2049</v>
      </c>
      <c r="G2231">
        <v>457.63</v>
      </c>
      <c r="H2231">
        <v>40236</v>
      </c>
      <c r="I2231">
        <v>87</v>
      </c>
      <c r="J2231" t="s">
        <v>72</v>
      </c>
    </row>
    <row r="2232" spans="1:10" x14ac:dyDescent="0.2">
      <c r="A2232" s="1">
        <v>46075</v>
      </c>
      <c r="B2232" t="s">
        <v>10</v>
      </c>
      <c r="C2232" t="s">
        <v>73</v>
      </c>
      <c r="D2232" t="s">
        <v>74</v>
      </c>
      <c r="E2232">
        <v>109662</v>
      </c>
      <c r="F2232">
        <v>3188</v>
      </c>
      <c r="G2232">
        <v>593.97</v>
      </c>
      <c r="H2232">
        <v>87362</v>
      </c>
      <c r="I2232">
        <v>120</v>
      </c>
      <c r="J2232" t="s">
        <v>72</v>
      </c>
    </row>
    <row r="2233" spans="1:10" x14ac:dyDescent="0.2">
      <c r="A2233" s="1">
        <v>46075</v>
      </c>
      <c r="B2233" t="s">
        <v>15</v>
      </c>
      <c r="C2233" t="s">
        <v>16</v>
      </c>
      <c r="D2233" t="s">
        <v>74</v>
      </c>
      <c r="E2233">
        <v>72247</v>
      </c>
      <c r="F2233">
        <v>2278</v>
      </c>
      <c r="G2233">
        <v>479.21</v>
      </c>
      <c r="H2233">
        <v>55356</v>
      </c>
      <c r="I2233">
        <v>68</v>
      </c>
      <c r="J2233" t="s">
        <v>72</v>
      </c>
    </row>
    <row r="2234" spans="1:10" x14ac:dyDescent="0.2">
      <c r="A2234" s="1">
        <v>46075</v>
      </c>
      <c r="B2234" t="s">
        <v>15</v>
      </c>
      <c r="C2234" t="s">
        <v>76</v>
      </c>
      <c r="D2234" t="s">
        <v>74</v>
      </c>
      <c r="E2234">
        <v>111941</v>
      </c>
      <c r="F2234">
        <v>3672</v>
      </c>
      <c r="G2234">
        <v>748.94</v>
      </c>
      <c r="H2234">
        <v>82773</v>
      </c>
      <c r="I2234">
        <v>106</v>
      </c>
      <c r="J2234" t="s">
        <v>72</v>
      </c>
    </row>
    <row r="2235" spans="1:10" x14ac:dyDescent="0.2">
      <c r="A2235" s="1">
        <v>46075</v>
      </c>
      <c r="B2235" t="s">
        <v>19</v>
      </c>
      <c r="C2235" t="s">
        <v>26</v>
      </c>
      <c r="D2235" t="s">
        <v>74</v>
      </c>
      <c r="E2235">
        <v>63043</v>
      </c>
      <c r="F2235">
        <v>2391</v>
      </c>
      <c r="G2235">
        <v>449.96</v>
      </c>
      <c r="H2235">
        <v>49616</v>
      </c>
      <c r="I2235">
        <v>100</v>
      </c>
      <c r="J2235" t="s">
        <v>72</v>
      </c>
    </row>
    <row r="2236" spans="1:10" x14ac:dyDescent="0.2">
      <c r="A2236" s="1">
        <v>46075</v>
      </c>
      <c r="B2236" t="s">
        <v>19</v>
      </c>
      <c r="C2236" t="s">
        <v>73</v>
      </c>
      <c r="D2236" t="s">
        <v>74</v>
      </c>
      <c r="E2236">
        <v>54520</v>
      </c>
      <c r="F2236">
        <v>1589</v>
      </c>
      <c r="G2236">
        <v>348.66</v>
      </c>
      <c r="H2236">
        <v>43144</v>
      </c>
      <c r="I2236">
        <v>65</v>
      </c>
      <c r="J2236" t="s">
        <v>72</v>
      </c>
    </row>
    <row r="2237" spans="1:10" x14ac:dyDescent="0.2">
      <c r="A2237" s="1">
        <v>46076</v>
      </c>
      <c r="B2237" t="s">
        <v>10</v>
      </c>
      <c r="C2237" t="s">
        <v>26</v>
      </c>
      <c r="D2237" t="s">
        <v>12</v>
      </c>
      <c r="E2237">
        <v>66587</v>
      </c>
      <c r="F2237">
        <v>2648</v>
      </c>
      <c r="G2237">
        <v>503.74</v>
      </c>
      <c r="H2237">
        <v>48062</v>
      </c>
      <c r="I2237">
        <v>82</v>
      </c>
      <c r="J2237" t="s">
        <v>72</v>
      </c>
    </row>
    <row r="2238" spans="1:10" x14ac:dyDescent="0.2">
      <c r="A2238" s="1">
        <v>46076</v>
      </c>
      <c r="B2238" t="s">
        <v>10</v>
      </c>
      <c r="C2238" t="s">
        <v>73</v>
      </c>
      <c r="D2238" t="s">
        <v>71</v>
      </c>
      <c r="E2238">
        <v>46272</v>
      </c>
      <c r="F2238">
        <v>1641</v>
      </c>
      <c r="G2238">
        <v>333.86</v>
      </c>
      <c r="H2238">
        <v>33674</v>
      </c>
      <c r="I2238">
        <v>83</v>
      </c>
      <c r="J2238" t="s">
        <v>72</v>
      </c>
    </row>
    <row r="2239" spans="1:10" x14ac:dyDescent="0.2">
      <c r="A2239" s="1">
        <v>46076</v>
      </c>
      <c r="B2239" t="s">
        <v>15</v>
      </c>
      <c r="C2239" t="s">
        <v>16</v>
      </c>
      <c r="D2239" t="s">
        <v>74</v>
      </c>
      <c r="E2239">
        <v>50119</v>
      </c>
      <c r="F2239">
        <v>1712</v>
      </c>
      <c r="G2239">
        <v>326.44</v>
      </c>
      <c r="H2239">
        <v>39666</v>
      </c>
      <c r="I2239">
        <v>93</v>
      </c>
      <c r="J2239" t="s">
        <v>72</v>
      </c>
    </row>
    <row r="2240" spans="1:10" x14ac:dyDescent="0.2">
      <c r="A2240" s="1">
        <v>46076</v>
      </c>
      <c r="B2240" t="s">
        <v>15</v>
      </c>
      <c r="C2240" t="s">
        <v>76</v>
      </c>
      <c r="D2240" t="s">
        <v>75</v>
      </c>
      <c r="E2240">
        <v>87941</v>
      </c>
      <c r="F2240">
        <v>3320</v>
      </c>
      <c r="G2240">
        <v>764.23</v>
      </c>
      <c r="H2240">
        <v>70454</v>
      </c>
      <c r="I2240">
        <v>156</v>
      </c>
      <c r="J2240" t="s">
        <v>72</v>
      </c>
    </row>
    <row r="2241" spans="1:10" x14ac:dyDescent="0.2">
      <c r="A2241" s="1">
        <v>46077</v>
      </c>
      <c r="B2241" t="s">
        <v>10</v>
      </c>
      <c r="C2241" t="s">
        <v>26</v>
      </c>
      <c r="D2241" t="s">
        <v>71</v>
      </c>
      <c r="E2241">
        <v>43473</v>
      </c>
      <c r="F2241">
        <v>1454</v>
      </c>
      <c r="G2241">
        <v>288.62</v>
      </c>
      <c r="H2241">
        <v>31528</v>
      </c>
      <c r="I2241">
        <v>40</v>
      </c>
      <c r="J2241" t="s">
        <v>72</v>
      </c>
    </row>
    <row r="2242" spans="1:10" x14ac:dyDescent="0.2">
      <c r="A2242" s="1">
        <v>46077</v>
      </c>
      <c r="B2242" t="s">
        <v>10</v>
      </c>
      <c r="C2242" t="s">
        <v>73</v>
      </c>
      <c r="D2242" t="s">
        <v>71</v>
      </c>
      <c r="E2242">
        <v>56442</v>
      </c>
      <c r="F2242">
        <v>2314</v>
      </c>
      <c r="G2242">
        <v>468.54</v>
      </c>
      <c r="H2242">
        <v>41984</v>
      </c>
      <c r="I2242">
        <v>71</v>
      </c>
      <c r="J2242" t="s">
        <v>72</v>
      </c>
    </row>
    <row r="2243" spans="1:10" x14ac:dyDescent="0.2">
      <c r="A2243" s="1">
        <v>46077</v>
      </c>
      <c r="B2243" t="s">
        <v>15</v>
      </c>
      <c r="C2243" t="s">
        <v>16</v>
      </c>
      <c r="D2243" t="s">
        <v>74</v>
      </c>
      <c r="E2243">
        <v>33662</v>
      </c>
      <c r="F2243">
        <v>1408</v>
      </c>
      <c r="G2243">
        <v>281.92</v>
      </c>
      <c r="H2243">
        <v>24883</v>
      </c>
      <c r="I2243">
        <v>67</v>
      </c>
      <c r="J2243" t="s">
        <v>72</v>
      </c>
    </row>
    <row r="2244" spans="1:10" x14ac:dyDescent="0.2">
      <c r="A2244" s="1">
        <v>46077</v>
      </c>
      <c r="B2244" t="s">
        <v>15</v>
      </c>
      <c r="C2244" t="s">
        <v>76</v>
      </c>
      <c r="D2244" t="s">
        <v>75</v>
      </c>
      <c r="E2244">
        <v>42661</v>
      </c>
      <c r="F2244">
        <v>1670</v>
      </c>
      <c r="G2244">
        <v>383.81</v>
      </c>
      <c r="H2244">
        <v>31432</v>
      </c>
      <c r="I2244">
        <v>55</v>
      </c>
      <c r="J2244" t="s">
        <v>72</v>
      </c>
    </row>
    <row r="2245" spans="1:10" x14ac:dyDescent="0.2">
      <c r="A2245" s="1">
        <v>46078</v>
      </c>
      <c r="B2245" t="s">
        <v>10</v>
      </c>
      <c r="C2245" t="s">
        <v>26</v>
      </c>
      <c r="D2245" t="s">
        <v>12</v>
      </c>
      <c r="E2245">
        <v>97174</v>
      </c>
      <c r="F2245">
        <v>2867</v>
      </c>
      <c r="G2245">
        <v>572.33000000000004</v>
      </c>
      <c r="H2245">
        <v>75426</v>
      </c>
      <c r="I2245">
        <v>96</v>
      </c>
      <c r="J2245" t="s">
        <v>72</v>
      </c>
    </row>
    <row r="2246" spans="1:10" x14ac:dyDescent="0.2">
      <c r="A2246" s="1">
        <v>46078</v>
      </c>
      <c r="B2246" t="s">
        <v>10</v>
      </c>
      <c r="C2246" t="s">
        <v>73</v>
      </c>
      <c r="D2246" t="s">
        <v>74</v>
      </c>
      <c r="E2246">
        <v>101002</v>
      </c>
      <c r="F2246">
        <v>3386</v>
      </c>
      <c r="G2246">
        <v>696.41</v>
      </c>
      <c r="H2246">
        <v>75068</v>
      </c>
      <c r="I2246">
        <v>105</v>
      </c>
      <c r="J2246" t="s">
        <v>72</v>
      </c>
    </row>
    <row r="2247" spans="1:10" x14ac:dyDescent="0.2">
      <c r="A2247" s="1">
        <v>46078</v>
      </c>
      <c r="B2247" t="s">
        <v>15</v>
      </c>
      <c r="C2247" t="s">
        <v>16</v>
      </c>
      <c r="D2247" t="s">
        <v>74</v>
      </c>
      <c r="E2247">
        <v>52756</v>
      </c>
      <c r="F2247">
        <v>1488</v>
      </c>
      <c r="G2247">
        <v>326.23</v>
      </c>
      <c r="H2247">
        <v>38047</v>
      </c>
      <c r="I2247">
        <v>51</v>
      </c>
      <c r="J2247" t="s">
        <v>72</v>
      </c>
    </row>
    <row r="2248" spans="1:10" x14ac:dyDescent="0.2">
      <c r="A2248" s="1">
        <v>46078</v>
      </c>
      <c r="B2248" t="s">
        <v>15</v>
      </c>
      <c r="C2248" t="s">
        <v>76</v>
      </c>
      <c r="D2248" t="s">
        <v>75</v>
      </c>
      <c r="E2248">
        <v>38652</v>
      </c>
      <c r="F2248">
        <v>1438</v>
      </c>
      <c r="G2248">
        <v>282.87</v>
      </c>
      <c r="H2248">
        <v>30240</v>
      </c>
      <c r="I2248">
        <v>42</v>
      </c>
      <c r="J2248" t="s">
        <v>72</v>
      </c>
    </row>
    <row r="2249" spans="1:10" x14ac:dyDescent="0.2">
      <c r="A2249" s="1">
        <v>46079</v>
      </c>
      <c r="B2249" t="s">
        <v>10</v>
      </c>
      <c r="C2249" t="s">
        <v>26</v>
      </c>
      <c r="D2249" t="s">
        <v>74</v>
      </c>
      <c r="E2249">
        <v>83883</v>
      </c>
      <c r="F2249">
        <v>2702</v>
      </c>
      <c r="G2249">
        <v>583.45000000000005</v>
      </c>
      <c r="H2249">
        <v>68642</v>
      </c>
      <c r="I2249">
        <v>83</v>
      </c>
      <c r="J2249" t="s">
        <v>72</v>
      </c>
    </row>
    <row r="2250" spans="1:10" x14ac:dyDescent="0.2">
      <c r="A2250" s="1">
        <v>46079</v>
      </c>
      <c r="B2250" t="s">
        <v>10</v>
      </c>
      <c r="C2250" t="s">
        <v>73</v>
      </c>
      <c r="D2250" t="s">
        <v>74</v>
      </c>
      <c r="E2250">
        <v>63022</v>
      </c>
      <c r="F2250">
        <v>2610</v>
      </c>
      <c r="G2250">
        <v>563.74</v>
      </c>
      <c r="H2250">
        <v>51560</v>
      </c>
      <c r="I2250">
        <v>127</v>
      </c>
      <c r="J2250" t="s">
        <v>72</v>
      </c>
    </row>
    <row r="2251" spans="1:10" x14ac:dyDescent="0.2">
      <c r="A2251" s="1">
        <v>46079</v>
      </c>
      <c r="B2251" t="s">
        <v>15</v>
      </c>
      <c r="C2251" t="s">
        <v>16</v>
      </c>
      <c r="D2251" t="s">
        <v>75</v>
      </c>
      <c r="E2251">
        <v>73522</v>
      </c>
      <c r="F2251">
        <v>2239</v>
      </c>
      <c r="G2251">
        <v>505.35</v>
      </c>
      <c r="H2251">
        <v>57991</v>
      </c>
      <c r="I2251">
        <v>128</v>
      </c>
      <c r="J2251" t="s">
        <v>72</v>
      </c>
    </row>
    <row r="2252" spans="1:10" x14ac:dyDescent="0.2">
      <c r="A2252" s="1">
        <v>46079</v>
      </c>
      <c r="B2252" t="s">
        <v>15</v>
      </c>
      <c r="C2252" t="s">
        <v>76</v>
      </c>
      <c r="D2252" t="s">
        <v>74</v>
      </c>
      <c r="E2252">
        <v>38849</v>
      </c>
      <c r="F2252">
        <v>1270</v>
      </c>
      <c r="G2252">
        <v>274.97000000000003</v>
      </c>
      <c r="H2252">
        <v>30244</v>
      </c>
      <c r="I2252">
        <v>50</v>
      </c>
      <c r="J2252" t="s">
        <v>72</v>
      </c>
    </row>
    <row r="2253" spans="1:10" x14ac:dyDescent="0.2">
      <c r="A2253" s="1">
        <v>46080</v>
      </c>
      <c r="B2253" t="s">
        <v>10</v>
      </c>
      <c r="C2253" t="s">
        <v>26</v>
      </c>
      <c r="D2253" t="s">
        <v>71</v>
      </c>
      <c r="E2253">
        <v>60464</v>
      </c>
      <c r="F2253">
        <v>2119</v>
      </c>
      <c r="G2253">
        <v>471.01</v>
      </c>
      <c r="H2253">
        <v>43614</v>
      </c>
      <c r="I2253">
        <v>60</v>
      </c>
      <c r="J2253" t="s">
        <v>72</v>
      </c>
    </row>
    <row r="2254" spans="1:10" x14ac:dyDescent="0.2">
      <c r="A2254" s="1">
        <v>46080</v>
      </c>
      <c r="B2254" t="s">
        <v>10</v>
      </c>
      <c r="C2254" t="s">
        <v>73</v>
      </c>
      <c r="D2254" t="s">
        <v>74</v>
      </c>
      <c r="E2254">
        <v>70481</v>
      </c>
      <c r="F2254">
        <v>2206</v>
      </c>
      <c r="G2254">
        <v>453.8</v>
      </c>
      <c r="H2254">
        <v>52462</v>
      </c>
      <c r="I2254">
        <v>67</v>
      </c>
      <c r="J2254" t="s">
        <v>72</v>
      </c>
    </row>
    <row r="2255" spans="1:10" x14ac:dyDescent="0.2">
      <c r="A2255" s="1">
        <v>46080</v>
      </c>
      <c r="B2255" t="s">
        <v>15</v>
      </c>
      <c r="C2255" t="s">
        <v>16</v>
      </c>
      <c r="D2255" t="s">
        <v>75</v>
      </c>
      <c r="E2255">
        <v>79089</v>
      </c>
      <c r="F2255">
        <v>2766</v>
      </c>
      <c r="G2255">
        <v>531.41</v>
      </c>
      <c r="H2255">
        <v>59915</v>
      </c>
      <c r="I2255">
        <v>130</v>
      </c>
      <c r="J2255" t="s">
        <v>72</v>
      </c>
    </row>
    <row r="2256" spans="1:10" x14ac:dyDescent="0.2">
      <c r="A2256" s="1">
        <v>46080</v>
      </c>
      <c r="B2256" t="s">
        <v>15</v>
      </c>
      <c r="C2256" t="s">
        <v>76</v>
      </c>
      <c r="D2256" t="s">
        <v>75</v>
      </c>
      <c r="E2256">
        <v>108390</v>
      </c>
      <c r="F2256">
        <v>4535</v>
      </c>
      <c r="G2256">
        <v>937.04</v>
      </c>
      <c r="H2256">
        <v>87550</v>
      </c>
      <c r="I2256">
        <v>145</v>
      </c>
      <c r="J2256" t="s">
        <v>72</v>
      </c>
    </row>
    <row r="2257" spans="1:10" x14ac:dyDescent="0.2">
      <c r="A2257" s="1">
        <v>46081</v>
      </c>
      <c r="B2257" t="s">
        <v>10</v>
      </c>
      <c r="C2257" t="s">
        <v>26</v>
      </c>
      <c r="D2257" t="s">
        <v>12</v>
      </c>
      <c r="E2257">
        <v>49267</v>
      </c>
      <c r="F2257">
        <v>1738</v>
      </c>
      <c r="G2257">
        <v>414.78</v>
      </c>
      <c r="H2257">
        <v>38664</v>
      </c>
      <c r="I2257">
        <v>63</v>
      </c>
      <c r="J2257" t="s">
        <v>72</v>
      </c>
    </row>
    <row r="2258" spans="1:10" x14ac:dyDescent="0.2">
      <c r="A2258" s="1">
        <v>46081</v>
      </c>
      <c r="B2258" t="s">
        <v>10</v>
      </c>
      <c r="C2258" t="s">
        <v>73</v>
      </c>
      <c r="D2258" t="s">
        <v>74</v>
      </c>
      <c r="E2258">
        <v>84022</v>
      </c>
      <c r="F2258">
        <v>3348</v>
      </c>
      <c r="G2258">
        <v>669.19</v>
      </c>
      <c r="H2258">
        <v>62531</v>
      </c>
      <c r="I2258">
        <v>147</v>
      </c>
      <c r="J2258" t="s">
        <v>72</v>
      </c>
    </row>
    <row r="2259" spans="1:10" x14ac:dyDescent="0.2">
      <c r="A2259" s="1">
        <v>46081</v>
      </c>
      <c r="B2259" t="s">
        <v>15</v>
      </c>
      <c r="C2259" t="s">
        <v>16</v>
      </c>
      <c r="D2259" t="s">
        <v>75</v>
      </c>
      <c r="E2259">
        <v>82818</v>
      </c>
      <c r="F2259">
        <v>3023</v>
      </c>
      <c r="G2259">
        <v>613.33000000000004</v>
      </c>
      <c r="H2259">
        <v>62292</v>
      </c>
      <c r="I2259">
        <v>124</v>
      </c>
      <c r="J2259" t="s">
        <v>72</v>
      </c>
    </row>
    <row r="2260" spans="1:10" x14ac:dyDescent="0.2">
      <c r="A2260" s="1">
        <v>46081</v>
      </c>
      <c r="B2260" t="s">
        <v>15</v>
      </c>
      <c r="C2260" t="s">
        <v>76</v>
      </c>
      <c r="D2260" t="s">
        <v>75</v>
      </c>
      <c r="E2260">
        <v>53856</v>
      </c>
      <c r="F2260">
        <v>2163</v>
      </c>
      <c r="G2260">
        <v>398.42</v>
      </c>
      <c r="H2260">
        <v>39812</v>
      </c>
      <c r="I2260">
        <v>101</v>
      </c>
      <c r="J2260" t="s">
        <v>72</v>
      </c>
    </row>
    <row r="2261" spans="1:10" x14ac:dyDescent="0.2">
      <c r="A2261" s="1">
        <v>46081</v>
      </c>
      <c r="B2261" t="s">
        <v>19</v>
      </c>
      <c r="C2261" t="s">
        <v>26</v>
      </c>
      <c r="D2261" t="s">
        <v>12</v>
      </c>
      <c r="E2261">
        <v>79473</v>
      </c>
      <c r="F2261">
        <v>2364</v>
      </c>
      <c r="G2261">
        <v>450.15</v>
      </c>
      <c r="H2261">
        <v>61582</v>
      </c>
      <c r="I2261">
        <v>122</v>
      </c>
      <c r="J2261" t="s">
        <v>72</v>
      </c>
    </row>
    <row r="2262" spans="1:10" x14ac:dyDescent="0.2">
      <c r="A2262" s="1">
        <v>46081</v>
      </c>
      <c r="B2262" t="s">
        <v>19</v>
      </c>
      <c r="C2262" t="s">
        <v>73</v>
      </c>
      <c r="D2262" t="s">
        <v>12</v>
      </c>
      <c r="E2262">
        <v>85362</v>
      </c>
      <c r="F2262">
        <v>2996</v>
      </c>
      <c r="G2262">
        <v>615.9</v>
      </c>
      <c r="H2262">
        <v>65447</v>
      </c>
      <c r="I2262">
        <v>98</v>
      </c>
      <c r="J2262" t="s">
        <v>72</v>
      </c>
    </row>
    <row r="2263" spans="1:10" x14ac:dyDescent="0.2">
      <c r="A2263" s="1">
        <v>46082</v>
      </c>
      <c r="B2263" t="s">
        <v>10</v>
      </c>
      <c r="C2263" t="s">
        <v>26</v>
      </c>
      <c r="D2263" t="s">
        <v>74</v>
      </c>
      <c r="E2263">
        <v>80732</v>
      </c>
      <c r="F2263">
        <v>2739</v>
      </c>
      <c r="G2263">
        <v>592.59</v>
      </c>
      <c r="H2263">
        <v>60574</v>
      </c>
      <c r="I2263">
        <v>124</v>
      </c>
      <c r="J2263" t="s">
        <v>72</v>
      </c>
    </row>
    <row r="2264" spans="1:10" x14ac:dyDescent="0.2">
      <c r="A2264" s="1">
        <v>46082</v>
      </c>
      <c r="B2264" t="s">
        <v>10</v>
      </c>
      <c r="C2264" t="s">
        <v>73</v>
      </c>
      <c r="D2264" t="s">
        <v>74</v>
      </c>
      <c r="E2264">
        <v>85322</v>
      </c>
      <c r="F2264">
        <v>3419</v>
      </c>
      <c r="G2264">
        <v>714.13</v>
      </c>
      <c r="H2264">
        <v>69546</v>
      </c>
      <c r="I2264">
        <v>132</v>
      </c>
      <c r="J2264" t="s">
        <v>72</v>
      </c>
    </row>
    <row r="2265" spans="1:10" x14ac:dyDescent="0.2">
      <c r="A2265" s="1">
        <v>46082</v>
      </c>
      <c r="B2265" t="s">
        <v>15</v>
      </c>
      <c r="C2265" t="s">
        <v>16</v>
      </c>
      <c r="D2265" t="s">
        <v>74</v>
      </c>
      <c r="E2265">
        <v>67585</v>
      </c>
      <c r="F2265">
        <v>2337</v>
      </c>
      <c r="G2265">
        <v>479.93</v>
      </c>
      <c r="H2265">
        <v>52779</v>
      </c>
      <c r="I2265">
        <v>95</v>
      </c>
      <c r="J2265" t="s">
        <v>72</v>
      </c>
    </row>
    <row r="2266" spans="1:10" x14ac:dyDescent="0.2">
      <c r="A2266" s="1">
        <v>46082</v>
      </c>
      <c r="B2266" t="s">
        <v>15</v>
      </c>
      <c r="C2266" t="s">
        <v>76</v>
      </c>
      <c r="D2266" t="s">
        <v>75</v>
      </c>
      <c r="E2266">
        <v>121128</v>
      </c>
      <c r="F2266">
        <v>3425</v>
      </c>
      <c r="G2266">
        <v>694.88</v>
      </c>
      <c r="H2266">
        <v>97557</v>
      </c>
      <c r="I2266">
        <v>173</v>
      </c>
      <c r="J2266" t="s">
        <v>72</v>
      </c>
    </row>
    <row r="2267" spans="1:10" x14ac:dyDescent="0.2">
      <c r="A2267" s="1">
        <v>46082</v>
      </c>
      <c r="B2267" t="s">
        <v>19</v>
      </c>
      <c r="C2267" t="s">
        <v>26</v>
      </c>
      <c r="D2267" t="s">
        <v>74</v>
      </c>
      <c r="E2267">
        <v>140414</v>
      </c>
      <c r="F2267">
        <v>4987</v>
      </c>
      <c r="G2267">
        <v>1063.08</v>
      </c>
      <c r="H2267">
        <v>103565</v>
      </c>
      <c r="I2267">
        <v>196</v>
      </c>
      <c r="J2267" t="s">
        <v>72</v>
      </c>
    </row>
    <row r="2268" spans="1:10" x14ac:dyDescent="0.2">
      <c r="A2268" s="1">
        <v>46082</v>
      </c>
      <c r="B2268" t="s">
        <v>19</v>
      </c>
      <c r="C2268" t="s">
        <v>73</v>
      </c>
      <c r="D2268" t="s">
        <v>74</v>
      </c>
      <c r="E2268">
        <v>116290</v>
      </c>
      <c r="F2268">
        <v>3717</v>
      </c>
      <c r="G2268">
        <v>794.43</v>
      </c>
      <c r="H2268">
        <v>89320</v>
      </c>
      <c r="I2268">
        <v>141</v>
      </c>
      <c r="J2268" t="s">
        <v>72</v>
      </c>
    </row>
    <row r="2269" spans="1:10" x14ac:dyDescent="0.2">
      <c r="A2269" s="1">
        <v>46083</v>
      </c>
      <c r="B2269" t="s">
        <v>10</v>
      </c>
      <c r="C2269" t="s">
        <v>26</v>
      </c>
      <c r="D2269" t="s">
        <v>71</v>
      </c>
      <c r="E2269">
        <v>118957</v>
      </c>
      <c r="F2269">
        <v>3656</v>
      </c>
      <c r="G2269">
        <v>859.04</v>
      </c>
      <c r="H2269">
        <v>85698</v>
      </c>
      <c r="I2269">
        <v>196</v>
      </c>
      <c r="J2269" t="s">
        <v>72</v>
      </c>
    </row>
    <row r="2270" spans="1:10" x14ac:dyDescent="0.2">
      <c r="A2270" s="1">
        <v>46083</v>
      </c>
      <c r="B2270" t="s">
        <v>10</v>
      </c>
      <c r="C2270" t="s">
        <v>73</v>
      </c>
      <c r="D2270" t="s">
        <v>71</v>
      </c>
      <c r="E2270">
        <v>122739</v>
      </c>
      <c r="F2270">
        <v>4131</v>
      </c>
      <c r="G2270">
        <v>846.65</v>
      </c>
      <c r="H2270">
        <v>93215</v>
      </c>
      <c r="I2270">
        <v>207</v>
      </c>
      <c r="J2270" t="s">
        <v>72</v>
      </c>
    </row>
    <row r="2271" spans="1:10" x14ac:dyDescent="0.2">
      <c r="A2271" s="1">
        <v>46083</v>
      </c>
      <c r="B2271" t="s">
        <v>15</v>
      </c>
      <c r="C2271" t="s">
        <v>16</v>
      </c>
      <c r="D2271" t="s">
        <v>74</v>
      </c>
      <c r="E2271">
        <v>122415</v>
      </c>
      <c r="F2271">
        <v>3955</v>
      </c>
      <c r="G2271">
        <v>946.24</v>
      </c>
      <c r="H2271">
        <v>89010</v>
      </c>
      <c r="I2271">
        <v>215</v>
      </c>
      <c r="J2271" t="s">
        <v>72</v>
      </c>
    </row>
    <row r="2272" spans="1:10" x14ac:dyDescent="0.2">
      <c r="A2272" s="1">
        <v>46083</v>
      </c>
      <c r="B2272" t="s">
        <v>15</v>
      </c>
      <c r="C2272" t="s">
        <v>76</v>
      </c>
      <c r="D2272" t="s">
        <v>75</v>
      </c>
      <c r="E2272">
        <v>104570</v>
      </c>
      <c r="F2272">
        <v>4292</v>
      </c>
      <c r="G2272">
        <v>814.37</v>
      </c>
      <c r="H2272">
        <v>83268</v>
      </c>
      <c r="I2272">
        <v>243</v>
      </c>
      <c r="J2272" t="s">
        <v>72</v>
      </c>
    </row>
    <row r="2273" spans="1:10" x14ac:dyDescent="0.2">
      <c r="A2273" s="1">
        <v>46084</v>
      </c>
      <c r="B2273" t="s">
        <v>10</v>
      </c>
      <c r="C2273" t="s">
        <v>26</v>
      </c>
      <c r="D2273" t="s">
        <v>71</v>
      </c>
      <c r="E2273">
        <v>98394</v>
      </c>
      <c r="F2273">
        <v>3457</v>
      </c>
      <c r="G2273">
        <v>723.61</v>
      </c>
      <c r="H2273">
        <v>77618</v>
      </c>
      <c r="I2273">
        <v>169</v>
      </c>
      <c r="J2273" t="s">
        <v>72</v>
      </c>
    </row>
    <row r="2274" spans="1:10" x14ac:dyDescent="0.2">
      <c r="A2274" s="1">
        <v>46084</v>
      </c>
      <c r="B2274" t="s">
        <v>10</v>
      </c>
      <c r="C2274" t="s">
        <v>73</v>
      </c>
      <c r="D2274" t="s">
        <v>71</v>
      </c>
      <c r="E2274">
        <v>111252</v>
      </c>
      <c r="F2274">
        <v>4260</v>
      </c>
      <c r="G2274">
        <v>828.75</v>
      </c>
      <c r="H2274">
        <v>80485</v>
      </c>
      <c r="I2274">
        <v>223</v>
      </c>
      <c r="J2274" t="s">
        <v>72</v>
      </c>
    </row>
    <row r="2275" spans="1:10" x14ac:dyDescent="0.2">
      <c r="A2275" s="1">
        <v>46084</v>
      </c>
      <c r="B2275" t="s">
        <v>15</v>
      </c>
      <c r="C2275" t="s">
        <v>16</v>
      </c>
      <c r="D2275" t="s">
        <v>75</v>
      </c>
      <c r="E2275">
        <v>64197</v>
      </c>
      <c r="F2275">
        <v>2032</v>
      </c>
      <c r="G2275">
        <v>421.29</v>
      </c>
      <c r="H2275">
        <v>50594</v>
      </c>
      <c r="I2275">
        <v>72</v>
      </c>
      <c r="J2275" t="s">
        <v>72</v>
      </c>
    </row>
    <row r="2276" spans="1:10" x14ac:dyDescent="0.2">
      <c r="A2276" s="1">
        <v>46084</v>
      </c>
      <c r="B2276" t="s">
        <v>15</v>
      </c>
      <c r="C2276" t="s">
        <v>76</v>
      </c>
      <c r="D2276" t="s">
        <v>75</v>
      </c>
      <c r="E2276">
        <v>41102</v>
      </c>
      <c r="F2276">
        <v>1218</v>
      </c>
      <c r="G2276">
        <v>225.99</v>
      </c>
      <c r="H2276">
        <v>32518</v>
      </c>
      <c r="I2276">
        <v>48</v>
      </c>
      <c r="J2276" t="s">
        <v>72</v>
      </c>
    </row>
    <row r="2277" spans="1:10" x14ac:dyDescent="0.2">
      <c r="A2277" s="1">
        <v>46085</v>
      </c>
      <c r="B2277" t="s">
        <v>10</v>
      </c>
      <c r="C2277" t="s">
        <v>26</v>
      </c>
      <c r="D2277" t="s">
        <v>71</v>
      </c>
      <c r="E2277">
        <v>138877</v>
      </c>
      <c r="F2277">
        <v>5782</v>
      </c>
      <c r="G2277">
        <v>1068.6300000000001</v>
      </c>
      <c r="H2277">
        <v>112628</v>
      </c>
      <c r="I2277">
        <v>313</v>
      </c>
      <c r="J2277" t="s">
        <v>72</v>
      </c>
    </row>
    <row r="2278" spans="1:10" x14ac:dyDescent="0.2">
      <c r="A2278" s="1">
        <v>46085</v>
      </c>
      <c r="B2278" t="s">
        <v>10</v>
      </c>
      <c r="C2278" t="s">
        <v>73</v>
      </c>
      <c r="D2278" t="s">
        <v>74</v>
      </c>
      <c r="E2278">
        <v>111735</v>
      </c>
      <c r="F2278">
        <v>3524</v>
      </c>
      <c r="G2278">
        <v>698.22</v>
      </c>
      <c r="H2278">
        <v>91261</v>
      </c>
      <c r="I2278">
        <v>168</v>
      </c>
      <c r="J2278" t="s">
        <v>72</v>
      </c>
    </row>
    <row r="2279" spans="1:10" x14ac:dyDescent="0.2">
      <c r="A2279" s="1">
        <v>46085</v>
      </c>
      <c r="B2279" t="s">
        <v>15</v>
      </c>
      <c r="C2279" t="s">
        <v>16</v>
      </c>
      <c r="D2279" t="s">
        <v>74</v>
      </c>
      <c r="E2279">
        <v>138863</v>
      </c>
      <c r="F2279">
        <v>4486</v>
      </c>
      <c r="G2279">
        <v>918.27</v>
      </c>
      <c r="H2279">
        <v>112151</v>
      </c>
      <c r="I2279">
        <v>223</v>
      </c>
      <c r="J2279" t="s">
        <v>72</v>
      </c>
    </row>
    <row r="2280" spans="1:10" x14ac:dyDescent="0.2">
      <c r="A2280" s="1">
        <v>46085</v>
      </c>
      <c r="B2280" t="s">
        <v>15</v>
      </c>
      <c r="C2280" t="s">
        <v>76</v>
      </c>
      <c r="D2280" t="s">
        <v>75</v>
      </c>
      <c r="E2280">
        <v>57618</v>
      </c>
      <c r="F2280">
        <v>2126</v>
      </c>
      <c r="G2280">
        <v>481.75</v>
      </c>
      <c r="H2280">
        <v>43469</v>
      </c>
      <c r="I2280">
        <v>68</v>
      </c>
      <c r="J2280" t="s">
        <v>72</v>
      </c>
    </row>
    <row r="2281" spans="1:10" x14ac:dyDescent="0.2">
      <c r="A2281" s="1">
        <v>46086</v>
      </c>
      <c r="B2281" t="s">
        <v>10</v>
      </c>
      <c r="C2281" t="s">
        <v>26</v>
      </c>
      <c r="D2281" t="s">
        <v>71</v>
      </c>
      <c r="E2281">
        <v>74700</v>
      </c>
      <c r="F2281">
        <v>3064</v>
      </c>
      <c r="G2281">
        <v>624.67999999999995</v>
      </c>
      <c r="H2281">
        <v>56085</v>
      </c>
      <c r="I2281">
        <v>176</v>
      </c>
      <c r="J2281" t="s">
        <v>72</v>
      </c>
    </row>
    <row r="2282" spans="1:10" x14ac:dyDescent="0.2">
      <c r="A2282" s="1">
        <v>46086</v>
      </c>
      <c r="B2282" t="s">
        <v>10</v>
      </c>
      <c r="C2282" t="s">
        <v>73</v>
      </c>
      <c r="D2282" t="s">
        <v>71</v>
      </c>
      <c r="E2282">
        <v>39267</v>
      </c>
      <c r="F2282">
        <v>1152</v>
      </c>
      <c r="G2282">
        <v>260.83999999999997</v>
      </c>
      <c r="H2282">
        <v>29912</v>
      </c>
      <c r="I2282">
        <v>46</v>
      </c>
      <c r="J2282" t="s">
        <v>72</v>
      </c>
    </row>
    <row r="2283" spans="1:10" x14ac:dyDescent="0.2">
      <c r="A2283" s="1">
        <v>46086</v>
      </c>
      <c r="B2283" t="s">
        <v>15</v>
      </c>
      <c r="C2283" t="s">
        <v>16</v>
      </c>
      <c r="D2283" t="s">
        <v>74</v>
      </c>
      <c r="E2283">
        <v>112430</v>
      </c>
      <c r="F2283">
        <v>3416</v>
      </c>
      <c r="G2283">
        <v>691.67</v>
      </c>
      <c r="H2283">
        <v>88865</v>
      </c>
      <c r="I2283">
        <v>115</v>
      </c>
      <c r="J2283" t="s">
        <v>72</v>
      </c>
    </row>
    <row r="2284" spans="1:10" x14ac:dyDescent="0.2">
      <c r="A2284" s="1">
        <v>46086</v>
      </c>
      <c r="B2284" t="s">
        <v>15</v>
      </c>
      <c r="C2284" t="s">
        <v>76</v>
      </c>
      <c r="D2284" t="s">
        <v>75</v>
      </c>
      <c r="E2284">
        <v>124641</v>
      </c>
      <c r="F2284">
        <v>5145</v>
      </c>
      <c r="G2284">
        <v>1065.22</v>
      </c>
      <c r="H2284">
        <v>99891</v>
      </c>
      <c r="I2284">
        <v>172</v>
      </c>
      <c r="J2284" t="s">
        <v>72</v>
      </c>
    </row>
    <row r="2285" spans="1:10" x14ac:dyDescent="0.2">
      <c r="A2285" s="1">
        <v>46087</v>
      </c>
      <c r="B2285" t="s">
        <v>10</v>
      </c>
      <c r="C2285" t="s">
        <v>26</v>
      </c>
      <c r="D2285" t="s">
        <v>74</v>
      </c>
      <c r="E2285">
        <v>70135</v>
      </c>
      <c r="F2285">
        <v>2758</v>
      </c>
      <c r="G2285">
        <v>528.19000000000005</v>
      </c>
      <c r="H2285">
        <v>57391</v>
      </c>
      <c r="I2285">
        <v>149</v>
      </c>
      <c r="J2285" t="s">
        <v>72</v>
      </c>
    </row>
    <row r="2286" spans="1:10" x14ac:dyDescent="0.2">
      <c r="A2286" s="1">
        <v>46087</v>
      </c>
      <c r="B2286" t="s">
        <v>10</v>
      </c>
      <c r="C2286" t="s">
        <v>73</v>
      </c>
      <c r="D2286" t="s">
        <v>71</v>
      </c>
      <c r="E2286">
        <v>57605</v>
      </c>
      <c r="F2286">
        <v>2313</v>
      </c>
      <c r="G2286">
        <v>439.39</v>
      </c>
      <c r="H2286">
        <v>43164</v>
      </c>
      <c r="I2286">
        <v>90</v>
      </c>
      <c r="J2286" t="s">
        <v>72</v>
      </c>
    </row>
    <row r="2287" spans="1:10" x14ac:dyDescent="0.2">
      <c r="A2287" s="1">
        <v>46087</v>
      </c>
      <c r="B2287" t="s">
        <v>15</v>
      </c>
      <c r="C2287" t="s">
        <v>16</v>
      </c>
      <c r="D2287" t="s">
        <v>74</v>
      </c>
      <c r="E2287">
        <v>49949</v>
      </c>
      <c r="F2287">
        <v>1637</v>
      </c>
      <c r="G2287">
        <v>352.18</v>
      </c>
      <c r="H2287">
        <v>38350</v>
      </c>
      <c r="I2287">
        <v>78</v>
      </c>
      <c r="J2287" t="s">
        <v>72</v>
      </c>
    </row>
    <row r="2288" spans="1:10" x14ac:dyDescent="0.2">
      <c r="A2288" s="1">
        <v>46087</v>
      </c>
      <c r="B2288" t="s">
        <v>15</v>
      </c>
      <c r="C2288" t="s">
        <v>76</v>
      </c>
      <c r="D2288" t="s">
        <v>75</v>
      </c>
      <c r="E2288">
        <v>40619</v>
      </c>
      <c r="F2288">
        <v>1172</v>
      </c>
      <c r="G2288">
        <v>263.83</v>
      </c>
      <c r="H2288">
        <v>29275</v>
      </c>
      <c r="I2288">
        <v>53</v>
      </c>
      <c r="J2288" t="s">
        <v>72</v>
      </c>
    </row>
    <row r="2289" spans="1:10" x14ac:dyDescent="0.2">
      <c r="A2289" s="1">
        <v>46088</v>
      </c>
      <c r="B2289" t="s">
        <v>10</v>
      </c>
      <c r="C2289" t="s">
        <v>26</v>
      </c>
      <c r="D2289" t="s">
        <v>74</v>
      </c>
      <c r="E2289">
        <v>55500</v>
      </c>
      <c r="F2289">
        <v>1718</v>
      </c>
      <c r="G2289">
        <v>390.86</v>
      </c>
      <c r="H2289">
        <v>42044</v>
      </c>
      <c r="I2289">
        <v>74</v>
      </c>
      <c r="J2289" t="s">
        <v>72</v>
      </c>
    </row>
    <row r="2290" spans="1:10" x14ac:dyDescent="0.2">
      <c r="A2290" s="1">
        <v>46088</v>
      </c>
      <c r="B2290" t="s">
        <v>10</v>
      </c>
      <c r="C2290" t="s">
        <v>73</v>
      </c>
      <c r="D2290" t="s">
        <v>71</v>
      </c>
      <c r="E2290">
        <v>121798</v>
      </c>
      <c r="F2290">
        <v>4217</v>
      </c>
      <c r="G2290">
        <v>844.34</v>
      </c>
      <c r="H2290">
        <v>92925</v>
      </c>
      <c r="I2290">
        <v>164</v>
      </c>
      <c r="J2290" t="s">
        <v>72</v>
      </c>
    </row>
    <row r="2291" spans="1:10" x14ac:dyDescent="0.2">
      <c r="A2291" s="1">
        <v>46088</v>
      </c>
      <c r="B2291" t="s">
        <v>15</v>
      </c>
      <c r="C2291" t="s">
        <v>16</v>
      </c>
      <c r="D2291" t="s">
        <v>74</v>
      </c>
      <c r="E2291">
        <v>92712</v>
      </c>
      <c r="F2291">
        <v>3656</v>
      </c>
      <c r="G2291">
        <v>864.5</v>
      </c>
      <c r="H2291">
        <v>72918</v>
      </c>
      <c r="I2291">
        <v>143</v>
      </c>
      <c r="J2291" t="s">
        <v>72</v>
      </c>
    </row>
    <row r="2292" spans="1:10" x14ac:dyDescent="0.2">
      <c r="A2292" s="1">
        <v>46088</v>
      </c>
      <c r="B2292" t="s">
        <v>15</v>
      </c>
      <c r="C2292" t="s">
        <v>76</v>
      </c>
      <c r="D2292" t="s">
        <v>75</v>
      </c>
      <c r="E2292">
        <v>99664</v>
      </c>
      <c r="F2292">
        <v>4008</v>
      </c>
      <c r="G2292">
        <v>915.33</v>
      </c>
      <c r="H2292">
        <v>71788</v>
      </c>
      <c r="I2292">
        <v>216</v>
      </c>
      <c r="J2292" t="s">
        <v>72</v>
      </c>
    </row>
    <row r="2293" spans="1:10" x14ac:dyDescent="0.2">
      <c r="A2293" s="1">
        <v>46088</v>
      </c>
      <c r="B2293" t="s">
        <v>19</v>
      </c>
      <c r="C2293" t="s">
        <v>26</v>
      </c>
      <c r="D2293" t="s">
        <v>74</v>
      </c>
      <c r="E2293">
        <v>62661</v>
      </c>
      <c r="F2293">
        <v>1777</v>
      </c>
      <c r="G2293">
        <v>332.96</v>
      </c>
      <c r="H2293">
        <v>48440</v>
      </c>
      <c r="I2293">
        <v>100</v>
      </c>
      <c r="J2293" t="s">
        <v>72</v>
      </c>
    </row>
    <row r="2294" spans="1:10" x14ac:dyDescent="0.2">
      <c r="A2294" s="1">
        <v>46088</v>
      </c>
      <c r="B2294" t="s">
        <v>19</v>
      </c>
      <c r="C2294" t="s">
        <v>73</v>
      </c>
      <c r="D2294" t="s">
        <v>12</v>
      </c>
      <c r="E2294">
        <v>101777</v>
      </c>
      <c r="F2294">
        <v>3493</v>
      </c>
      <c r="G2294">
        <v>772.55</v>
      </c>
      <c r="H2294">
        <v>82132</v>
      </c>
      <c r="I2294">
        <v>151</v>
      </c>
      <c r="J2294" t="s">
        <v>72</v>
      </c>
    </row>
    <row r="2295" spans="1:10" x14ac:dyDescent="0.2">
      <c r="A2295" s="1">
        <v>46089</v>
      </c>
      <c r="B2295" t="s">
        <v>10</v>
      </c>
      <c r="C2295" t="s">
        <v>26</v>
      </c>
      <c r="D2295" t="s">
        <v>71</v>
      </c>
      <c r="E2295">
        <v>71022</v>
      </c>
      <c r="F2295">
        <v>1991</v>
      </c>
      <c r="G2295">
        <v>434.6</v>
      </c>
      <c r="H2295">
        <v>57825</v>
      </c>
      <c r="I2295">
        <v>74</v>
      </c>
      <c r="J2295" t="s">
        <v>72</v>
      </c>
    </row>
    <row r="2296" spans="1:10" x14ac:dyDescent="0.2">
      <c r="A2296" s="1">
        <v>46089</v>
      </c>
      <c r="B2296" t="s">
        <v>10</v>
      </c>
      <c r="C2296" t="s">
        <v>73</v>
      </c>
      <c r="D2296" t="s">
        <v>71</v>
      </c>
      <c r="E2296">
        <v>46796</v>
      </c>
      <c r="F2296">
        <v>1945</v>
      </c>
      <c r="G2296">
        <v>435.97</v>
      </c>
      <c r="H2296">
        <v>36865</v>
      </c>
      <c r="I2296">
        <v>68</v>
      </c>
      <c r="J2296" t="s">
        <v>72</v>
      </c>
    </row>
    <row r="2297" spans="1:10" x14ac:dyDescent="0.2">
      <c r="A2297" s="1">
        <v>46089</v>
      </c>
      <c r="B2297" t="s">
        <v>15</v>
      </c>
      <c r="C2297" t="s">
        <v>16</v>
      </c>
      <c r="D2297" t="s">
        <v>74</v>
      </c>
      <c r="E2297">
        <v>107185</v>
      </c>
      <c r="F2297">
        <v>4110</v>
      </c>
      <c r="G2297">
        <v>935.59</v>
      </c>
      <c r="H2297">
        <v>80906</v>
      </c>
      <c r="I2297">
        <v>230</v>
      </c>
      <c r="J2297" t="s">
        <v>72</v>
      </c>
    </row>
    <row r="2298" spans="1:10" x14ac:dyDescent="0.2">
      <c r="A2298" s="1">
        <v>46089</v>
      </c>
      <c r="B2298" t="s">
        <v>15</v>
      </c>
      <c r="C2298" t="s">
        <v>76</v>
      </c>
      <c r="D2298" t="s">
        <v>74</v>
      </c>
      <c r="E2298">
        <v>56115</v>
      </c>
      <c r="F2298">
        <v>2148</v>
      </c>
      <c r="G2298">
        <v>424.51</v>
      </c>
      <c r="H2298">
        <v>41497</v>
      </c>
      <c r="I2298">
        <v>69</v>
      </c>
      <c r="J2298" t="s">
        <v>72</v>
      </c>
    </row>
    <row r="2299" spans="1:10" x14ac:dyDescent="0.2">
      <c r="A2299" s="1">
        <v>46089</v>
      </c>
      <c r="B2299" t="s">
        <v>19</v>
      </c>
      <c r="C2299" t="s">
        <v>26</v>
      </c>
      <c r="D2299" t="s">
        <v>12</v>
      </c>
      <c r="E2299">
        <v>60786</v>
      </c>
      <c r="F2299">
        <v>2125</v>
      </c>
      <c r="G2299">
        <v>393.6</v>
      </c>
      <c r="H2299">
        <v>48825</v>
      </c>
      <c r="I2299">
        <v>123</v>
      </c>
      <c r="J2299" t="s">
        <v>72</v>
      </c>
    </row>
    <row r="2300" spans="1:10" x14ac:dyDescent="0.2">
      <c r="A2300" s="1">
        <v>46089</v>
      </c>
      <c r="B2300" t="s">
        <v>19</v>
      </c>
      <c r="C2300" t="s">
        <v>73</v>
      </c>
      <c r="D2300" t="s">
        <v>74</v>
      </c>
      <c r="E2300">
        <v>67635</v>
      </c>
      <c r="F2300">
        <v>2742</v>
      </c>
      <c r="G2300">
        <v>650.69000000000005</v>
      </c>
      <c r="H2300">
        <v>51958</v>
      </c>
      <c r="I2300">
        <v>121</v>
      </c>
      <c r="J2300" t="s">
        <v>72</v>
      </c>
    </row>
    <row r="2301" spans="1:10" x14ac:dyDescent="0.2">
      <c r="A2301" s="1">
        <v>46090</v>
      </c>
      <c r="B2301" t="s">
        <v>10</v>
      </c>
      <c r="C2301" t="s">
        <v>26</v>
      </c>
      <c r="D2301" t="s">
        <v>74</v>
      </c>
      <c r="E2301">
        <v>75062</v>
      </c>
      <c r="F2301">
        <v>2280</v>
      </c>
      <c r="G2301">
        <v>539.57000000000005</v>
      </c>
      <c r="H2301">
        <v>59298</v>
      </c>
      <c r="I2301">
        <v>71</v>
      </c>
      <c r="J2301" t="s">
        <v>72</v>
      </c>
    </row>
    <row r="2302" spans="1:10" x14ac:dyDescent="0.2">
      <c r="A2302" s="1">
        <v>46090</v>
      </c>
      <c r="B2302" t="s">
        <v>10</v>
      </c>
      <c r="C2302" t="s">
        <v>73</v>
      </c>
      <c r="D2302" t="s">
        <v>74</v>
      </c>
      <c r="E2302">
        <v>66302</v>
      </c>
      <c r="F2302">
        <v>2718</v>
      </c>
      <c r="G2302">
        <v>542.49</v>
      </c>
      <c r="H2302">
        <v>50280</v>
      </c>
      <c r="I2302">
        <v>98</v>
      </c>
      <c r="J2302" t="s">
        <v>72</v>
      </c>
    </row>
    <row r="2303" spans="1:10" x14ac:dyDescent="0.2">
      <c r="A2303" s="1">
        <v>46090</v>
      </c>
      <c r="B2303" t="s">
        <v>15</v>
      </c>
      <c r="C2303" t="s">
        <v>16</v>
      </c>
      <c r="D2303" t="s">
        <v>74</v>
      </c>
      <c r="E2303">
        <v>120157</v>
      </c>
      <c r="F2303">
        <v>4965</v>
      </c>
      <c r="G2303">
        <v>1093.47</v>
      </c>
      <c r="H2303">
        <v>94509</v>
      </c>
      <c r="I2303">
        <v>276</v>
      </c>
      <c r="J2303" t="s">
        <v>72</v>
      </c>
    </row>
    <row r="2304" spans="1:10" x14ac:dyDescent="0.2">
      <c r="A2304" s="1">
        <v>46090</v>
      </c>
      <c r="B2304" t="s">
        <v>15</v>
      </c>
      <c r="C2304" t="s">
        <v>76</v>
      </c>
      <c r="D2304" t="s">
        <v>74</v>
      </c>
      <c r="E2304">
        <v>54410</v>
      </c>
      <c r="F2304">
        <v>2129</v>
      </c>
      <c r="G2304">
        <v>425.73</v>
      </c>
      <c r="H2304">
        <v>40392</v>
      </c>
      <c r="I2304">
        <v>96</v>
      </c>
      <c r="J2304" t="s">
        <v>72</v>
      </c>
    </row>
    <row r="2305" spans="1:10" x14ac:dyDescent="0.2">
      <c r="A2305" s="1">
        <v>46091</v>
      </c>
      <c r="B2305" t="s">
        <v>10</v>
      </c>
      <c r="C2305" t="s">
        <v>26</v>
      </c>
      <c r="D2305" t="s">
        <v>71</v>
      </c>
      <c r="E2305">
        <v>50018</v>
      </c>
      <c r="F2305">
        <v>1851</v>
      </c>
      <c r="G2305">
        <v>375.05</v>
      </c>
      <c r="H2305">
        <v>39601</v>
      </c>
      <c r="I2305">
        <v>92</v>
      </c>
      <c r="J2305" t="s">
        <v>72</v>
      </c>
    </row>
    <row r="2306" spans="1:10" x14ac:dyDescent="0.2">
      <c r="A2306" s="1">
        <v>46091</v>
      </c>
      <c r="B2306" t="s">
        <v>10</v>
      </c>
      <c r="C2306" t="s">
        <v>73</v>
      </c>
      <c r="D2306" t="s">
        <v>71</v>
      </c>
      <c r="E2306">
        <v>134743</v>
      </c>
      <c r="F2306">
        <v>5595</v>
      </c>
      <c r="G2306">
        <v>1153.79</v>
      </c>
      <c r="H2306">
        <v>100159</v>
      </c>
      <c r="I2306">
        <v>200</v>
      </c>
      <c r="J2306" t="s">
        <v>72</v>
      </c>
    </row>
    <row r="2307" spans="1:10" x14ac:dyDescent="0.2">
      <c r="A2307" s="1">
        <v>46091</v>
      </c>
      <c r="B2307" t="s">
        <v>15</v>
      </c>
      <c r="C2307" t="s">
        <v>16</v>
      </c>
      <c r="D2307" t="s">
        <v>74</v>
      </c>
      <c r="E2307">
        <v>53939</v>
      </c>
      <c r="F2307">
        <v>1594</v>
      </c>
      <c r="G2307">
        <v>319.45999999999998</v>
      </c>
      <c r="H2307">
        <v>42030</v>
      </c>
      <c r="I2307">
        <v>53</v>
      </c>
      <c r="J2307" t="s">
        <v>72</v>
      </c>
    </row>
    <row r="2308" spans="1:10" x14ac:dyDescent="0.2">
      <c r="A2308" s="1">
        <v>46091</v>
      </c>
      <c r="B2308" t="s">
        <v>15</v>
      </c>
      <c r="C2308" t="s">
        <v>76</v>
      </c>
      <c r="D2308" t="s">
        <v>75</v>
      </c>
      <c r="E2308">
        <v>136607</v>
      </c>
      <c r="F2308">
        <v>4528</v>
      </c>
      <c r="G2308">
        <v>1046.8699999999999</v>
      </c>
      <c r="H2308">
        <v>111390</v>
      </c>
      <c r="I2308">
        <v>205</v>
      </c>
      <c r="J2308" t="s">
        <v>72</v>
      </c>
    </row>
    <row r="2309" spans="1:10" x14ac:dyDescent="0.2">
      <c r="A2309" s="1">
        <v>46092</v>
      </c>
      <c r="B2309" t="s">
        <v>10</v>
      </c>
      <c r="C2309" t="s">
        <v>26</v>
      </c>
      <c r="D2309" t="s">
        <v>74</v>
      </c>
      <c r="E2309">
        <v>91958</v>
      </c>
      <c r="F2309">
        <v>2654</v>
      </c>
      <c r="G2309">
        <v>563.01</v>
      </c>
      <c r="H2309">
        <v>73999</v>
      </c>
      <c r="I2309">
        <v>152</v>
      </c>
      <c r="J2309" t="s">
        <v>72</v>
      </c>
    </row>
    <row r="2310" spans="1:10" x14ac:dyDescent="0.2">
      <c r="A2310" s="1">
        <v>46092</v>
      </c>
      <c r="B2310" t="s">
        <v>10</v>
      </c>
      <c r="C2310" t="s">
        <v>73</v>
      </c>
      <c r="D2310" t="s">
        <v>71</v>
      </c>
      <c r="E2310">
        <v>101197</v>
      </c>
      <c r="F2310">
        <v>3963</v>
      </c>
      <c r="G2310">
        <v>935.41</v>
      </c>
      <c r="H2310">
        <v>74140</v>
      </c>
      <c r="I2310">
        <v>189</v>
      </c>
      <c r="J2310" t="s">
        <v>72</v>
      </c>
    </row>
    <row r="2311" spans="1:10" x14ac:dyDescent="0.2">
      <c r="A2311" s="1">
        <v>46092</v>
      </c>
      <c r="B2311" t="s">
        <v>15</v>
      </c>
      <c r="C2311" t="s">
        <v>16</v>
      </c>
      <c r="D2311" t="s">
        <v>75</v>
      </c>
      <c r="E2311">
        <v>57161</v>
      </c>
      <c r="F2311">
        <v>1916</v>
      </c>
      <c r="G2311">
        <v>406.76</v>
      </c>
      <c r="H2311">
        <v>43788</v>
      </c>
      <c r="I2311">
        <v>61</v>
      </c>
      <c r="J2311" t="s">
        <v>72</v>
      </c>
    </row>
    <row r="2312" spans="1:10" x14ac:dyDescent="0.2">
      <c r="A2312" s="1">
        <v>46092</v>
      </c>
      <c r="B2312" t="s">
        <v>15</v>
      </c>
      <c r="C2312" t="s">
        <v>76</v>
      </c>
      <c r="D2312" t="s">
        <v>74</v>
      </c>
      <c r="E2312">
        <v>76299</v>
      </c>
      <c r="F2312">
        <v>2670</v>
      </c>
      <c r="G2312">
        <v>553.62</v>
      </c>
      <c r="H2312">
        <v>59524</v>
      </c>
      <c r="I2312">
        <v>86</v>
      </c>
      <c r="J2312" t="s">
        <v>72</v>
      </c>
    </row>
    <row r="2313" spans="1:10" x14ac:dyDescent="0.2">
      <c r="A2313" s="1">
        <v>46093</v>
      </c>
      <c r="B2313" t="s">
        <v>10</v>
      </c>
      <c r="C2313" t="s">
        <v>26</v>
      </c>
      <c r="D2313" t="s">
        <v>71</v>
      </c>
      <c r="E2313">
        <v>44851</v>
      </c>
      <c r="F2313">
        <v>1631</v>
      </c>
      <c r="G2313">
        <v>323.81</v>
      </c>
      <c r="H2313">
        <v>36734</v>
      </c>
      <c r="I2313">
        <v>51</v>
      </c>
      <c r="J2313" t="s">
        <v>72</v>
      </c>
    </row>
    <row r="2314" spans="1:10" x14ac:dyDescent="0.2">
      <c r="A2314" s="1">
        <v>46093</v>
      </c>
      <c r="B2314" t="s">
        <v>10</v>
      </c>
      <c r="C2314" t="s">
        <v>73</v>
      </c>
      <c r="D2314" t="s">
        <v>71</v>
      </c>
      <c r="E2314">
        <v>75753</v>
      </c>
      <c r="F2314">
        <v>2646</v>
      </c>
      <c r="G2314">
        <v>588.07000000000005</v>
      </c>
      <c r="H2314">
        <v>57395</v>
      </c>
      <c r="I2314">
        <v>151</v>
      </c>
      <c r="J2314" t="s">
        <v>72</v>
      </c>
    </row>
    <row r="2315" spans="1:10" x14ac:dyDescent="0.2">
      <c r="A2315" s="1">
        <v>46093</v>
      </c>
      <c r="B2315" t="s">
        <v>15</v>
      </c>
      <c r="C2315" t="s">
        <v>16</v>
      </c>
      <c r="D2315" t="s">
        <v>74</v>
      </c>
      <c r="E2315">
        <v>65018</v>
      </c>
      <c r="F2315">
        <v>2574</v>
      </c>
      <c r="G2315">
        <v>495.85</v>
      </c>
      <c r="H2315">
        <v>51576</v>
      </c>
      <c r="I2315">
        <v>134</v>
      </c>
      <c r="J2315" t="s">
        <v>72</v>
      </c>
    </row>
    <row r="2316" spans="1:10" x14ac:dyDescent="0.2">
      <c r="A2316" s="1">
        <v>46093</v>
      </c>
      <c r="B2316" t="s">
        <v>15</v>
      </c>
      <c r="C2316" t="s">
        <v>76</v>
      </c>
      <c r="D2316" t="s">
        <v>75</v>
      </c>
      <c r="E2316">
        <v>69503</v>
      </c>
      <c r="F2316">
        <v>2779</v>
      </c>
      <c r="G2316">
        <v>621.51</v>
      </c>
      <c r="H2316">
        <v>52121</v>
      </c>
      <c r="I2316">
        <v>145</v>
      </c>
      <c r="J2316" t="s">
        <v>72</v>
      </c>
    </row>
    <row r="2317" spans="1:10" x14ac:dyDescent="0.2">
      <c r="A2317" s="1">
        <v>46094</v>
      </c>
      <c r="B2317" t="s">
        <v>10</v>
      </c>
      <c r="C2317" t="s">
        <v>26</v>
      </c>
      <c r="D2317" t="s">
        <v>74</v>
      </c>
      <c r="E2317">
        <v>42673</v>
      </c>
      <c r="F2317">
        <v>1522</v>
      </c>
      <c r="G2317">
        <v>304.77</v>
      </c>
      <c r="H2317">
        <v>33617</v>
      </c>
      <c r="I2317">
        <v>87</v>
      </c>
      <c r="J2317" t="s">
        <v>72</v>
      </c>
    </row>
    <row r="2318" spans="1:10" x14ac:dyDescent="0.2">
      <c r="A2318" s="1">
        <v>46094</v>
      </c>
      <c r="B2318" t="s">
        <v>10</v>
      </c>
      <c r="C2318" t="s">
        <v>73</v>
      </c>
      <c r="D2318" t="s">
        <v>71</v>
      </c>
      <c r="E2318">
        <v>105634</v>
      </c>
      <c r="F2318">
        <v>3063</v>
      </c>
      <c r="G2318">
        <v>684.9</v>
      </c>
      <c r="H2318">
        <v>79039</v>
      </c>
      <c r="I2318">
        <v>170</v>
      </c>
      <c r="J2318" t="s">
        <v>72</v>
      </c>
    </row>
    <row r="2319" spans="1:10" x14ac:dyDescent="0.2">
      <c r="A2319" s="1">
        <v>46094</v>
      </c>
      <c r="B2319" t="s">
        <v>15</v>
      </c>
      <c r="C2319" t="s">
        <v>16</v>
      </c>
      <c r="D2319" t="s">
        <v>74</v>
      </c>
      <c r="E2319">
        <v>55581</v>
      </c>
      <c r="F2319">
        <v>1658</v>
      </c>
      <c r="G2319">
        <v>373.28</v>
      </c>
      <c r="H2319">
        <v>43244</v>
      </c>
      <c r="I2319">
        <v>86</v>
      </c>
      <c r="J2319" t="s">
        <v>72</v>
      </c>
    </row>
    <row r="2320" spans="1:10" x14ac:dyDescent="0.2">
      <c r="A2320" s="1">
        <v>46094</v>
      </c>
      <c r="B2320" t="s">
        <v>15</v>
      </c>
      <c r="C2320" t="s">
        <v>76</v>
      </c>
      <c r="D2320" t="s">
        <v>74</v>
      </c>
      <c r="E2320">
        <v>116959</v>
      </c>
      <c r="F2320">
        <v>4346</v>
      </c>
      <c r="G2320">
        <v>932.78</v>
      </c>
      <c r="H2320">
        <v>89378</v>
      </c>
      <c r="I2320">
        <v>184</v>
      </c>
      <c r="J2320" t="s">
        <v>72</v>
      </c>
    </row>
    <row r="2321" spans="1:10" x14ac:dyDescent="0.2">
      <c r="A2321" s="1">
        <v>46095</v>
      </c>
      <c r="B2321" t="s">
        <v>10</v>
      </c>
      <c r="C2321" t="s">
        <v>26</v>
      </c>
      <c r="D2321" t="s">
        <v>74</v>
      </c>
      <c r="E2321">
        <v>74742</v>
      </c>
      <c r="F2321">
        <v>2321</v>
      </c>
      <c r="G2321">
        <v>522</v>
      </c>
      <c r="H2321">
        <v>59310</v>
      </c>
      <c r="I2321">
        <v>65</v>
      </c>
      <c r="J2321" t="s">
        <v>72</v>
      </c>
    </row>
    <row r="2322" spans="1:10" x14ac:dyDescent="0.2">
      <c r="A2322" s="1">
        <v>46095</v>
      </c>
      <c r="B2322" t="s">
        <v>10</v>
      </c>
      <c r="C2322" t="s">
        <v>73</v>
      </c>
      <c r="D2322" t="s">
        <v>74</v>
      </c>
      <c r="E2322">
        <v>64149</v>
      </c>
      <c r="F2322">
        <v>2134</v>
      </c>
      <c r="G2322">
        <v>509.94</v>
      </c>
      <c r="H2322">
        <v>50545</v>
      </c>
      <c r="I2322">
        <v>70</v>
      </c>
      <c r="J2322" t="s">
        <v>72</v>
      </c>
    </row>
    <row r="2323" spans="1:10" x14ac:dyDescent="0.2">
      <c r="A2323" s="1">
        <v>46095</v>
      </c>
      <c r="B2323" t="s">
        <v>15</v>
      </c>
      <c r="C2323" t="s">
        <v>16</v>
      </c>
      <c r="D2323" t="s">
        <v>75</v>
      </c>
      <c r="E2323">
        <v>55365</v>
      </c>
      <c r="F2323">
        <v>1825</v>
      </c>
      <c r="G2323">
        <v>380.39</v>
      </c>
      <c r="H2323">
        <v>45095</v>
      </c>
      <c r="I2323">
        <v>57</v>
      </c>
      <c r="J2323" t="s">
        <v>72</v>
      </c>
    </row>
    <row r="2324" spans="1:10" x14ac:dyDescent="0.2">
      <c r="A2324" s="1">
        <v>46095</v>
      </c>
      <c r="B2324" t="s">
        <v>15</v>
      </c>
      <c r="C2324" t="s">
        <v>76</v>
      </c>
      <c r="D2324" t="s">
        <v>74</v>
      </c>
      <c r="E2324">
        <v>140110</v>
      </c>
      <c r="F2324">
        <v>4774</v>
      </c>
      <c r="G2324">
        <v>901.88</v>
      </c>
      <c r="H2324">
        <v>111002</v>
      </c>
      <c r="I2324">
        <v>168</v>
      </c>
      <c r="J2324" t="s">
        <v>72</v>
      </c>
    </row>
    <row r="2325" spans="1:10" x14ac:dyDescent="0.2">
      <c r="A2325" s="1">
        <v>46095</v>
      </c>
      <c r="B2325" t="s">
        <v>19</v>
      </c>
      <c r="C2325" t="s">
        <v>26</v>
      </c>
      <c r="D2325" t="s">
        <v>12</v>
      </c>
      <c r="E2325">
        <v>80039</v>
      </c>
      <c r="F2325">
        <v>2685</v>
      </c>
      <c r="G2325">
        <v>532.05999999999995</v>
      </c>
      <c r="H2325">
        <v>62399</v>
      </c>
      <c r="I2325">
        <v>89</v>
      </c>
      <c r="J2325" t="s">
        <v>72</v>
      </c>
    </row>
    <row r="2326" spans="1:10" x14ac:dyDescent="0.2">
      <c r="A2326" s="1">
        <v>46095</v>
      </c>
      <c r="B2326" t="s">
        <v>19</v>
      </c>
      <c r="C2326" t="s">
        <v>73</v>
      </c>
      <c r="D2326" t="s">
        <v>74</v>
      </c>
      <c r="E2326">
        <v>54268</v>
      </c>
      <c r="F2326">
        <v>2110</v>
      </c>
      <c r="G2326">
        <v>489.3</v>
      </c>
      <c r="H2326">
        <v>42602</v>
      </c>
      <c r="I2326">
        <v>76</v>
      </c>
      <c r="J2326" t="s">
        <v>72</v>
      </c>
    </row>
    <row r="2327" spans="1:10" x14ac:dyDescent="0.2">
      <c r="A2327" s="1">
        <v>46096</v>
      </c>
      <c r="B2327" t="s">
        <v>10</v>
      </c>
      <c r="C2327" t="s">
        <v>26</v>
      </c>
      <c r="D2327" t="s">
        <v>71</v>
      </c>
      <c r="E2327">
        <v>114844</v>
      </c>
      <c r="F2327">
        <v>3806</v>
      </c>
      <c r="G2327">
        <v>712.48</v>
      </c>
      <c r="H2327">
        <v>83636</v>
      </c>
      <c r="I2327">
        <v>162</v>
      </c>
      <c r="J2327" t="s">
        <v>72</v>
      </c>
    </row>
    <row r="2328" spans="1:10" x14ac:dyDescent="0.2">
      <c r="A2328" s="1">
        <v>46096</v>
      </c>
      <c r="B2328" t="s">
        <v>10</v>
      </c>
      <c r="C2328" t="s">
        <v>73</v>
      </c>
      <c r="D2328" t="s">
        <v>74</v>
      </c>
      <c r="E2328">
        <v>42923</v>
      </c>
      <c r="F2328">
        <v>1554</v>
      </c>
      <c r="G2328">
        <v>371.78</v>
      </c>
      <c r="H2328">
        <v>32962</v>
      </c>
      <c r="I2328">
        <v>75</v>
      </c>
      <c r="J2328" t="s">
        <v>72</v>
      </c>
    </row>
    <row r="2329" spans="1:10" x14ac:dyDescent="0.2">
      <c r="A2329" s="1">
        <v>46096</v>
      </c>
      <c r="B2329" t="s">
        <v>15</v>
      </c>
      <c r="C2329" t="s">
        <v>16</v>
      </c>
      <c r="D2329" t="s">
        <v>75</v>
      </c>
      <c r="E2329">
        <v>140021</v>
      </c>
      <c r="F2329">
        <v>4275</v>
      </c>
      <c r="G2329">
        <v>893.7</v>
      </c>
      <c r="H2329">
        <v>109840</v>
      </c>
      <c r="I2329">
        <v>175</v>
      </c>
      <c r="J2329" t="s">
        <v>72</v>
      </c>
    </row>
    <row r="2330" spans="1:10" x14ac:dyDescent="0.2">
      <c r="A2330" s="1">
        <v>46096</v>
      </c>
      <c r="B2330" t="s">
        <v>15</v>
      </c>
      <c r="C2330" t="s">
        <v>76</v>
      </c>
      <c r="D2330" t="s">
        <v>75</v>
      </c>
      <c r="E2330">
        <v>55942</v>
      </c>
      <c r="F2330">
        <v>1821</v>
      </c>
      <c r="G2330">
        <v>405.77</v>
      </c>
      <c r="H2330">
        <v>45101</v>
      </c>
      <c r="I2330">
        <v>80</v>
      </c>
      <c r="J2330" t="s">
        <v>72</v>
      </c>
    </row>
    <row r="2331" spans="1:10" x14ac:dyDescent="0.2">
      <c r="A2331" s="1">
        <v>46096</v>
      </c>
      <c r="B2331" t="s">
        <v>19</v>
      </c>
      <c r="C2331" t="s">
        <v>26</v>
      </c>
      <c r="D2331" t="s">
        <v>74</v>
      </c>
      <c r="E2331">
        <v>42364</v>
      </c>
      <c r="F2331">
        <v>1419</v>
      </c>
      <c r="G2331">
        <v>325.02</v>
      </c>
      <c r="H2331">
        <v>33821</v>
      </c>
      <c r="I2331">
        <v>62</v>
      </c>
      <c r="J2331" t="s">
        <v>72</v>
      </c>
    </row>
    <row r="2332" spans="1:10" x14ac:dyDescent="0.2">
      <c r="A2332" s="1">
        <v>46096</v>
      </c>
      <c r="B2332" t="s">
        <v>19</v>
      </c>
      <c r="C2332" t="s">
        <v>73</v>
      </c>
      <c r="D2332" t="s">
        <v>12</v>
      </c>
      <c r="E2332">
        <v>127416</v>
      </c>
      <c r="F2332">
        <v>5060</v>
      </c>
      <c r="G2332">
        <v>1074.43</v>
      </c>
      <c r="H2332">
        <v>102172</v>
      </c>
      <c r="I2332">
        <v>240</v>
      </c>
      <c r="J2332" t="s">
        <v>72</v>
      </c>
    </row>
    <row r="2333" spans="1:10" x14ac:dyDescent="0.2">
      <c r="A2333" s="1">
        <v>46096</v>
      </c>
      <c r="B2333" t="s">
        <v>21</v>
      </c>
      <c r="C2333" t="s">
        <v>26</v>
      </c>
      <c r="D2333" t="s">
        <v>12</v>
      </c>
      <c r="E2333">
        <v>58991</v>
      </c>
      <c r="F2333">
        <v>1800</v>
      </c>
      <c r="G2333">
        <v>388.7</v>
      </c>
      <c r="H2333">
        <v>43534</v>
      </c>
      <c r="I2333">
        <v>80</v>
      </c>
      <c r="J2333" t="s">
        <v>72</v>
      </c>
    </row>
    <row r="2334" spans="1:10" x14ac:dyDescent="0.2">
      <c r="A2334" s="1">
        <v>46096</v>
      </c>
      <c r="B2334" t="s">
        <v>21</v>
      </c>
      <c r="C2334" t="s">
        <v>78</v>
      </c>
      <c r="D2334" t="s">
        <v>71</v>
      </c>
      <c r="E2334">
        <v>59965</v>
      </c>
      <c r="F2334">
        <v>1711</v>
      </c>
      <c r="G2334">
        <v>367.02</v>
      </c>
      <c r="H2334">
        <v>47088</v>
      </c>
      <c r="I2334">
        <v>52</v>
      </c>
      <c r="J2334" t="s">
        <v>72</v>
      </c>
    </row>
    <row r="2335" spans="1:10" x14ac:dyDescent="0.2">
      <c r="A2335" s="1">
        <v>46097</v>
      </c>
      <c r="B2335" t="s">
        <v>10</v>
      </c>
      <c r="C2335" t="s">
        <v>26</v>
      </c>
      <c r="D2335" t="s">
        <v>12</v>
      </c>
      <c r="E2335">
        <v>44964</v>
      </c>
      <c r="F2335">
        <v>1312</v>
      </c>
      <c r="G2335">
        <v>245.98</v>
      </c>
      <c r="H2335">
        <v>33716</v>
      </c>
      <c r="I2335">
        <v>74</v>
      </c>
      <c r="J2335" t="s">
        <v>72</v>
      </c>
    </row>
    <row r="2336" spans="1:10" x14ac:dyDescent="0.2">
      <c r="A2336" s="1">
        <v>46097</v>
      </c>
      <c r="B2336" t="s">
        <v>10</v>
      </c>
      <c r="C2336" t="s">
        <v>73</v>
      </c>
      <c r="D2336" t="s">
        <v>74</v>
      </c>
      <c r="E2336">
        <v>111085</v>
      </c>
      <c r="F2336">
        <v>4629</v>
      </c>
      <c r="G2336">
        <v>1016.02</v>
      </c>
      <c r="H2336">
        <v>82739</v>
      </c>
      <c r="I2336">
        <v>136</v>
      </c>
      <c r="J2336" t="s">
        <v>72</v>
      </c>
    </row>
    <row r="2337" spans="1:10" x14ac:dyDescent="0.2">
      <c r="A2337" s="1">
        <v>46097</v>
      </c>
      <c r="B2337" t="s">
        <v>15</v>
      </c>
      <c r="C2337" t="s">
        <v>16</v>
      </c>
      <c r="D2337" t="s">
        <v>74</v>
      </c>
      <c r="E2337">
        <v>130006</v>
      </c>
      <c r="F2337">
        <v>4449</v>
      </c>
      <c r="G2337">
        <v>954.86</v>
      </c>
      <c r="H2337">
        <v>102641</v>
      </c>
      <c r="I2337">
        <v>194</v>
      </c>
      <c r="J2337" t="s">
        <v>72</v>
      </c>
    </row>
    <row r="2338" spans="1:10" x14ac:dyDescent="0.2">
      <c r="A2338" s="1">
        <v>46097</v>
      </c>
      <c r="B2338" t="s">
        <v>15</v>
      </c>
      <c r="C2338" t="s">
        <v>76</v>
      </c>
      <c r="D2338" t="s">
        <v>74</v>
      </c>
      <c r="E2338">
        <v>142287</v>
      </c>
      <c r="F2338">
        <v>5056</v>
      </c>
      <c r="G2338">
        <v>973.74</v>
      </c>
      <c r="H2338">
        <v>103855</v>
      </c>
      <c r="I2338">
        <v>265</v>
      </c>
      <c r="J2338" t="s">
        <v>72</v>
      </c>
    </row>
    <row r="2339" spans="1:10" x14ac:dyDescent="0.2">
      <c r="A2339" s="1">
        <v>46097</v>
      </c>
      <c r="B2339" t="s">
        <v>21</v>
      </c>
      <c r="C2339" t="s">
        <v>26</v>
      </c>
      <c r="D2339" t="s">
        <v>12</v>
      </c>
      <c r="E2339">
        <v>45258</v>
      </c>
      <c r="F2339">
        <v>1386</v>
      </c>
      <c r="G2339">
        <v>274.39999999999998</v>
      </c>
      <c r="H2339">
        <v>36354</v>
      </c>
      <c r="I2339">
        <v>78</v>
      </c>
      <c r="J2339" t="s">
        <v>72</v>
      </c>
    </row>
    <row r="2340" spans="1:10" x14ac:dyDescent="0.2">
      <c r="A2340" s="1">
        <v>46097</v>
      </c>
      <c r="B2340" t="s">
        <v>21</v>
      </c>
      <c r="C2340" t="s">
        <v>78</v>
      </c>
      <c r="D2340" t="s">
        <v>71</v>
      </c>
      <c r="E2340">
        <v>139835</v>
      </c>
      <c r="F2340">
        <v>4618</v>
      </c>
      <c r="G2340">
        <v>866.84</v>
      </c>
      <c r="H2340">
        <v>109383</v>
      </c>
      <c r="I2340">
        <v>139</v>
      </c>
      <c r="J2340" t="s">
        <v>72</v>
      </c>
    </row>
    <row r="2341" spans="1:10" x14ac:dyDescent="0.2">
      <c r="A2341" s="1">
        <v>46098</v>
      </c>
      <c r="B2341" t="s">
        <v>10</v>
      </c>
      <c r="C2341" t="s">
        <v>26</v>
      </c>
      <c r="D2341" t="s">
        <v>12</v>
      </c>
      <c r="E2341">
        <v>83417</v>
      </c>
      <c r="F2341">
        <v>2781</v>
      </c>
      <c r="G2341">
        <v>651.36</v>
      </c>
      <c r="H2341">
        <v>63397</v>
      </c>
      <c r="I2341">
        <v>84</v>
      </c>
      <c r="J2341" t="s">
        <v>72</v>
      </c>
    </row>
    <row r="2342" spans="1:10" x14ac:dyDescent="0.2">
      <c r="A2342" s="1">
        <v>46098</v>
      </c>
      <c r="B2342" t="s">
        <v>10</v>
      </c>
      <c r="C2342" t="s">
        <v>73</v>
      </c>
      <c r="D2342" t="s">
        <v>71</v>
      </c>
      <c r="E2342">
        <v>111475</v>
      </c>
      <c r="F2342">
        <v>4588</v>
      </c>
      <c r="G2342">
        <v>865.27</v>
      </c>
      <c r="H2342">
        <v>82533</v>
      </c>
      <c r="I2342">
        <v>215</v>
      </c>
      <c r="J2342" t="s">
        <v>72</v>
      </c>
    </row>
    <row r="2343" spans="1:10" x14ac:dyDescent="0.2">
      <c r="A2343" s="1">
        <v>46098</v>
      </c>
      <c r="B2343" t="s">
        <v>15</v>
      </c>
      <c r="C2343" t="s">
        <v>16</v>
      </c>
      <c r="D2343" t="s">
        <v>74</v>
      </c>
      <c r="E2343">
        <v>71822</v>
      </c>
      <c r="F2343">
        <v>2729</v>
      </c>
      <c r="G2343">
        <v>583.51</v>
      </c>
      <c r="H2343">
        <v>56364</v>
      </c>
      <c r="I2343">
        <v>118</v>
      </c>
      <c r="J2343" t="s">
        <v>72</v>
      </c>
    </row>
    <row r="2344" spans="1:10" x14ac:dyDescent="0.2">
      <c r="A2344" s="1">
        <v>46098</v>
      </c>
      <c r="B2344" t="s">
        <v>15</v>
      </c>
      <c r="C2344" t="s">
        <v>76</v>
      </c>
      <c r="D2344" t="s">
        <v>75</v>
      </c>
      <c r="E2344">
        <v>110511</v>
      </c>
      <c r="F2344">
        <v>4365</v>
      </c>
      <c r="G2344">
        <v>868.55</v>
      </c>
      <c r="H2344">
        <v>88273</v>
      </c>
      <c r="I2344">
        <v>171</v>
      </c>
      <c r="J2344" t="s">
        <v>72</v>
      </c>
    </row>
    <row r="2345" spans="1:10" x14ac:dyDescent="0.2">
      <c r="A2345" s="1">
        <v>46098</v>
      </c>
      <c r="B2345" t="s">
        <v>21</v>
      </c>
      <c r="C2345" t="s">
        <v>26</v>
      </c>
      <c r="D2345" t="s">
        <v>12</v>
      </c>
      <c r="E2345">
        <v>52209</v>
      </c>
      <c r="F2345">
        <v>1659</v>
      </c>
      <c r="G2345">
        <v>351.52</v>
      </c>
      <c r="H2345">
        <v>41161</v>
      </c>
      <c r="I2345">
        <v>66</v>
      </c>
      <c r="J2345" t="s">
        <v>72</v>
      </c>
    </row>
    <row r="2346" spans="1:10" x14ac:dyDescent="0.2">
      <c r="A2346" s="1">
        <v>46098</v>
      </c>
      <c r="B2346" t="s">
        <v>21</v>
      </c>
      <c r="C2346" t="s">
        <v>78</v>
      </c>
      <c r="D2346" t="s">
        <v>71</v>
      </c>
      <c r="E2346">
        <v>54160</v>
      </c>
      <c r="F2346">
        <v>1791</v>
      </c>
      <c r="G2346">
        <v>358.22</v>
      </c>
      <c r="H2346">
        <v>40475</v>
      </c>
      <c r="I2346">
        <v>96</v>
      </c>
      <c r="J2346" t="s">
        <v>72</v>
      </c>
    </row>
    <row r="2347" spans="1:10" x14ac:dyDescent="0.2">
      <c r="A2347" s="1">
        <v>46099</v>
      </c>
      <c r="B2347" t="s">
        <v>10</v>
      </c>
      <c r="C2347" t="s">
        <v>26</v>
      </c>
      <c r="D2347" t="s">
        <v>74</v>
      </c>
      <c r="E2347">
        <v>85627</v>
      </c>
      <c r="F2347">
        <v>2409</v>
      </c>
      <c r="G2347">
        <v>488.13</v>
      </c>
      <c r="H2347">
        <v>69946</v>
      </c>
      <c r="I2347">
        <v>94</v>
      </c>
      <c r="J2347" t="s">
        <v>72</v>
      </c>
    </row>
    <row r="2348" spans="1:10" x14ac:dyDescent="0.2">
      <c r="A2348" s="1">
        <v>46099</v>
      </c>
      <c r="B2348" t="s">
        <v>10</v>
      </c>
      <c r="C2348" t="s">
        <v>73</v>
      </c>
      <c r="D2348" t="s">
        <v>74</v>
      </c>
      <c r="E2348">
        <v>60043</v>
      </c>
      <c r="F2348">
        <v>1828</v>
      </c>
      <c r="G2348">
        <v>408.92</v>
      </c>
      <c r="H2348">
        <v>45071</v>
      </c>
      <c r="I2348">
        <v>96</v>
      </c>
      <c r="J2348" t="s">
        <v>72</v>
      </c>
    </row>
    <row r="2349" spans="1:10" x14ac:dyDescent="0.2">
      <c r="A2349" s="1">
        <v>46099</v>
      </c>
      <c r="B2349" t="s">
        <v>15</v>
      </c>
      <c r="C2349" t="s">
        <v>16</v>
      </c>
      <c r="D2349" t="s">
        <v>74</v>
      </c>
      <c r="E2349">
        <v>55278</v>
      </c>
      <c r="F2349">
        <v>1957</v>
      </c>
      <c r="G2349">
        <v>434.51</v>
      </c>
      <c r="H2349">
        <v>44583</v>
      </c>
      <c r="I2349">
        <v>87</v>
      </c>
      <c r="J2349" t="s">
        <v>72</v>
      </c>
    </row>
    <row r="2350" spans="1:10" x14ac:dyDescent="0.2">
      <c r="A2350" s="1">
        <v>46099</v>
      </c>
      <c r="B2350" t="s">
        <v>15</v>
      </c>
      <c r="C2350" t="s">
        <v>76</v>
      </c>
      <c r="D2350" t="s">
        <v>75</v>
      </c>
      <c r="E2350">
        <v>47171</v>
      </c>
      <c r="F2350">
        <v>1433</v>
      </c>
      <c r="G2350">
        <v>339.32</v>
      </c>
      <c r="H2350">
        <v>35800</v>
      </c>
      <c r="I2350">
        <v>54</v>
      </c>
      <c r="J2350" t="s">
        <v>72</v>
      </c>
    </row>
    <row r="2351" spans="1:10" x14ac:dyDescent="0.2">
      <c r="A2351" s="1">
        <v>46099</v>
      </c>
      <c r="B2351" t="s">
        <v>21</v>
      </c>
      <c r="C2351" t="s">
        <v>26</v>
      </c>
      <c r="D2351" t="s">
        <v>74</v>
      </c>
      <c r="E2351">
        <v>120253</v>
      </c>
      <c r="F2351">
        <v>4364</v>
      </c>
      <c r="G2351">
        <v>853.35</v>
      </c>
      <c r="H2351">
        <v>94839</v>
      </c>
      <c r="I2351">
        <v>215</v>
      </c>
      <c r="J2351" t="s">
        <v>72</v>
      </c>
    </row>
    <row r="2352" spans="1:10" x14ac:dyDescent="0.2">
      <c r="A2352" s="1">
        <v>46099</v>
      </c>
      <c r="B2352" t="s">
        <v>21</v>
      </c>
      <c r="C2352" t="s">
        <v>78</v>
      </c>
      <c r="D2352" t="s">
        <v>71</v>
      </c>
      <c r="E2352">
        <v>63310</v>
      </c>
      <c r="F2352">
        <v>2108</v>
      </c>
      <c r="G2352">
        <v>472.46</v>
      </c>
      <c r="H2352">
        <v>45917</v>
      </c>
      <c r="I2352">
        <v>104</v>
      </c>
      <c r="J2352" t="s">
        <v>72</v>
      </c>
    </row>
    <row r="2353" spans="1:10" x14ac:dyDescent="0.2">
      <c r="A2353" s="1">
        <v>46100</v>
      </c>
      <c r="B2353" t="s">
        <v>10</v>
      </c>
      <c r="C2353" t="s">
        <v>26</v>
      </c>
      <c r="D2353" t="s">
        <v>12</v>
      </c>
      <c r="E2353">
        <v>81446</v>
      </c>
      <c r="F2353">
        <v>3053</v>
      </c>
      <c r="G2353">
        <v>626.15</v>
      </c>
      <c r="H2353">
        <v>62369</v>
      </c>
      <c r="I2353">
        <v>125</v>
      </c>
      <c r="J2353" t="s">
        <v>72</v>
      </c>
    </row>
    <row r="2354" spans="1:10" x14ac:dyDescent="0.2">
      <c r="A2354" s="1">
        <v>46100</v>
      </c>
      <c r="B2354" t="s">
        <v>10</v>
      </c>
      <c r="C2354" t="s">
        <v>73</v>
      </c>
      <c r="D2354" t="s">
        <v>71</v>
      </c>
      <c r="E2354">
        <v>118856</v>
      </c>
      <c r="F2354">
        <v>4163</v>
      </c>
      <c r="G2354">
        <v>818.24</v>
      </c>
      <c r="H2354">
        <v>90660</v>
      </c>
      <c r="I2354">
        <v>234</v>
      </c>
      <c r="J2354" t="s">
        <v>72</v>
      </c>
    </row>
    <row r="2355" spans="1:10" x14ac:dyDescent="0.2">
      <c r="A2355" s="1">
        <v>46100</v>
      </c>
      <c r="B2355" t="s">
        <v>15</v>
      </c>
      <c r="C2355" t="s">
        <v>16</v>
      </c>
      <c r="D2355" t="s">
        <v>75</v>
      </c>
      <c r="E2355">
        <v>91001</v>
      </c>
      <c r="F2355">
        <v>3357</v>
      </c>
      <c r="G2355">
        <v>621.77</v>
      </c>
      <c r="H2355">
        <v>68302</v>
      </c>
      <c r="I2355">
        <v>171</v>
      </c>
      <c r="J2355" t="s">
        <v>72</v>
      </c>
    </row>
    <row r="2356" spans="1:10" x14ac:dyDescent="0.2">
      <c r="A2356" s="1">
        <v>46100</v>
      </c>
      <c r="B2356" t="s">
        <v>15</v>
      </c>
      <c r="C2356" t="s">
        <v>76</v>
      </c>
      <c r="D2356" t="s">
        <v>75</v>
      </c>
      <c r="E2356">
        <v>52540</v>
      </c>
      <c r="F2356">
        <v>1527</v>
      </c>
      <c r="G2356">
        <v>296.85000000000002</v>
      </c>
      <c r="H2356">
        <v>38320</v>
      </c>
      <c r="I2356">
        <v>69</v>
      </c>
      <c r="J2356" t="s">
        <v>72</v>
      </c>
    </row>
    <row r="2357" spans="1:10" x14ac:dyDescent="0.2">
      <c r="A2357" s="1">
        <v>46100</v>
      </c>
      <c r="B2357" t="s">
        <v>21</v>
      </c>
      <c r="C2357" t="s">
        <v>26</v>
      </c>
      <c r="D2357" t="s">
        <v>12</v>
      </c>
      <c r="E2357">
        <v>87707</v>
      </c>
      <c r="F2357">
        <v>3136</v>
      </c>
      <c r="G2357">
        <v>657.21</v>
      </c>
      <c r="H2357">
        <v>70817</v>
      </c>
      <c r="I2357">
        <v>178</v>
      </c>
      <c r="J2357" t="s">
        <v>72</v>
      </c>
    </row>
    <row r="2358" spans="1:10" x14ac:dyDescent="0.2">
      <c r="A2358" s="1">
        <v>46100</v>
      </c>
      <c r="B2358" t="s">
        <v>21</v>
      </c>
      <c r="C2358" t="s">
        <v>78</v>
      </c>
      <c r="D2358" t="s">
        <v>71</v>
      </c>
      <c r="E2358">
        <v>125676</v>
      </c>
      <c r="F2358">
        <v>5159</v>
      </c>
      <c r="G2358">
        <v>970.85</v>
      </c>
      <c r="H2358">
        <v>96742</v>
      </c>
      <c r="I2358">
        <v>250</v>
      </c>
      <c r="J2358" t="s">
        <v>72</v>
      </c>
    </row>
    <row r="2359" spans="1:10" x14ac:dyDescent="0.2">
      <c r="A2359" s="1">
        <v>46101</v>
      </c>
      <c r="B2359" t="s">
        <v>10</v>
      </c>
      <c r="C2359" t="s">
        <v>26</v>
      </c>
      <c r="D2359" t="s">
        <v>71</v>
      </c>
      <c r="E2359">
        <v>129717</v>
      </c>
      <c r="F2359">
        <v>4899</v>
      </c>
      <c r="G2359">
        <v>1001</v>
      </c>
      <c r="H2359">
        <v>101390</v>
      </c>
      <c r="I2359">
        <v>271</v>
      </c>
      <c r="J2359" t="s">
        <v>72</v>
      </c>
    </row>
    <row r="2360" spans="1:10" x14ac:dyDescent="0.2">
      <c r="A2360" s="1">
        <v>46101</v>
      </c>
      <c r="B2360" t="s">
        <v>10</v>
      </c>
      <c r="C2360" t="s">
        <v>73</v>
      </c>
      <c r="D2360" t="s">
        <v>74</v>
      </c>
      <c r="E2360">
        <v>111412</v>
      </c>
      <c r="F2360">
        <v>4215</v>
      </c>
      <c r="G2360">
        <v>948.29</v>
      </c>
      <c r="H2360">
        <v>82937</v>
      </c>
      <c r="I2360">
        <v>211</v>
      </c>
      <c r="J2360" t="s">
        <v>72</v>
      </c>
    </row>
    <row r="2361" spans="1:10" x14ac:dyDescent="0.2">
      <c r="A2361" s="1">
        <v>46101</v>
      </c>
      <c r="B2361" t="s">
        <v>15</v>
      </c>
      <c r="C2361" t="s">
        <v>16</v>
      </c>
      <c r="D2361" t="s">
        <v>75</v>
      </c>
      <c r="E2361">
        <v>142491</v>
      </c>
      <c r="F2361">
        <v>4884</v>
      </c>
      <c r="G2361">
        <v>928.51</v>
      </c>
      <c r="H2361">
        <v>115847</v>
      </c>
      <c r="I2361">
        <v>248</v>
      </c>
      <c r="J2361" t="s">
        <v>72</v>
      </c>
    </row>
    <row r="2362" spans="1:10" x14ac:dyDescent="0.2">
      <c r="A2362" s="1">
        <v>46101</v>
      </c>
      <c r="B2362" t="s">
        <v>15</v>
      </c>
      <c r="C2362" t="s">
        <v>76</v>
      </c>
      <c r="D2362" t="s">
        <v>75</v>
      </c>
      <c r="E2362">
        <v>68786</v>
      </c>
      <c r="F2362">
        <v>1998</v>
      </c>
      <c r="G2362">
        <v>460.27</v>
      </c>
      <c r="H2362">
        <v>53059</v>
      </c>
      <c r="I2362">
        <v>113</v>
      </c>
      <c r="J2362" t="s">
        <v>72</v>
      </c>
    </row>
    <row r="2363" spans="1:10" x14ac:dyDescent="0.2">
      <c r="A2363" s="1">
        <v>46101</v>
      </c>
      <c r="B2363" t="s">
        <v>21</v>
      </c>
      <c r="C2363" t="s">
        <v>26</v>
      </c>
      <c r="D2363" t="s">
        <v>74</v>
      </c>
      <c r="E2363">
        <v>123431</v>
      </c>
      <c r="F2363">
        <v>4111</v>
      </c>
      <c r="G2363">
        <v>832.05</v>
      </c>
      <c r="H2363">
        <v>90267</v>
      </c>
      <c r="I2363">
        <v>227</v>
      </c>
      <c r="J2363" t="s">
        <v>72</v>
      </c>
    </row>
    <row r="2364" spans="1:10" x14ac:dyDescent="0.2">
      <c r="A2364" s="1">
        <v>46101</v>
      </c>
      <c r="B2364" t="s">
        <v>21</v>
      </c>
      <c r="C2364" t="s">
        <v>78</v>
      </c>
      <c r="D2364" t="s">
        <v>71</v>
      </c>
      <c r="E2364">
        <v>130861</v>
      </c>
      <c r="F2364">
        <v>5222</v>
      </c>
      <c r="G2364">
        <v>1208.73</v>
      </c>
      <c r="H2364">
        <v>98015</v>
      </c>
      <c r="I2364">
        <v>221</v>
      </c>
      <c r="J2364" t="s">
        <v>72</v>
      </c>
    </row>
    <row r="2365" spans="1:10" x14ac:dyDescent="0.2">
      <c r="A2365" s="1">
        <v>46102</v>
      </c>
      <c r="B2365" t="s">
        <v>10</v>
      </c>
      <c r="C2365" t="s">
        <v>26</v>
      </c>
      <c r="D2365" t="s">
        <v>12</v>
      </c>
      <c r="E2365">
        <v>75303</v>
      </c>
      <c r="F2365">
        <v>2110</v>
      </c>
      <c r="G2365">
        <v>459.71</v>
      </c>
      <c r="H2365">
        <v>57182</v>
      </c>
      <c r="I2365">
        <v>117</v>
      </c>
      <c r="J2365" t="s">
        <v>72</v>
      </c>
    </row>
    <row r="2366" spans="1:10" x14ac:dyDescent="0.2">
      <c r="A2366" s="1">
        <v>46102</v>
      </c>
      <c r="B2366" t="s">
        <v>10</v>
      </c>
      <c r="C2366" t="s">
        <v>73</v>
      </c>
      <c r="D2366" t="s">
        <v>74</v>
      </c>
      <c r="E2366">
        <v>117900</v>
      </c>
      <c r="F2366">
        <v>4774</v>
      </c>
      <c r="G2366">
        <v>1102.32</v>
      </c>
      <c r="H2366">
        <v>85565</v>
      </c>
      <c r="I2366">
        <v>134</v>
      </c>
      <c r="J2366" t="s">
        <v>72</v>
      </c>
    </row>
    <row r="2367" spans="1:10" x14ac:dyDescent="0.2">
      <c r="A2367" s="1">
        <v>46102</v>
      </c>
      <c r="B2367" t="s">
        <v>15</v>
      </c>
      <c r="C2367" t="s">
        <v>16</v>
      </c>
      <c r="D2367" t="s">
        <v>74</v>
      </c>
      <c r="E2367">
        <v>94981</v>
      </c>
      <c r="F2367">
        <v>3056</v>
      </c>
      <c r="G2367">
        <v>569.73</v>
      </c>
      <c r="H2367">
        <v>71708</v>
      </c>
      <c r="I2367">
        <v>151</v>
      </c>
      <c r="J2367" t="s">
        <v>72</v>
      </c>
    </row>
    <row r="2368" spans="1:10" x14ac:dyDescent="0.2">
      <c r="A2368" s="1">
        <v>46102</v>
      </c>
      <c r="B2368" t="s">
        <v>15</v>
      </c>
      <c r="C2368" t="s">
        <v>76</v>
      </c>
      <c r="D2368" t="s">
        <v>74</v>
      </c>
      <c r="E2368">
        <v>99409</v>
      </c>
      <c r="F2368">
        <v>2795</v>
      </c>
      <c r="G2368">
        <v>575.35</v>
      </c>
      <c r="H2368">
        <v>73538</v>
      </c>
      <c r="I2368">
        <v>122</v>
      </c>
      <c r="J2368" t="s">
        <v>72</v>
      </c>
    </row>
    <row r="2369" spans="1:10" x14ac:dyDescent="0.2">
      <c r="A2369" s="1">
        <v>46102</v>
      </c>
      <c r="B2369" t="s">
        <v>19</v>
      </c>
      <c r="C2369" t="s">
        <v>26</v>
      </c>
      <c r="D2369" t="s">
        <v>12</v>
      </c>
      <c r="E2369">
        <v>108982</v>
      </c>
      <c r="F2369">
        <v>3240</v>
      </c>
      <c r="G2369">
        <v>677.95</v>
      </c>
      <c r="H2369">
        <v>80163</v>
      </c>
      <c r="I2369">
        <v>154</v>
      </c>
      <c r="J2369" t="s">
        <v>72</v>
      </c>
    </row>
    <row r="2370" spans="1:10" x14ac:dyDescent="0.2">
      <c r="A2370" s="1">
        <v>46102</v>
      </c>
      <c r="B2370" t="s">
        <v>19</v>
      </c>
      <c r="C2370" t="s">
        <v>73</v>
      </c>
      <c r="D2370" t="s">
        <v>12</v>
      </c>
      <c r="E2370">
        <v>119203</v>
      </c>
      <c r="F2370">
        <v>3997</v>
      </c>
      <c r="G2370">
        <v>791.23</v>
      </c>
      <c r="H2370">
        <v>90932</v>
      </c>
      <c r="I2370">
        <v>133</v>
      </c>
      <c r="J2370" t="s">
        <v>72</v>
      </c>
    </row>
    <row r="2371" spans="1:10" x14ac:dyDescent="0.2">
      <c r="A2371" s="1">
        <v>46102</v>
      </c>
      <c r="B2371" t="s">
        <v>21</v>
      </c>
      <c r="C2371" t="s">
        <v>26</v>
      </c>
      <c r="D2371" t="s">
        <v>74</v>
      </c>
      <c r="E2371">
        <v>57519</v>
      </c>
      <c r="F2371">
        <v>2407</v>
      </c>
      <c r="G2371">
        <v>528.04</v>
      </c>
      <c r="H2371">
        <v>43940</v>
      </c>
      <c r="I2371">
        <v>77</v>
      </c>
      <c r="J2371" t="s">
        <v>72</v>
      </c>
    </row>
    <row r="2372" spans="1:10" x14ac:dyDescent="0.2">
      <c r="A2372" s="1">
        <v>46102</v>
      </c>
      <c r="B2372" t="s">
        <v>21</v>
      </c>
      <c r="C2372" t="s">
        <v>78</v>
      </c>
      <c r="D2372" t="s">
        <v>71</v>
      </c>
      <c r="E2372">
        <v>39989</v>
      </c>
      <c r="F2372">
        <v>1320</v>
      </c>
      <c r="G2372">
        <v>306.54000000000002</v>
      </c>
      <c r="H2372">
        <v>29585</v>
      </c>
      <c r="I2372">
        <v>44</v>
      </c>
      <c r="J2372" t="s">
        <v>72</v>
      </c>
    </row>
    <row r="2373" spans="1:10" x14ac:dyDescent="0.2">
      <c r="A2373" s="1">
        <v>46103</v>
      </c>
      <c r="B2373" t="s">
        <v>10</v>
      </c>
      <c r="C2373" t="s">
        <v>26</v>
      </c>
      <c r="D2373" t="s">
        <v>74</v>
      </c>
      <c r="E2373">
        <v>61777</v>
      </c>
      <c r="F2373">
        <v>2070</v>
      </c>
      <c r="G2373">
        <v>465</v>
      </c>
      <c r="H2373">
        <v>50045</v>
      </c>
      <c r="I2373">
        <v>67</v>
      </c>
      <c r="J2373" t="s">
        <v>72</v>
      </c>
    </row>
    <row r="2374" spans="1:10" x14ac:dyDescent="0.2">
      <c r="A2374" s="1">
        <v>46103</v>
      </c>
      <c r="B2374" t="s">
        <v>10</v>
      </c>
      <c r="C2374" t="s">
        <v>73</v>
      </c>
      <c r="D2374" t="s">
        <v>74</v>
      </c>
      <c r="E2374">
        <v>120668</v>
      </c>
      <c r="F2374">
        <v>4999</v>
      </c>
      <c r="G2374">
        <v>1194.6400000000001</v>
      </c>
      <c r="H2374">
        <v>88314</v>
      </c>
      <c r="I2374">
        <v>213</v>
      </c>
      <c r="J2374" t="s">
        <v>72</v>
      </c>
    </row>
    <row r="2375" spans="1:10" x14ac:dyDescent="0.2">
      <c r="A2375" s="1">
        <v>46103</v>
      </c>
      <c r="B2375" t="s">
        <v>15</v>
      </c>
      <c r="C2375" t="s">
        <v>16</v>
      </c>
      <c r="D2375" t="s">
        <v>74</v>
      </c>
      <c r="E2375">
        <v>60713</v>
      </c>
      <c r="F2375">
        <v>1976</v>
      </c>
      <c r="G2375">
        <v>446.31</v>
      </c>
      <c r="H2375">
        <v>49066</v>
      </c>
      <c r="I2375">
        <v>85</v>
      </c>
      <c r="J2375" t="s">
        <v>72</v>
      </c>
    </row>
    <row r="2376" spans="1:10" x14ac:dyDescent="0.2">
      <c r="A2376" s="1">
        <v>46103</v>
      </c>
      <c r="B2376" t="s">
        <v>15</v>
      </c>
      <c r="C2376" t="s">
        <v>76</v>
      </c>
      <c r="D2376" t="s">
        <v>74</v>
      </c>
      <c r="E2376">
        <v>61392</v>
      </c>
      <c r="F2376">
        <v>1813</v>
      </c>
      <c r="G2376">
        <v>338.08</v>
      </c>
      <c r="H2376">
        <v>44332</v>
      </c>
      <c r="I2376">
        <v>59</v>
      </c>
      <c r="J2376" t="s">
        <v>72</v>
      </c>
    </row>
    <row r="2377" spans="1:10" x14ac:dyDescent="0.2">
      <c r="A2377" s="1">
        <v>46103</v>
      </c>
      <c r="B2377" t="s">
        <v>19</v>
      </c>
      <c r="C2377" t="s">
        <v>26</v>
      </c>
      <c r="D2377" t="s">
        <v>12</v>
      </c>
      <c r="E2377">
        <v>79298</v>
      </c>
      <c r="F2377">
        <v>2278</v>
      </c>
      <c r="G2377">
        <v>523.46</v>
      </c>
      <c r="H2377">
        <v>60501</v>
      </c>
      <c r="I2377">
        <v>104</v>
      </c>
      <c r="J2377" t="s">
        <v>72</v>
      </c>
    </row>
    <row r="2378" spans="1:10" x14ac:dyDescent="0.2">
      <c r="A2378" s="1">
        <v>46103</v>
      </c>
      <c r="B2378" t="s">
        <v>19</v>
      </c>
      <c r="C2378" t="s">
        <v>73</v>
      </c>
      <c r="D2378" t="s">
        <v>12</v>
      </c>
      <c r="E2378">
        <v>113006</v>
      </c>
      <c r="F2378">
        <v>3923</v>
      </c>
      <c r="G2378">
        <v>772.57</v>
      </c>
      <c r="H2378">
        <v>82297</v>
      </c>
      <c r="I2378">
        <v>160</v>
      </c>
      <c r="J2378" t="s">
        <v>72</v>
      </c>
    </row>
    <row r="2379" spans="1:10" x14ac:dyDescent="0.2">
      <c r="A2379" s="1">
        <v>46103</v>
      </c>
      <c r="B2379" t="s">
        <v>21</v>
      </c>
      <c r="C2379" t="s">
        <v>26</v>
      </c>
      <c r="D2379" t="s">
        <v>12</v>
      </c>
      <c r="E2379">
        <v>126111</v>
      </c>
      <c r="F2379">
        <v>3861</v>
      </c>
      <c r="G2379">
        <v>760.11</v>
      </c>
      <c r="H2379">
        <v>92250</v>
      </c>
      <c r="I2379">
        <v>138</v>
      </c>
      <c r="J2379" t="s">
        <v>72</v>
      </c>
    </row>
    <row r="2380" spans="1:10" x14ac:dyDescent="0.2">
      <c r="A2380" s="1">
        <v>46103</v>
      </c>
      <c r="B2380" t="s">
        <v>21</v>
      </c>
      <c r="C2380" t="s">
        <v>78</v>
      </c>
      <c r="D2380" t="s">
        <v>71</v>
      </c>
      <c r="E2380">
        <v>112125</v>
      </c>
      <c r="F2380">
        <v>3450</v>
      </c>
      <c r="G2380">
        <v>767.24</v>
      </c>
      <c r="H2380">
        <v>89811</v>
      </c>
      <c r="I2380">
        <v>169</v>
      </c>
      <c r="J2380" t="s">
        <v>72</v>
      </c>
    </row>
    <row r="2381" spans="1:10" x14ac:dyDescent="0.2">
      <c r="A2381" s="1">
        <v>46104</v>
      </c>
      <c r="B2381" t="s">
        <v>10</v>
      </c>
      <c r="C2381" t="s">
        <v>26</v>
      </c>
      <c r="D2381" t="s">
        <v>71</v>
      </c>
      <c r="E2381">
        <v>69872</v>
      </c>
      <c r="F2381">
        <v>2140</v>
      </c>
      <c r="G2381">
        <v>494.97</v>
      </c>
      <c r="H2381">
        <v>54702</v>
      </c>
      <c r="I2381">
        <v>69</v>
      </c>
      <c r="J2381" t="s">
        <v>72</v>
      </c>
    </row>
    <row r="2382" spans="1:10" x14ac:dyDescent="0.2">
      <c r="A2382" s="1">
        <v>46104</v>
      </c>
      <c r="B2382" t="s">
        <v>10</v>
      </c>
      <c r="C2382" t="s">
        <v>73</v>
      </c>
      <c r="D2382" t="s">
        <v>74</v>
      </c>
      <c r="E2382">
        <v>61542</v>
      </c>
      <c r="F2382">
        <v>2068</v>
      </c>
      <c r="G2382">
        <v>406.22</v>
      </c>
      <c r="H2382">
        <v>45492</v>
      </c>
      <c r="I2382">
        <v>66</v>
      </c>
      <c r="J2382" t="s">
        <v>72</v>
      </c>
    </row>
    <row r="2383" spans="1:10" x14ac:dyDescent="0.2">
      <c r="A2383" s="1">
        <v>46104</v>
      </c>
      <c r="B2383" t="s">
        <v>15</v>
      </c>
      <c r="C2383" t="s">
        <v>16</v>
      </c>
      <c r="D2383" t="s">
        <v>75</v>
      </c>
      <c r="E2383">
        <v>73017</v>
      </c>
      <c r="F2383">
        <v>2137</v>
      </c>
      <c r="G2383">
        <v>391.19</v>
      </c>
      <c r="H2383">
        <v>55546</v>
      </c>
      <c r="I2383">
        <v>79</v>
      </c>
      <c r="J2383" t="s">
        <v>72</v>
      </c>
    </row>
    <row r="2384" spans="1:10" x14ac:dyDescent="0.2">
      <c r="A2384" s="1">
        <v>46104</v>
      </c>
      <c r="B2384" t="s">
        <v>15</v>
      </c>
      <c r="C2384" t="s">
        <v>76</v>
      </c>
      <c r="D2384" t="s">
        <v>75</v>
      </c>
      <c r="E2384">
        <v>76788</v>
      </c>
      <c r="F2384">
        <v>2511</v>
      </c>
      <c r="G2384">
        <v>524.17999999999995</v>
      </c>
      <c r="H2384">
        <v>59202</v>
      </c>
      <c r="I2384">
        <v>118</v>
      </c>
      <c r="J2384" t="s">
        <v>72</v>
      </c>
    </row>
    <row r="2385" spans="1:10" x14ac:dyDescent="0.2">
      <c r="A2385" s="1">
        <v>46104</v>
      </c>
      <c r="B2385" t="s">
        <v>21</v>
      </c>
      <c r="C2385" t="s">
        <v>26</v>
      </c>
      <c r="D2385" t="s">
        <v>74</v>
      </c>
      <c r="E2385">
        <v>57752</v>
      </c>
      <c r="F2385">
        <v>1834</v>
      </c>
      <c r="G2385">
        <v>360.99</v>
      </c>
      <c r="H2385">
        <v>43608</v>
      </c>
      <c r="I2385">
        <v>74</v>
      </c>
      <c r="J2385" t="s">
        <v>72</v>
      </c>
    </row>
    <row r="2386" spans="1:10" x14ac:dyDescent="0.2">
      <c r="A2386" s="1">
        <v>46104</v>
      </c>
      <c r="B2386" t="s">
        <v>21</v>
      </c>
      <c r="C2386" t="s">
        <v>78</v>
      </c>
      <c r="D2386" t="s">
        <v>71</v>
      </c>
      <c r="E2386">
        <v>47102</v>
      </c>
      <c r="F2386">
        <v>1438</v>
      </c>
      <c r="G2386">
        <v>258.89</v>
      </c>
      <c r="H2386">
        <v>37024</v>
      </c>
      <c r="I2386">
        <v>54</v>
      </c>
      <c r="J2386" t="s">
        <v>72</v>
      </c>
    </row>
    <row r="2387" spans="1:10" x14ac:dyDescent="0.2">
      <c r="A2387" s="1">
        <v>46105</v>
      </c>
      <c r="B2387" t="s">
        <v>10</v>
      </c>
      <c r="C2387" t="s">
        <v>26</v>
      </c>
      <c r="D2387" t="s">
        <v>12</v>
      </c>
      <c r="E2387">
        <v>119434</v>
      </c>
      <c r="F2387">
        <v>3812</v>
      </c>
      <c r="G2387">
        <v>824.88</v>
      </c>
      <c r="H2387">
        <v>91138</v>
      </c>
      <c r="I2387">
        <v>135</v>
      </c>
      <c r="J2387" t="s">
        <v>72</v>
      </c>
    </row>
    <row r="2388" spans="1:10" x14ac:dyDescent="0.2">
      <c r="A2388" s="1">
        <v>46105</v>
      </c>
      <c r="B2388" t="s">
        <v>10</v>
      </c>
      <c r="C2388" t="s">
        <v>73</v>
      </c>
      <c r="D2388" t="s">
        <v>71</v>
      </c>
      <c r="E2388">
        <v>100951</v>
      </c>
      <c r="F2388">
        <v>3299</v>
      </c>
      <c r="G2388">
        <v>615.9</v>
      </c>
      <c r="H2388">
        <v>79437</v>
      </c>
      <c r="I2388">
        <v>159</v>
      </c>
      <c r="J2388" t="s">
        <v>72</v>
      </c>
    </row>
    <row r="2389" spans="1:10" x14ac:dyDescent="0.2">
      <c r="A2389" s="1">
        <v>46105</v>
      </c>
      <c r="B2389" t="s">
        <v>15</v>
      </c>
      <c r="C2389" t="s">
        <v>16</v>
      </c>
      <c r="D2389" t="s">
        <v>75</v>
      </c>
      <c r="E2389">
        <v>95435</v>
      </c>
      <c r="F2389">
        <v>3153</v>
      </c>
      <c r="G2389">
        <v>720.78</v>
      </c>
      <c r="H2389">
        <v>75803</v>
      </c>
      <c r="I2389">
        <v>143</v>
      </c>
      <c r="J2389" t="s">
        <v>72</v>
      </c>
    </row>
    <row r="2390" spans="1:10" x14ac:dyDescent="0.2">
      <c r="A2390" s="1">
        <v>46105</v>
      </c>
      <c r="B2390" t="s">
        <v>15</v>
      </c>
      <c r="C2390" t="s">
        <v>76</v>
      </c>
      <c r="D2390" t="s">
        <v>74</v>
      </c>
      <c r="E2390">
        <v>79596</v>
      </c>
      <c r="F2390">
        <v>2953</v>
      </c>
      <c r="G2390">
        <v>568.75</v>
      </c>
      <c r="H2390">
        <v>60365</v>
      </c>
      <c r="I2390">
        <v>161</v>
      </c>
      <c r="J2390" t="s">
        <v>72</v>
      </c>
    </row>
    <row r="2391" spans="1:10" x14ac:dyDescent="0.2">
      <c r="A2391" s="1">
        <v>46105</v>
      </c>
      <c r="B2391" t="s">
        <v>21</v>
      </c>
      <c r="C2391" t="s">
        <v>26</v>
      </c>
      <c r="D2391" t="s">
        <v>12</v>
      </c>
      <c r="E2391">
        <v>141547</v>
      </c>
      <c r="F2391">
        <v>4201</v>
      </c>
      <c r="G2391">
        <v>904.03</v>
      </c>
      <c r="H2391">
        <v>114825</v>
      </c>
      <c r="I2391">
        <v>200</v>
      </c>
      <c r="J2391" t="s">
        <v>72</v>
      </c>
    </row>
    <row r="2392" spans="1:10" x14ac:dyDescent="0.2">
      <c r="A2392" s="1">
        <v>46105</v>
      </c>
      <c r="B2392" t="s">
        <v>21</v>
      </c>
      <c r="C2392" t="s">
        <v>78</v>
      </c>
      <c r="D2392" t="s">
        <v>71</v>
      </c>
      <c r="E2392">
        <v>71873</v>
      </c>
      <c r="F2392">
        <v>2721</v>
      </c>
      <c r="G2392">
        <v>640.88</v>
      </c>
      <c r="H2392">
        <v>52286</v>
      </c>
      <c r="I2392">
        <v>120</v>
      </c>
      <c r="J2392" t="s">
        <v>72</v>
      </c>
    </row>
    <row r="2393" spans="1:10" x14ac:dyDescent="0.2">
      <c r="A2393" s="1">
        <v>46106</v>
      </c>
      <c r="B2393" t="s">
        <v>10</v>
      </c>
      <c r="C2393" t="s">
        <v>26</v>
      </c>
      <c r="D2393" t="s">
        <v>12</v>
      </c>
      <c r="E2393">
        <v>90369</v>
      </c>
      <c r="F2393">
        <v>3448</v>
      </c>
      <c r="G2393">
        <v>825.38</v>
      </c>
      <c r="H2393">
        <v>66891</v>
      </c>
      <c r="I2393">
        <v>171</v>
      </c>
      <c r="J2393" t="s">
        <v>72</v>
      </c>
    </row>
    <row r="2394" spans="1:10" x14ac:dyDescent="0.2">
      <c r="A2394" s="1">
        <v>46106</v>
      </c>
      <c r="B2394" t="s">
        <v>10</v>
      </c>
      <c r="C2394" t="s">
        <v>73</v>
      </c>
      <c r="D2394" t="s">
        <v>74</v>
      </c>
      <c r="E2394">
        <v>60781</v>
      </c>
      <c r="F2394">
        <v>1864</v>
      </c>
      <c r="G2394">
        <v>397.09</v>
      </c>
      <c r="H2394">
        <v>45297</v>
      </c>
      <c r="I2394">
        <v>101</v>
      </c>
      <c r="J2394" t="s">
        <v>72</v>
      </c>
    </row>
    <row r="2395" spans="1:10" x14ac:dyDescent="0.2">
      <c r="A2395" s="1">
        <v>46106</v>
      </c>
      <c r="B2395" t="s">
        <v>15</v>
      </c>
      <c r="C2395" t="s">
        <v>16</v>
      </c>
      <c r="D2395" t="s">
        <v>74</v>
      </c>
      <c r="E2395">
        <v>101364</v>
      </c>
      <c r="F2395">
        <v>3474</v>
      </c>
      <c r="G2395">
        <v>774.84</v>
      </c>
      <c r="H2395">
        <v>82214</v>
      </c>
      <c r="I2395">
        <v>104</v>
      </c>
      <c r="J2395" t="s">
        <v>72</v>
      </c>
    </row>
    <row r="2396" spans="1:10" x14ac:dyDescent="0.2">
      <c r="A2396" s="1">
        <v>46106</v>
      </c>
      <c r="B2396" t="s">
        <v>15</v>
      </c>
      <c r="C2396" t="s">
        <v>76</v>
      </c>
      <c r="D2396" t="s">
        <v>74</v>
      </c>
      <c r="E2396">
        <v>128245</v>
      </c>
      <c r="F2396">
        <v>5263</v>
      </c>
      <c r="G2396">
        <v>1106.45</v>
      </c>
      <c r="H2396">
        <v>92616</v>
      </c>
      <c r="I2396">
        <v>241</v>
      </c>
      <c r="J2396" t="s">
        <v>72</v>
      </c>
    </row>
    <row r="2397" spans="1:10" x14ac:dyDescent="0.2">
      <c r="A2397" s="1">
        <v>46106</v>
      </c>
      <c r="B2397" t="s">
        <v>21</v>
      </c>
      <c r="C2397" t="s">
        <v>26</v>
      </c>
      <c r="D2397" t="s">
        <v>12</v>
      </c>
      <c r="E2397">
        <v>88354</v>
      </c>
      <c r="F2397">
        <v>2530</v>
      </c>
      <c r="G2397">
        <v>541.35</v>
      </c>
      <c r="H2397">
        <v>70633</v>
      </c>
      <c r="I2397">
        <v>123</v>
      </c>
      <c r="J2397" t="s">
        <v>72</v>
      </c>
    </row>
    <row r="2398" spans="1:10" x14ac:dyDescent="0.2">
      <c r="A2398" s="1">
        <v>46106</v>
      </c>
      <c r="B2398" t="s">
        <v>21</v>
      </c>
      <c r="C2398" t="s">
        <v>78</v>
      </c>
      <c r="D2398" t="s">
        <v>71</v>
      </c>
      <c r="E2398">
        <v>123349</v>
      </c>
      <c r="F2398">
        <v>4636</v>
      </c>
      <c r="G2398">
        <v>1076.55</v>
      </c>
      <c r="H2398">
        <v>100795</v>
      </c>
      <c r="I2398">
        <v>152</v>
      </c>
      <c r="J2398" t="s">
        <v>72</v>
      </c>
    </row>
    <row r="2399" spans="1:10" x14ac:dyDescent="0.2">
      <c r="A2399" s="1">
        <v>46107</v>
      </c>
      <c r="B2399" t="s">
        <v>10</v>
      </c>
      <c r="C2399" t="s">
        <v>26</v>
      </c>
      <c r="D2399" t="s">
        <v>71</v>
      </c>
      <c r="E2399">
        <v>104456</v>
      </c>
      <c r="F2399">
        <v>3747</v>
      </c>
      <c r="G2399">
        <v>762.2</v>
      </c>
      <c r="H2399">
        <v>81551</v>
      </c>
      <c r="I2399">
        <v>128</v>
      </c>
      <c r="J2399" t="s">
        <v>72</v>
      </c>
    </row>
    <row r="2400" spans="1:10" x14ac:dyDescent="0.2">
      <c r="A2400" s="1">
        <v>46107</v>
      </c>
      <c r="B2400" t="s">
        <v>10</v>
      </c>
      <c r="C2400" t="s">
        <v>73</v>
      </c>
      <c r="D2400" t="s">
        <v>74</v>
      </c>
      <c r="E2400">
        <v>66262</v>
      </c>
      <c r="F2400">
        <v>2385</v>
      </c>
      <c r="G2400">
        <v>514.03</v>
      </c>
      <c r="H2400">
        <v>47767</v>
      </c>
      <c r="I2400">
        <v>133</v>
      </c>
      <c r="J2400" t="s">
        <v>72</v>
      </c>
    </row>
    <row r="2401" spans="1:10" x14ac:dyDescent="0.2">
      <c r="A2401" s="1">
        <v>46107</v>
      </c>
      <c r="B2401" t="s">
        <v>15</v>
      </c>
      <c r="C2401" t="s">
        <v>16</v>
      </c>
      <c r="D2401" t="s">
        <v>74</v>
      </c>
      <c r="E2401">
        <v>124846</v>
      </c>
      <c r="F2401">
        <v>4732</v>
      </c>
      <c r="G2401">
        <v>1000.84</v>
      </c>
      <c r="H2401">
        <v>93677</v>
      </c>
      <c r="I2401">
        <v>163</v>
      </c>
      <c r="J2401" t="s">
        <v>72</v>
      </c>
    </row>
    <row r="2402" spans="1:10" x14ac:dyDescent="0.2">
      <c r="A2402" s="1">
        <v>46107</v>
      </c>
      <c r="B2402" t="s">
        <v>15</v>
      </c>
      <c r="C2402" t="s">
        <v>76</v>
      </c>
      <c r="D2402" t="s">
        <v>74</v>
      </c>
      <c r="E2402">
        <v>133082</v>
      </c>
      <c r="F2402">
        <v>3948</v>
      </c>
      <c r="G2402">
        <v>763.68</v>
      </c>
      <c r="H2402">
        <v>102919</v>
      </c>
      <c r="I2402">
        <v>145</v>
      </c>
      <c r="J2402" t="s">
        <v>72</v>
      </c>
    </row>
    <row r="2403" spans="1:10" x14ac:dyDescent="0.2">
      <c r="A2403" s="1">
        <v>46107</v>
      </c>
      <c r="B2403" t="s">
        <v>21</v>
      </c>
      <c r="C2403" t="s">
        <v>26</v>
      </c>
      <c r="D2403" t="s">
        <v>12</v>
      </c>
      <c r="E2403">
        <v>86327</v>
      </c>
      <c r="F2403">
        <v>3537</v>
      </c>
      <c r="G2403">
        <v>694.05</v>
      </c>
      <c r="H2403">
        <v>68980</v>
      </c>
      <c r="I2403">
        <v>167</v>
      </c>
      <c r="J2403" t="s">
        <v>72</v>
      </c>
    </row>
    <row r="2404" spans="1:10" x14ac:dyDescent="0.2">
      <c r="A2404" s="1">
        <v>46107</v>
      </c>
      <c r="B2404" t="s">
        <v>21</v>
      </c>
      <c r="C2404" t="s">
        <v>78</v>
      </c>
      <c r="D2404" t="s">
        <v>71</v>
      </c>
      <c r="E2404">
        <v>74777</v>
      </c>
      <c r="F2404">
        <v>2653</v>
      </c>
      <c r="G2404">
        <v>477.76</v>
      </c>
      <c r="H2404">
        <v>56437</v>
      </c>
      <c r="I2404">
        <v>122</v>
      </c>
      <c r="J2404" t="s">
        <v>72</v>
      </c>
    </row>
    <row r="2405" spans="1:10" x14ac:dyDescent="0.2">
      <c r="A2405" s="1">
        <v>46108</v>
      </c>
      <c r="B2405" t="s">
        <v>10</v>
      </c>
      <c r="C2405" t="s">
        <v>26</v>
      </c>
      <c r="D2405" t="s">
        <v>12</v>
      </c>
      <c r="E2405">
        <v>94302</v>
      </c>
      <c r="F2405">
        <v>2750</v>
      </c>
      <c r="G2405">
        <v>611.4</v>
      </c>
      <c r="H2405">
        <v>73077</v>
      </c>
      <c r="I2405">
        <v>136</v>
      </c>
      <c r="J2405" t="s">
        <v>72</v>
      </c>
    </row>
    <row r="2406" spans="1:10" x14ac:dyDescent="0.2">
      <c r="A2406" s="1">
        <v>46108</v>
      </c>
      <c r="B2406" t="s">
        <v>10</v>
      </c>
      <c r="C2406" t="s">
        <v>73</v>
      </c>
      <c r="D2406" t="s">
        <v>71</v>
      </c>
      <c r="E2406">
        <v>89247</v>
      </c>
      <c r="F2406">
        <v>2904</v>
      </c>
      <c r="G2406">
        <v>532.70000000000005</v>
      </c>
      <c r="H2406">
        <v>71539</v>
      </c>
      <c r="I2406">
        <v>153</v>
      </c>
      <c r="J2406" t="s">
        <v>72</v>
      </c>
    </row>
    <row r="2407" spans="1:10" x14ac:dyDescent="0.2">
      <c r="A2407" s="1">
        <v>46108</v>
      </c>
      <c r="B2407" t="s">
        <v>15</v>
      </c>
      <c r="C2407" t="s">
        <v>16</v>
      </c>
      <c r="D2407" t="s">
        <v>75</v>
      </c>
      <c r="E2407">
        <v>86656</v>
      </c>
      <c r="F2407">
        <v>2640</v>
      </c>
      <c r="G2407">
        <v>629.1</v>
      </c>
      <c r="H2407">
        <v>67049</v>
      </c>
      <c r="I2407">
        <v>151</v>
      </c>
      <c r="J2407" t="s">
        <v>72</v>
      </c>
    </row>
    <row r="2408" spans="1:10" x14ac:dyDescent="0.2">
      <c r="A2408" s="1">
        <v>46108</v>
      </c>
      <c r="B2408" t="s">
        <v>15</v>
      </c>
      <c r="C2408" t="s">
        <v>76</v>
      </c>
      <c r="D2408" t="s">
        <v>75</v>
      </c>
      <c r="E2408">
        <v>104087</v>
      </c>
      <c r="F2408">
        <v>4292</v>
      </c>
      <c r="G2408">
        <v>838.83</v>
      </c>
      <c r="H2408">
        <v>81460</v>
      </c>
      <c r="I2408">
        <v>197</v>
      </c>
      <c r="J2408" t="s">
        <v>72</v>
      </c>
    </row>
    <row r="2409" spans="1:10" x14ac:dyDescent="0.2">
      <c r="A2409" s="1">
        <v>46108</v>
      </c>
      <c r="B2409" t="s">
        <v>21</v>
      </c>
      <c r="C2409" t="s">
        <v>26</v>
      </c>
      <c r="D2409" t="s">
        <v>12</v>
      </c>
      <c r="E2409">
        <v>114345</v>
      </c>
      <c r="F2409">
        <v>3554</v>
      </c>
      <c r="G2409">
        <v>697.04</v>
      </c>
      <c r="H2409">
        <v>88979</v>
      </c>
      <c r="I2409">
        <v>185</v>
      </c>
      <c r="J2409" t="s">
        <v>72</v>
      </c>
    </row>
    <row r="2410" spans="1:10" x14ac:dyDescent="0.2">
      <c r="A2410" s="1">
        <v>46108</v>
      </c>
      <c r="B2410" t="s">
        <v>21</v>
      </c>
      <c r="C2410" t="s">
        <v>78</v>
      </c>
      <c r="D2410" t="s">
        <v>71</v>
      </c>
      <c r="E2410">
        <v>65520</v>
      </c>
      <c r="F2410">
        <v>2243</v>
      </c>
      <c r="G2410">
        <v>501.96</v>
      </c>
      <c r="H2410">
        <v>50017</v>
      </c>
      <c r="I2410">
        <v>72</v>
      </c>
      <c r="J2410" t="s">
        <v>72</v>
      </c>
    </row>
    <row r="2411" spans="1:10" x14ac:dyDescent="0.2">
      <c r="A2411" s="1">
        <v>46109</v>
      </c>
      <c r="B2411" t="s">
        <v>10</v>
      </c>
      <c r="C2411" t="s">
        <v>26</v>
      </c>
      <c r="D2411" t="s">
        <v>12</v>
      </c>
      <c r="E2411">
        <v>54964</v>
      </c>
      <c r="F2411">
        <v>1920</v>
      </c>
      <c r="G2411">
        <v>398.52</v>
      </c>
      <c r="H2411">
        <v>44056</v>
      </c>
      <c r="I2411">
        <v>63</v>
      </c>
      <c r="J2411" t="s">
        <v>72</v>
      </c>
    </row>
    <row r="2412" spans="1:10" x14ac:dyDescent="0.2">
      <c r="A2412" s="1">
        <v>46109</v>
      </c>
      <c r="B2412" t="s">
        <v>10</v>
      </c>
      <c r="C2412" t="s">
        <v>73</v>
      </c>
      <c r="D2412" t="s">
        <v>71</v>
      </c>
      <c r="E2412">
        <v>69739</v>
      </c>
      <c r="F2412">
        <v>2584</v>
      </c>
      <c r="G2412">
        <v>468.38</v>
      </c>
      <c r="H2412">
        <v>51348</v>
      </c>
      <c r="I2412">
        <v>86</v>
      </c>
      <c r="J2412" t="s">
        <v>72</v>
      </c>
    </row>
    <row r="2413" spans="1:10" x14ac:dyDescent="0.2">
      <c r="A2413" s="1">
        <v>46109</v>
      </c>
      <c r="B2413" t="s">
        <v>15</v>
      </c>
      <c r="C2413" t="s">
        <v>16</v>
      </c>
      <c r="D2413" t="s">
        <v>74</v>
      </c>
      <c r="E2413">
        <v>142568</v>
      </c>
      <c r="F2413">
        <v>4366</v>
      </c>
      <c r="G2413">
        <v>823.48</v>
      </c>
      <c r="H2413">
        <v>108727</v>
      </c>
      <c r="I2413">
        <v>181</v>
      </c>
      <c r="J2413" t="s">
        <v>72</v>
      </c>
    </row>
    <row r="2414" spans="1:10" x14ac:dyDescent="0.2">
      <c r="A2414" s="1">
        <v>46109</v>
      </c>
      <c r="B2414" t="s">
        <v>15</v>
      </c>
      <c r="C2414" t="s">
        <v>76</v>
      </c>
      <c r="D2414" t="s">
        <v>74</v>
      </c>
      <c r="E2414">
        <v>56078</v>
      </c>
      <c r="F2414">
        <v>2138</v>
      </c>
      <c r="G2414">
        <v>402.45</v>
      </c>
      <c r="H2414">
        <v>44584</v>
      </c>
      <c r="I2414">
        <v>60</v>
      </c>
      <c r="J2414" t="s">
        <v>72</v>
      </c>
    </row>
    <row r="2415" spans="1:10" x14ac:dyDescent="0.2">
      <c r="A2415" s="1">
        <v>46109</v>
      </c>
      <c r="B2415" t="s">
        <v>19</v>
      </c>
      <c r="C2415" t="s">
        <v>26</v>
      </c>
      <c r="D2415" t="s">
        <v>12</v>
      </c>
      <c r="E2415">
        <v>103386</v>
      </c>
      <c r="F2415">
        <v>3450</v>
      </c>
      <c r="G2415">
        <v>643.78</v>
      </c>
      <c r="H2415">
        <v>74578</v>
      </c>
      <c r="I2415">
        <v>182</v>
      </c>
      <c r="J2415" t="s">
        <v>72</v>
      </c>
    </row>
    <row r="2416" spans="1:10" x14ac:dyDescent="0.2">
      <c r="A2416" s="1">
        <v>46109</v>
      </c>
      <c r="B2416" t="s">
        <v>19</v>
      </c>
      <c r="C2416" t="s">
        <v>73</v>
      </c>
      <c r="D2416" t="s">
        <v>12</v>
      </c>
      <c r="E2416">
        <v>61521</v>
      </c>
      <c r="F2416">
        <v>1936</v>
      </c>
      <c r="G2416">
        <v>358.19</v>
      </c>
      <c r="H2416">
        <v>45172</v>
      </c>
      <c r="I2416">
        <v>90</v>
      </c>
      <c r="J2416" t="s">
        <v>72</v>
      </c>
    </row>
    <row r="2417" spans="1:10" x14ac:dyDescent="0.2">
      <c r="A2417" s="1">
        <v>46109</v>
      </c>
      <c r="B2417" t="s">
        <v>21</v>
      </c>
      <c r="C2417" t="s">
        <v>26</v>
      </c>
      <c r="D2417" t="s">
        <v>12</v>
      </c>
      <c r="E2417">
        <v>40600</v>
      </c>
      <c r="F2417">
        <v>1681</v>
      </c>
      <c r="G2417">
        <v>313.31</v>
      </c>
      <c r="H2417">
        <v>32220</v>
      </c>
      <c r="I2417">
        <v>64</v>
      </c>
      <c r="J2417" t="s">
        <v>72</v>
      </c>
    </row>
    <row r="2418" spans="1:10" x14ac:dyDescent="0.2">
      <c r="A2418" s="1">
        <v>46109</v>
      </c>
      <c r="B2418" t="s">
        <v>21</v>
      </c>
      <c r="C2418" t="s">
        <v>78</v>
      </c>
      <c r="D2418" t="s">
        <v>71</v>
      </c>
      <c r="E2418">
        <v>73473</v>
      </c>
      <c r="F2418">
        <v>2200</v>
      </c>
      <c r="G2418">
        <v>496.28</v>
      </c>
      <c r="H2418">
        <v>59457</v>
      </c>
      <c r="I2418">
        <v>115</v>
      </c>
      <c r="J2418" t="s">
        <v>72</v>
      </c>
    </row>
    <row r="2419" spans="1:10" x14ac:dyDescent="0.2">
      <c r="A2419" s="1">
        <v>46110</v>
      </c>
      <c r="B2419" t="s">
        <v>10</v>
      </c>
      <c r="C2419" t="s">
        <v>26</v>
      </c>
      <c r="D2419" t="s">
        <v>12</v>
      </c>
      <c r="E2419">
        <v>95527</v>
      </c>
      <c r="F2419">
        <v>3315</v>
      </c>
      <c r="G2419">
        <v>645.19000000000005</v>
      </c>
      <c r="H2419">
        <v>73971</v>
      </c>
      <c r="I2419">
        <v>119</v>
      </c>
      <c r="J2419" t="s">
        <v>72</v>
      </c>
    </row>
    <row r="2420" spans="1:10" x14ac:dyDescent="0.2">
      <c r="A2420" s="1">
        <v>46110</v>
      </c>
      <c r="B2420" t="s">
        <v>10</v>
      </c>
      <c r="C2420" t="s">
        <v>73</v>
      </c>
      <c r="D2420" t="s">
        <v>74</v>
      </c>
      <c r="E2420">
        <v>42612</v>
      </c>
      <c r="F2420">
        <v>1685</v>
      </c>
      <c r="G2420">
        <v>313.69</v>
      </c>
      <c r="H2420">
        <v>31945</v>
      </c>
      <c r="I2420">
        <v>73</v>
      </c>
      <c r="J2420" t="s">
        <v>72</v>
      </c>
    </row>
    <row r="2421" spans="1:10" x14ac:dyDescent="0.2">
      <c r="A2421" s="1">
        <v>46110</v>
      </c>
      <c r="B2421" t="s">
        <v>15</v>
      </c>
      <c r="C2421" t="s">
        <v>16</v>
      </c>
      <c r="D2421" t="s">
        <v>74</v>
      </c>
      <c r="E2421">
        <v>63167</v>
      </c>
      <c r="F2421">
        <v>1769</v>
      </c>
      <c r="G2421">
        <v>342.23</v>
      </c>
      <c r="H2421">
        <v>46912</v>
      </c>
      <c r="I2421">
        <v>69</v>
      </c>
      <c r="J2421" t="s">
        <v>72</v>
      </c>
    </row>
    <row r="2422" spans="1:10" x14ac:dyDescent="0.2">
      <c r="A2422" s="1">
        <v>46110</v>
      </c>
      <c r="B2422" t="s">
        <v>15</v>
      </c>
      <c r="C2422" t="s">
        <v>76</v>
      </c>
      <c r="D2422" t="s">
        <v>74</v>
      </c>
      <c r="E2422">
        <v>87876</v>
      </c>
      <c r="F2422">
        <v>2738</v>
      </c>
      <c r="G2422">
        <v>637.24</v>
      </c>
      <c r="H2422">
        <v>66651</v>
      </c>
      <c r="I2422">
        <v>149</v>
      </c>
      <c r="J2422" t="s">
        <v>72</v>
      </c>
    </row>
    <row r="2423" spans="1:10" x14ac:dyDescent="0.2">
      <c r="A2423" s="1">
        <v>46110</v>
      </c>
      <c r="B2423" t="s">
        <v>19</v>
      </c>
      <c r="C2423" t="s">
        <v>26</v>
      </c>
      <c r="D2423" t="s">
        <v>12</v>
      </c>
      <c r="E2423">
        <v>122801</v>
      </c>
      <c r="F2423">
        <v>3729</v>
      </c>
      <c r="G2423">
        <v>695.86</v>
      </c>
      <c r="H2423">
        <v>89666</v>
      </c>
      <c r="I2423">
        <v>211</v>
      </c>
      <c r="J2423" t="s">
        <v>72</v>
      </c>
    </row>
    <row r="2424" spans="1:10" x14ac:dyDescent="0.2">
      <c r="A2424" s="1">
        <v>46110</v>
      </c>
      <c r="B2424" t="s">
        <v>19</v>
      </c>
      <c r="C2424" t="s">
        <v>73</v>
      </c>
      <c r="D2424" t="s">
        <v>74</v>
      </c>
      <c r="E2424">
        <v>51998</v>
      </c>
      <c r="F2424">
        <v>1904</v>
      </c>
      <c r="G2424">
        <v>356.24</v>
      </c>
      <c r="H2424">
        <v>42239</v>
      </c>
      <c r="I2424">
        <v>105</v>
      </c>
      <c r="J2424" t="s">
        <v>72</v>
      </c>
    </row>
    <row r="2425" spans="1:10" x14ac:dyDescent="0.2">
      <c r="A2425" s="1">
        <v>46110</v>
      </c>
      <c r="B2425" t="s">
        <v>21</v>
      </c>
      <c r="C2425" t="s">
        <v>26</v>
      </c>
      <c r="D2425" t="s">
        <v>12</v>
      </c>
      <c r="E2425">
        <v>142002</v>
      </c>
      <c r="F2425">
        <v>4276</v>
      </c>
      <c r="G2425">
        <v>879.65</v>
      </c>
      <c r="H2425">
        <v>106996</v>
      </c>
      <c r="I2425">
        <v>142</v>
      </c>
      <c r="J2425" t="s">
        <v>72</v>
      </c>
    </row>
    <row r="2426" spans="1:10" x14ac:dyDescent="0.2">
      <c r="A2426" s="1">
        <v>46110</v>
      </c>
      <c r="B2426" t="s">
        <v>21</v>
      </c>
      <c r="C2426" t="s">
        <v>78</v>
      </c>
      <c r="D2426" t="s">
        <v>71</v>
      </c>
      <c r="E2426">
        <v>64595</v>
      </c>
      <c r="F2426">
        <v>2616</v>
      </c>
      <c r="G2426">
        <v>578.74</v>
      </c>
      <c r="H2426">
        <v>50544</v>
      </c>
      <c r="I2426">
        <v>95</v>
      </c>
      <c r="J2426" t="s">
        <v>72</v>
      </c>
    </row>
    <row r="2427" spans="1:10" x14ac:dyDescent="0.2">
      <c r="A2427" s="1">
        <v>46111</v>
      </c>
      <c r="B2427" t="s">
        <v>10</v>
      </c>
      <c r="C2427" t="s">
        <v>26</v>
      </c>
      <c r="D2427" t="s">
        <v>74</v>
      </c>
      <c r="E2427">
        <v>85191</v>
      </c>
      <c r="F2427">
        <v>3478</v>
      </c>
      <c r="G2427">
        <v>764.13</v>
      </c>
      <c r="H2427">
        <v>69284</v>
      </c>
      <c r="I2427">
        <v>181</v>
      </c>
      <c r="J2427" t="s">
        <v>72</v>
      </c>
    </row>
    <row r="2428" spans="1:10" x14ac:dyDescent="0.2">
      <c r="A2428" s="1">
        <v>46111</v>
      </c>
      <c r="B2428" t="s">
        <v>10</v>
      </c>
      <c r="C2428" t="s">
        <v>73</v>
      </c>
      <c r="D2428" t="s">
        <v>74</v>
      </c>
      <c r="E2428">
        <v>39370</v>
      </c>
      <c r="F2428">
        <v>1577</v>
      </c>
      <c r="G2428">
        <v>376.4</v>
      </c>
      <c r="H2428">
        <v>31408</v>
      </c>
      <c r="I2428">
        <v>51</v>
      </c>
      <c r="J2428" t="s">
        <v>72</v>
      </c>
    </row>
    <row r="2429" spans="1:10" x14ac:dyDescent="0.2">
      <c r="A2429" s="1">
        <v>46111</v>
      </c>
      <c r="B2429" t="s">
        <v>15</v>
      </c>
      <c r="C2429" t="s">
        <v>16</v>
      </c>
      <c r="D2429" t="s">
        <v>75</v>
      </c>
      <c r="E2429">
        <v>105554</v>
      </c>
      <c r="F2429">
        <v>3615</v>
      </c>
      <c r="G2429">
        <v>823.54</v>
      </c>
      <c r="H2429">
        <v>86304</v>
      </c>
      <c r="I2429">
        <v>189</v>
      </c>
      <c r="J2429" t="s">
        <v>72</v>
      </c>
    </row>
    <row r="2430" spans="1:10" x14ac:dyDescent="0.2">
      <c r="A2430" s="1">
        <v>46111</v>
      </c>
      <c r="B2430" t="s">
        <v>15</v>
      </c>
      <c r="C2430" t="s">
        <v>76</v>
      </c>
      <c r="D2430" t="s">
        <v>75</v>
      </c>
      <c r="E2430">
        <v>137460</v>
      </c>
      <c r="F2430">
        <v>4671</v>
      </c>
      <c r="G2430">
        <v>1044.45</v>
      </c>
      <c r="H2430">
        <v>100959</v>
      </c>
      <c r="I2430">
        <v>176</v>
      </c>
      <c r="J2430" t="s">
        <v>72</v>
      </c>
    </row>
    <row r="2431" spans="1:10" x14ac:dyDescent="0.2">
      <c r="A2431" s="1">
        <v>46111</v>
      </c>
      <c r="B2431" t="s">
        <v>21</v>
      </c>
      <c r="C2431" t="s">
        <v>26</v>
      </c>
      <c r="D2431" t="s">
        <v>12</v>
      </c>
      <c r="E2431">
        <v>69989</v>
      </c>
      <c r="F2431">
        <v>2711</v>
      </c>
      <c r="G2431">
        <v>545.34</v>
      </c>
      <c r="H2431">
        <v>53850</v>
      </c>
      <c r="I2431">
        <v>115</v>
      </c>
      <c r="J2431" t="s">
        <v>72</v>
      </c>
    </row>
    <row r="2432" spans="1:10" x14ac:dyDescent="0.2">
      <c r="A2432" s="1">
        <v>46111</v>
      </c>
      <c r="B2432" t="s">
        <v>21</v>
      </c>
      <c r="C2432" t="s">
        <v>78</v>
      </c>
      <c r="D2432" t="s">
        <v>71</v>
      </c>
      <c r="E2432">
        <v>141532</v>
      </c>
      <c r="F2432">
        <v>5535</v>
      </c>
      <c r="G2432">
        <v>1107.04</v>
      </c>
      <c r="H2432">
        <v>113255</v>
      </c>
      <c r="I2432">
        <v>263</v>
      </c>
      <c r="J2432" t="s">
        <v>72</v>
      </c>
    </row>
    <row r="2433" spans="1:10" x14ac:dyDescent="0.2">
      <c r="A2433" s="1">
        <v>46112</v>
      </c>
      <c r="B2433" t="s">
        <v>10</v>
      </c>
      <c r="C2433" t="s">
        <v>26</v>
      </c>
      <c r="D2433" t="s">
        <v>74</v>
      </c>
      <c r="E2433">
        <v>104291</v>
      </c>
      <c r="F2433">
        <v>3531</v>
      </c>
      <c r="G2433">
        <v>740.9</v>
      </c>
      <c r="H2433">
        <v>80656</v>
      </c>
      <c r="I2433">
        <v>155</v>
      </c>
      <c r="J2433" t="s">
        <v>72</v>
      </c>
    </row>
    <row r="2434" spans="1:10" x14ac:dyDescent="0.2">
      <c r="A2434" s="1">
        <v>46112</v>
      </c>
      <c r="B2434" t="s">
        <v>10</v>
      </c>
      <c r="C2434" t="s">
        <v>73</v>
      </c>
      <c r="D2434" t="s">
        <v>74</v>
      </c>
      <c r="E2434">
        <v>104536</v>
      </c>
      <c r="F2434">
        <v>3049</v>
      </c>
      <c r="G2434">
        <v>679.61</v>
      </c>
      <c r="H2434">
        <v>80774</v>
      </c>
      <c r="I2434">
        <v>156</v>
      </c>
      <c r="J2434" t="s">
        <v>72</v>
      </c>
    </row>
    <row r="2435" spans="1:10" x14ac:dyDescent="0.2">
      <c r="A2435" s="1">
        <v>46112</v>
      </c>
      <c r="B2435" t="s">
        <v>15</v>
      </c>
      <c r="C2435" t="s">
        <v>16</v>
      </c>
      <c r="D2435" t="s">
        <v>75</v>
      </c>
      <c r="E2435">
        <v>53866</v>
      </c>
      <c r="F2435">
        <v>1685</v>
      </c>
      <c r="G2435">
        <v>303.58999999999997</v>
      </c>
      <c r="H2435">
        <v>44137</v>
      </c>
      <c r="I2435">
        <v>48</v>
      </c>
      <c r="J2435" t="s">
        <v>72</v>
      </c>
    </row>
    <row r="2436" spans="1:10" x14ac:dyDescent="0.2">
      <c r="A2436" s="1">
        <v>46112</v>
      </c>
      <c r="B2436" t="s">
        <v>15</v>
      </c>
      <c r="C2436" t="s">
        <v>76</v>
      </c>
      <c r="D2436" t="s">
        <v>74</v>
      </c>
      <c r="E2436">
        <v>61763</v>
      </c>
      <c r="F2436">
        <v>2525</v>
      </c>
      <c r="G2436">
        <v>463.53</v>
      </c>
      <c r="H2436">
        <v>46627</v>
      </c>
      <c r="I2436">
        <v>134</v>
      </c>
      <c r="J2436" t="s">
        <v>72</v>
      </c>
    </row>
    <row r="2437" spans="1:10" x14ac:dyDescent="0.2">
      <c r="A2437" s="1">
        <v>46112</v>
      </c>
      <c r="B2437" t="s">
        <v>21</v>
      </c>
      <c r="C2437" t="s">
        <v>26</v>
      </c>
      <c r="D2437" t="s">
        <v>12</v>
      </c>
      <c r="E2437">
        <v>89213</v>
      </c>
      <c r="F2437">
        <v>3072</v>
      </c>
      <c r="G2437">
        <v>706.91</v>
      </c>
      <c r="H2437">
        <v>69153</v>
      </c>
      <c r="I2437">
        <v>171</v>
      </c>
      <c r="J2437" t="s">
        <v>72</v>
      </c>
    </row>
    <row r="2438" spans="1:10" x14ac:dyDescent="0.2">
      <c r="A2438" s="1">
        <v>46112</v>
      </c>
      <c r="B2438" t="s">
        <v>21</v>
      </c>
      <c r="C2438" t="s">
        <v>78</v>
      </c>
      <c r="D2438" t="s">
        <v>71</v>
      </c>
      <c r="E2438">
        <v>80319</v>
      </c>
      <c r="F2438">
        <v>2485</v>
      </c>
      <c r="G2438">
        <v>480.79</v>
      </c>
      <c r="H2438">
        <v>63829</v>
      </c>
      <c r="I2438">
        <v>78</v>
      </c>
      <c r="J2438" t="s">
        <v>72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2BDE5-83D4-9E44-8D5A-89FDE72054D3}">
  <dimension ref="A1:J541"/>
  <sheetViews>
    <sheetView topLeftCell="A103" workbookViewId="0">
      <selection activeCell="C128" sqref="C128"/>
    </sheetView>
  </sheetViews>
  <sheetFormatPr baseColWidth="10" defaultRowHeight="16" x14ac:dyDescent="0.2"/>
  <cols>
    <col min="1" max="1" width="10.5" bestFit="1" customWidth="1"/>
    <col min="2" max="2" width="29" bestFit="1" customWidth="1"/>
    <col min="3" max="3" width="14.1640625" bestFit="1" customWidth="1"/>
    <col min="4" max="4" width="12.1640625" bestFit="1" customWidth="1"/>
    <col min="5" max="5" width="14" bestFit="1" customWidth="1"/>
    <col min="6" max="6" width="8.6640625" bestFit="1" customWidth="1"/>
    <col min="7" max="7" width="12.5" bestFit="1" customWidth="1"/>
    <col min="8" max="8" width="13.5" bestFit="1" customWidth="1"/>
    <col min="9" max="9" width="13.6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>
        <v>46023</v>
      </c>
      <c r="B2" t="s">
        <v>10</v>
      </c>
      <c r="C2" t="s">
        <v>11</v>
      </c>
      <c r="D2" t="s">
        <v>12</v>
      </c>
      <c r="E2">
        <v>123810</v>
      </c>
      <c r="F2">
        <v>3701</v>
      </c>
      <c r="G2">
        <v>627.91999999999996</v>
      </c>
      <c r="H2">
        <v>92175</v>
      </c>
      <c r="I2">
        <v>94</v>
      </c>
      <c r="J2" t="s">
        <v>13</v>
      </c>
    </row>
    <row r="3" spans="1:10" x14ac:dyDescent="0.2">
      <c r="A3" s="1">
        <v>46023</v>
      </c>
      <c r="B3" t="s">
        <v>10</v>
      </c>
      <c r="C3" t="s">
        <v>14</v>
      </c>
      <c r="D3" t="s">
        <v>12</v>
      </c>
      <c r="E3">
        <v>53434</v>
      </c>
      <c r="F3">
        <v>2110</v>
      </c>
      <c r="G3">
        <v>370.7</v>
      </c>
      <c r="H3">
        <v>38937</v>
      </c>
      <c r="I3">
        <v>69</v>
      </c>
      <c r="J3" t="s">
        <v>13</v>
      </c>
    </row>
    <row r="4" spans="1:10" x14ac:dyDescent="0.2">
      <c r="A4" s="1">
        <v>46023</v>
      </c>
      <c r="B4" t="s">
        <v>15</v>
      </c>
      <c r="C4" t="s">
        <v>16</v>
      </c>
      <c r="D4" t="s">
        <v>12</v>
      </c>
      <c r="E4">
        <v>43905</v>
      </c>
      <c r="F4">
        <v>1299</v>
      </c>
      <c r="G4">
        <v>193.95</v>
      </c>
      <c r="H4">
        <v>34254</v>
      </c>
      <c r="I4">
        <v>47</v>
      </c>
      <c r="J4" t="s">
        <v>13</v>
      </c>
    </row>
    <row r="5" spans="1:10" x14ac:dyDescent="0.2">
      <c r="A5" s="1">
        <v>46023</v>
      </c>
      <c r="B5" t="s">
        <v>15</v>
      </c>
      <c r="C5" t="s">
        <v>17</v>
      </c>
      <c r="D5" t="s">
        <v>12</v>
      </c>
      <c r="E5">
        <v>125181</v>
      </c>
      <c r="F5">
        <v>4997</v>
      </c>
      <c r="G5">
        <v>783.43</v>
      </c>
      <c r="H5">
        <v>95753</v>
      </c>
      <c r="I5">
        <v>146</v>
      </c>
      <c r="J5" t="s">
        <v>13</v>
      </c>
    </row>
    <row r="6" spans="1:10" x14ac:dyDescent="0.2">
      <c r="A6" s="1">
        <v>46023</v>
      </c>
      <c r="B6" t="s">
        <v>18</v>
      </c>
      <c r="C6" t="s">
        <v>11</v>
      </c>
      <c r="D6" t="s">
        <v>12</v>
      </c>
      <c r="E6">
        <v>40851</v>
      </c>
      <c r="F6">
        <v>1670</v>
      </c>
      <c r="G6">
        <v>244.47</v>
      </c>
      <c r="H6">
        <v>31139</v>
      </c>
      <c r="I6">
        <v>48</v>
      </c>
      <c r="J6" t="s">
        <v>13</v>
      </c>
    </row>
    <row r="7" spans="1:10" x14ac:dyDescent="0.2">
      <c r="A7" s="1">
        <v>46023</v>
      </c>
      <c r="B7" t="s">
        <v>18</v>
      </c>
      <c r="C7" t="s">
        <v>14</v>
      </c>
      <c r="D7" t="s">
        <v>12</v>
      </c>
      <c r="E7">
        <v>68221</v>
      </c>
      <c r="F7">
        <v>3020</v>
      </c>
      <c r="G7">
        <v>463.46</v>
      </c>
      <c r="H7">
        <v>49751</v>
      </c>
      <c r="I7">
        <v>74</v>
      </c>
      <c r="J7" t="s">
        <v>13</v>
      </c>
    </row>
    <row r="8" spans="1:10" x14ac:dyDescent="0.2">
      <c r="A8" s="1">
        <v>46024</v>
      </c>
      <c r="B8" t="s">
        <v>10</v>
      </c>
      <c r="C8" t="s">
        <v>11</v>
      </c>
      <c r="D8" t="s">
        <v>12</v>
      </c>
      <c r="E8">
        <v>85082</v>
      </c>
      <c r="F8">
        <v>3255</v>
      </c>
      <c r="G8">
        <v>560.79</v>
      </c>
      <c r="H8">
        <v>67467</v>
      </c>
      <c r="I8">
        <v>116</v>
      </c>
      <c r="J8" t="s">
        <v>13</v>
      </c>
    </row>
    <row r="9" spans="1:10" x14ac:dyDescent="0.2">
      <c r="A9" s="1">
        <v>46024</v>
      </c>
      <c r="B9" t="s">
        <v>10</v>
      </c>
      <c r="C9" t="s">
        <v>14</v>
      </c>
      <c r="D9" t="s">
        <v>12</v>
      </c>
      <c r="E9">
        <v>89615</v>
      </c>
      <c r="F9">
        <v>2629</v>
      </c>
      <c r="G9">
        <v>398.89</v>
      </c>
      <c r="H9">
        <v>70156</v>
      </c>
      <c r="I9">
        <v>118</v>
      </c>
      <c r="J9" t="s">
        <v>13</v>
      </c>
    </row>
    <row r="10" spans="1:10" x14ac:dyDescent="0.2">
      <c r="A10" s="1">
        <v>46024</v>
      </c>
      <c r="B10" t="s">
        <v>15</v>
      </c>
      <c r="C10" t="s">
        <v>16</v>
      </c>
      <c r="D10" t="s">
        <v>12</v>
      </c>
      <c r="E10">
        <v>87400</v>
      </c>
      <c r="F10">
        <v>3305</v>
      </c>
      <c r="G10">
        <v>555.84</v>
      </c>
      <c r="H10">
        <v>63328</v>
      </c>
      <c r="I10">
        <v>92</v>
      </c>
      <c r="J10" t="s">
        <v>13</v>
      </c>
    </row>
    <row r="11" spans="1:10" x14ac:dyDescent="0.2">
      <c r="A11" s="1">
        <v>46024</v>
      </c>
      <c r="B11" t="s">
        <v>15</v>
      </c>
      <c r="C11" t="s">
        <v>17</v>
      </c>
      <c r="D11" t="s">
        <v>12</v>
      </c>
      <c r="E11">
        <v>77930</v>
      </c>
      <c r="F11">
        <v>3487</v>
      </c>
      <c r="G11">
        <v>607.48</v>
      </c>
      <c r="H11">
        <v>62862</v>
      </c>
      <c r="I11">
        <v>111</v>
      </c>
      <c r="J11" t="s">
        <v>13</v>
      </c>
    </row>
    <row r="12" spans="1:10" x14ac:dyDescent="0.2">
      <c r="A12" s="1">
        <v>46024</v>
      </c>
      <c r="B12" t="s">
        <v>18</v>
      </c>
      <c r="C12" t="s">
        <v>11</v>
      </c>
      <c r="D12" t="s">
        <v>12</v>
      </c>
      <c r="E12">
        <v>99429</v>
      </c>
      <c r="F12">
        <v>3858</v>
      </c>
      <c r="G12">
        <v>596.41999999999996</v>
      </c>
      <c r="H12">
        <v>75269</v>
      </c>
      <c r="I12">
        <v>105</v>
      </c>
      <c r="J12" t="s">
        <v>13</v>
      </c>
    </row>
    <row r="13" spans="1:10" x14ac:dyDescent="0.2">
      <c r="A13" s="1">
        <v>46024</v>
      </c>
      <c r="B13" t="s">
        <v>18</v>
      </c>
      <c r="C13" t="s">
        <v>14</v>
      </c>
      <c r="D13" t="s">
        <v>12</v>
      </c>
      <c r="E13">
        <v>74993</v>
      </c>
      <c r="F13">
        <v>2994</v>
      </c>
      <c r="G13">
        <v>501.02</v>
      </c>
      <c r="H13">
        <v>54530</v>
      </c>
      <c r="I13">
        <v>115</v>
      </c>
      <c r="J13" t="s">
        <v>13</v>
      </c>
    </row>
    <row r="14" spans="1:10" x14ac:dyDescent="0.2">
      <c r="A14" s="1">
        <v>46025</v>
      </c>
      <c r="B14" t="s">
        <v>10</v>
      </c>
      <c r="C14" t="s">
        <v>11</v>
      </c>
      <c r="D14" t="s">
        <v>12</v>
      </c>
      <c r="E14">
        <v>154014</v>
      </c>
      <c r="F14">
        <v>6221</v>
      </c>
      <c r="G14">
        <v>911.6</v>
      </c>
      <c r="H14">
        <v>116734</v>
      </c>
      <c r="I14">
        <v>296</v>
      </c>
      <c r="J14" t="s">
        <v>13</v>
      </c>
    </row>
    <row r="15" spans="1:10" x14ac:dyDescent="0.2">
      <c r="A15" s="1">
        <v>46025</v>
      </c>
      <c r="B15" t="s">
        <v>10</v>
      </c>
      <c r="C15" t="s">
        <v>14</v>
      </c>
      <c r="D15" t="s">
        <v>12</v>
      </c>
      <c r="E15">
        <v>173440</v>
      </c>
      <c r="F15">
        <v>6885</v>
      </c>
      <c r="G15">
        <v>1024.3800000000001</v>
      </c>
      <c r="H15">
        <v>130501</v>
      </c>
      <c r="I15">
        <v>289</v>
      </c>
      <c r="J15" t="s">
        <v>13</v>
      </c>
    </row>
    <row r="16" spans="1:10" x14ac:dyDescent="0.2">
      <c r="A16" s="1">
        <v>46025</v>
      </c>
      <c r="B16" t="s">
        <v>15</v>
      </c>
      <c r="C16" t="s">
        <v>16</v>
      </c>
      <c r="D16" t="s">
        <v>12</v>
      </c>
      <c r="E16">
        <v>66263</v>
      </c>
      <c r="F16">
        <v>2113</v>
      </c>
      <c r="G16">
        <v>298.52999999999997</v>
      </c>
      <c r="H16">
        <v>49799</v>
      </c>
      <c r="I16">
        <v>61</v>
      </c>
      <c r="J16" t="s">
        <v>13</v>
      </c>
    </row>
    <row r="17" spans="1:10" x14ac:dyDescent="0.2">
      <c r="A17" s="1">
        <v>46025</v>
      </c>
      <c r="B17" t="s">
        <v>15</v>
      </c>
      <c r="C17" t="s">
        <v>17</v>
      </c>
      <c r="D17" t="s">
        <v>12</v>
      </c>
      <c r="E17">
        <v>94714</v>
      </c>
      <c r="F17">
        <v>4122</v>
      </c>
      <c r="G17">
        <v>670.6</v>
      </c>
      <c r="H17">
        <v>74993</v>
      </c>
      <c r="I17">
        <v>113</v>
      </c>
      <c r="J17" t="s">
        <v>13</v>
      </c>
    </row>
    <row r="18" spans="1:10" x14ac:dyDescent="0.2">
      <c r="A18" s="1">
        <v>46025</v>
      </c>
      <c r="B18" t="s">
        <v>19</v>
      </c>
      <c r="C18" t="s">
        <v>11</v>
      </c>
      <c r="D18" t="s">
        <v>12</v>
      </c>
      <c r="E18">
        <v>147609</v>
      </c>
      <c r="F18">
        <v>5125</v>
      </c>
      <c r="G18">
        <v>904.98</v>
      </c>
      <c r="H18">
        <v>113051</v>
      </c>
      <c r="I18">
        <v>148</v>
      </c>
      <c r="J18" t="s">
        <v>13</v>
      </c>
    </row>
    <row r="19" spans="1:10" x14ac:dyDescent="0.2">
      <c r="A19" s="1">
        <v>46025</v>
      </c>
      <c r="B19" t="s">
        <v>19</v>
      </c>
      <c r="C19" t="s">
        <v>14</v>
      </c>
      <c r="D19" t="s">
        <v>12</v>
      </c>
      <c r="E19">
        <v>101255</v>
      </c>
      <c r="F19">
        <v>4117</v>
      </c>
      <c r="G19">
        <v>665.14</v>
      </c>
      <c r="H19">
        <v>80467</v>
      </c>
      <c r="I19">
        <v>136</v>
      </c>
      <c r="J19" t="s">
        <v>13</v>
      </c>
    </row>
    <row r="20" spans="1:10" x14ac:dyDescent="0.2">
      <c r="A20" s="1">
        <v>46025</v>
      </c>
      <c r="B20" t="s">
        <v>18</v>
      </c>
      <c r="C20" t="s">
        <v>11</v>
      </c>
      <c r="D20" t="s">
        <v>12</v>
      </c>
      <c r="E20">
        <v>163077</v>
      </c>
      <c r="F20">
        <v>5673</v>
      </c>
      <c r="G20">
        <v>843.99</v>
      </c>
      <c r="H20">
        <v>133682</v>
      </c>
      <c r="I20">
        <v>199</v>
      </c>
      <c r="J20" t="s">
        <v>13</v>
      </c>
    </row>
    <row r="21" spans="1:10" x14ac:dyDescent="0.2">
      <c r="A21" s="1">
        <v>46025</v>
      </c>
      <c r="B21" t="s">
        <v>18</v>
      </c>
      <c r="C21" t="s">
        <v>14</v>
      </c>
      <c r="D21" t="s">
        <v>12</v>
      </c>
      <c r="E21">
        <v>72681</v>
      </c>
      <c r="F21">
        <v>2968</v>
      </c>
      <c r="G21">
        <v>517.75</v>
      </c>
      <c r="H21">
        <v>53441</v>
      </c>
      <c r="I21">
        <v>77</v>
      </c>
      <c r="J21" t="s">
        <v>13</v>
      </c>
    </row>
    <row r="22" spans="1:10" x14ac:dyDescent="0.2">
      <c r="A22" s="1">
        <v>46026</v>
      </c>
      <c r="B22" t="s">
        <v>10</v>
      </c>
      <c r="C22" t="s">
        <v>11</v>
      </c>
      <c r="D22" t="s">
        <v>12</v>
      </c>
      <c r="E22">
        <v>180868</v>
      </c>
      <c r="F22">
        <v>6362</v>
      </c>
      <c r="G22">
        <v>906.85</v>
      </c>
      <c r="H22">
        <v>137127</v>
      </c>
      <c r="I22">
        <v>304</v>
      </c>
      <c r="J22" t="s">
        <v>13</v>
      </c>
    </row>
    <row r="23" spans="1:10" x14ac:dyDescent="0.2">
      <c r="A23" s="1">
        <v>46026</v>
      </c>
      <c r="B23" t="s">
        <v>10</v>
      </c>
      <c r="C23" t="s">
        <v>14</v>
      </c>
      <c r="D23" t="s">
        <v>12</v>
      </c>
      <c r="E23">
        <v>153092</v>
      </c>
      <c r="F23">
        <v>4940</v>
      </c>
      <c r="G23">
        <v>800.92</v>
      </c>
      <c r="H23">
        <v>124654</v>
      </c>
      <c r="I23">
        <v>196</v>
      </c>
      <c r="J23" t="s">
        <v>13</v>
      </c>
    </row>
    <row r="24" spans="1:10" x14ac:dyDescent="0.2">
      <c r="A24" s="1">
        <v>46026</v>
      </c>
      <c r="B24" t="s">
        <v>15</v>
      </c>
      <c r="C24" t="s">
        <v>16</v>
      </c>
      <c r="D24" t="s">
        <v>12</v>
      </c>
      <c r="E24">
        <v>77019</v>
      </c>
      <c r="F24">
        <v>3049</v>
      </c>
      <c r="G24">
        <v>492.35</v>
      </c>
      <c r="H24">
        <v>57508</v>
      </c>
      <c r="I24">
        <v>117</v>
      </c>
      <c r="J24" t="s">
        <v>13</v>
      </c>
    </row>
    <row r="25" spans="1:10" x14ac:dyDescent="0.2">
      <c r="A25" s="1">
        <v>46026</v>
      </c>
      <c r="B25" t="s">
        <v>15</v>
      </c>
      <c r="C25" t="s">
        <v>17</v>
      </c>
      <c r="D25" t="s">
        <v>12</v>
      </c>
      <c r="E25">
        <v>76469</v>
      </c>
      <c r="F25">
        <v>2522</v>
      </c>
      <c r="G25">
        <v>369.03</v>
      </c>
      <c r="H25">
        <v>55082</v>
      </c>
      <c r="I25">
        <v>102</v>
      </c>
      <c r="J25" t="s">
        <v>13</v>
      </c>
    </row>
    <row r="26" spans="1:10" x14ac:dyDescent="0.2">
      <c r="A26" s="1">
        <v>46026</v>
      </c>
      <c r="B26" t="s">
        <v>19</v>
      </c>
      <c r="C26" t="s">
        <v>11</v>
      </c>
      <c r="D26" t="s">
        <v>12</v>
      </c>
      <c r="E26">
        <v>104330</v>
      </c>
      <c r="F26">
        <v>4644</v>
      </c>
      <c r="G26">
        <v>791.7</v>
      </c>
      <c r="H26">
        <v>80414</v>
      </c>
      <c r="I26">
        <v>115</v>
      </c>
      <c r="J26" t="s">
        <v>13</v>
      </c>
    </row>
    <row r="27" spans="1:10" x14ac:dyDescent="0.2">
      <c r="A27" s="1">
        <v>46026</v>
      </c>
      <c r="B27" t="s">
        <v>19</v>
      </c>
      <c r="C27" t="s">
        <v>14</v>
      </c>
      <c r="D27" t="s">
        <v>12</v>
      </c>
      <c r="E27">
        <v>170742</v>
      </c>
      <c r="F27">
        <v>5647</v>
      </c>
      <c r="G27">
        <v>934.91</v>
      </c>
      <c r="H27">
        <v>133331</v>
      </c>
      <c r="I27">
        <v>146</v>
      </c>
      <c r="J27" t="s">
        <v>13</v>
      </c>
    </row>
    <row r="28" spans="1:10" x14ac:dyDescent="0.2">
      <c r="A28" s="1">
        <v>46026</v>
      </c>
      <c r="B28" t="s">
        <v>18</v>
      </c>
      <c r="C28" t="s">
        <v>11</v>
      </c>
      <c r="D28" t="s">
        <v>12</v>
      </c>
      <c r="E28">
        <v>85643</v>
      </c>
      <c r="F28">
        <v>3183</v>
      </c>
      <c r="G28">
        <v>544.75</v>
      </c>
      <c r="H28">
        <v>66205</v>
      </c>
      <c r="I28">
        <v>70</v>
      </c>
      <c r="J28" t="s">
        <v>13</v>
      </c>
    </row>
    <row r="29" spans="1:10" x14ac:dyDescent="0.2">
      <c r="A29" s="1">
        <v>46026</v>
      </c>
      <c r="B29" t="s">
        <v>18</v>
      </c>
      <c r="C29" t="s">
        <v>14</v>
      </c>
      <c r="D29" t="s">
        <v>12</v>
      </c>
      <c r="E29">
        <v>115481</v>
      </c>
      <c r="F29">
        <v>4192</v>
      </c>
      <c r="G29">
        <v>605.64</v>
      </c>
      <c r="H29">
        <v>87338</v>
      </c>
      <c r="I29">
        <v>199</v>
      </c>
      <c r="J29" t="s">
        <v>13</v>
      </c>
    </row>
    <row r="30" spans="1:10" x14ac:dyDescent="0.2">
      <c r="A30" s="1">
        <v>46027</v>
      </c>
      <c r="B30" t="s">
        <v>10</v>
      </c>
      <c r="C30" t="s">
        <v>11</v>
      </c>
      <c r="D30" t="s">
        <v>12</v>
      </c>
      <c r="E30">
        <v>80306</v>
      </c>
      <c r="F30">
        <v>2575</v>
      </c>
      <c r="G30">
        <v>385.31</v>
      </c>
      <c r="H30">
        <v>62376</v>
      </c>
      <c r="I30">
        <v>61</v>
      </c>
      <c r="J30" t="s">
        <v>13</v>
      </c>
    </row>
    <row r="31" spans="1:10" x14ac:dyDescent="0.2">
      <c r="A31" s="1">
        <v>46027</v>
      </c>
      <c r="B31" t="s">
        <v>10</v>
      </c>
      <c r="C31" t="s">
        <v>14</v>
      </c>
      <c r="D31" t="s">
        <v>12</v>
      </c>
      <c r="E31">
        <v>103699</v>
      </c>
      <c r="F31">
        <v>4342</v>
      </c>
      <c r="G31">
        <v>777.74</v>
      </c>
      <c r="H31">
        <v>80187</v>
      </c>
      <c r="I31">
        <v>109</v>
      </c>
      <c r="J31" t="s">
        <v>13</v>
      </c>
    </row>
    <row r="32" spans="1:10" x14ac:dyDescent="0.2">
      <c r="A32" s="1">
        <v>46027</v>
      </c>
      <c r="B32" t="s">
        <v>15</v>
      </c>
      <c r="C32" t="s">
        <v>16</v>
      </c>
      <c r="D32" t="s">
        <v>12</v>
      </c>
      <c r="E32">
        <v>126474</v>
      </c>
      <c r="F32">
        <v>4563</v>
      </c>
      <c r="G32">
        <v>739.17</v>
      </c>
      <c r="H32">
        <v>94413</v>
      </c>
      <c r="I32">
        <v>203</v>
      </c>
      <c r="J32" t="s">
        <v>13</v>
      </c>
    </row>
    <row r="33" spans="1:10" x14ac:dyDescent="0.2">
      <c r="A33" s="1">
        <v>46027</v>
      </c>
      <c r="B33" t="s">
        <v>15</v>
      </c>
      <c r="C33" t="s">
        <v>17</v>
      </c>
      <c r="D33" t="s">
        <v>12</v>
      </c>
      <c r="E33">
        <v>95461</v>
      </c>
      <c r="F33">
        <v>4237</v>
      </c>
      <c r="G33">
        <v>750.61</v>
      </c>
      <c r="H33">
        <v>75941</v>
      </c>
      <c r="I33">
        <v>169</v>
      </c>
      <c r="J33" t="s">
        <v>13</v>
      </c>
    </row>
    <row r="34" spans="1:10" x14ac:dyDescent="0.2">
      <c r="A34" s="1">
        <v>46027</v>
      </c>
      <c r="B34" t="s">
        <v>18</v>
      </c>
      <c r="C34" t="s">
        <v>11</v>
      </c>
      <c r="D34" t="s">
        <v>12</v>
      </c>
      <c r="E34">
        <v>80857</v>
      </c>
      <c r="F34">
        <v>2812</v>
      </c>
      <c r="G34">
        <v>469.23</v>
      </c>
      <c r="H34">
        <v>61236</v>
      </c>
      <c r="I34">
        <v>127</v>
      </c>
      <c r="J34" t="s">
        <v>13</v>
      </c>
    </row>
    <row r="35" spans="1:10" x14ac:dyDescent="0.2">
      <c r="A35" s="1">
        <v>46027</v>
      </c>
      <c r="B35" t="s">
        <v>18</v>
      </c>
      <c r="C35" t="s">
        <v>14</v>
      </c>
      <c r="D35" t="s">
        <v>12</v>
      </c>
      <c r="E35">
        <v>99177</v>
      </c>
      <c r="F35">
        <v>2980</v>
      </c>
      <c r="G35">
        <v>443.98</v>
      </c>
      <c r="H35">
        <v>74760</v>
      </c>
      <c r="I35">
        <v>111</v>
      </c>
      <c r="J35" t="s">
        <v>13</v>
      </c>
    </row>
    <row r="36" spans="1:10" x14ac:dyDescent="0.2">
      <c r="A36" s="1">
        <v>46028</v>
      </c>
      <c r="B36" t="s">
        <v>10</v>
      </c>
      <c r="C36" t="s">
        <v>11</v>
      </c>
      <c r="D36" t="s">
        <v>12</v>
      </c>
      <c r="E36">
        <v>70161</v>
      </c>
      <c r="F36">
        <v>2666</v>
      </c>
      <c r="G36">
        <v>374.01</v>
      </c>
      <c r="H36">
        <v>55482</v>
      </c>
      <c r="I36">
        <v>62</v>
      </c>
      <c r="J36" t="s">
        <v>13</v>
      </c>
    </row>
    <row r="37" spans="1:10" x14ac:dyDescent="0.2">
      <c r="A37" s="1">
        <v>46028</v>
      </c>
      <c r="B37" t="s">
        <v>10</v>
      </c>
      <c r="C37" t="s">
        <v>14</v>
      </c>
      <c r="D37" t="s">
        <v>12</v>
      </c>
      <c r="E37">
        <v>48834</v>
      </c>
      <c r="F37">
        <v>2119</v>
      </c>
      <c r="G37">
        <v>369.52</v>
      </c>
      <c r="H37">
        <v>35506</v>
      </c>
      <c r="I37">
        <v>59</v>
      </c>
      <c r="J37" t="s">
        <v>13</v>
      </c>
    </row>
    <row r="38" spans="1:10" x14ac:dyDescent="0.2">
      <c r="A38" s="1">
        <v>46028</v>
      </c>
      <c r="B38" t="s">
        <v>15</v>
      </c>
      <c r="C38" t="s">
        <v>16</v>
      </c>
      <c r="D38" t="s">
        <v>12</v>
      </c>
      <c r="E38">
        <v>127684</v>
      </c>
      <c r="F38">
        <v>4628</v>
      </c>
      <c r="G38">
        <v>747.74</v>
      </c>
      <c r="H38">
        <v>101168</v>
      </c>
      <c r="I38">
        <v>207</v>
      </c>
      <c r="J38" t="s">
        <v>13</v>
      </c>
    </row>
    <row r="39" spans="1:10" x14ac:dyDescent="0.2">
      <c r="A39" s="1">
        <v>46028</v>
      </c>
      <c r="B39" t="s">
        <v>15</v>
      </c>
      <c r="C39" t="s">
        <v>17</v>
      </c>
      <c r="D39" t="s">
        <v>12</v>
      </c>
      <c r="E39">
        <v>115525</v>
      </c>
      <c r="F39">
        <v>4162</v>
      </c>
      <c r="G39">
        <v>713.3</v>
      </c>
      <c r="H39">
        <v>92506</v>
      </c>
      <c r="I39">
        <v>112</v>
      </c>
      <c r="J39" t="s">
        <v>13</v>
      </c>
    </row>
    <row r="40" spans="1:10" x14ac:dyDescent="0.2">
      <c r="A40" s="1">
        <v>46028</v>
      </c>
      <c r="B40" t="s">
        <v>18</v>
      </c>
      <c r="C40" t="s">
        <v>11</v>
      </c>
      <c r="D40" t="s">
        <v>12</v>
      </c>
      <c r="E40">
        <v>52704</v>
      </c>
      <c r="F40">
        <v>2066</v>
      </c>
      <c r="G40">
        <v>318.52</v>
      </c>
      <c r="H40">
        <v>40113</v>
      </c>
      <c r="I40">
        <v>91</v>
      </c>
      <c r="J40" t="s">
        <v>13</v>
      </c>
    </row>
    <row r="41" spans="1:10" x14ac:dyDescent="0.2">
      <c r="A41" s="1">
        <v>46028</v>
      </c>
      <c r="B41" t="s">
        <v>18</v>
      </c>
      <c r="C41" t="s">
        <v>14</v>
      </c>
      <c r="D41" t="s">
        <v>12</v>
      </c>
      <c r="E41">
        <v>47100</v>
      </c>
      <c r="F41">
        <v>1857</v>
      </c>
      <c r="G41">
        <v>333.08</v>
      </c>
      <c r="H41">
        <v>34375</v>
      </c>
      <c r="I41">
        <v>60</v>
      </c>
      <c r="J41" t="s">
        <v>13</v>
      </c>
    </row>
    <row r="42" spans="1:10" x14ac:dyDescent="0.2">
      <c r="A42" s="1">
        <v>46029</v>
      </c>
      <c r="B42" t="s">
        <v>10</v>
      </c>
      <c r="C42" t="s">
        <v>11</v>
      </c>
      <c r="D42" t="s">
        <v>12</v>
      </c>
      <c r="E42">
        <v>84473</v>
      </c>
      <c r="F42">
        <v>3514</v>
      </c>
      <c r="G42">
        <v>507.32</v>
      </c>
      <c r="H42">
        <v>62438</v>
      </c>
      <c r="I42">
        <v>126</v>
      </c>
      <c r="J42" t="s">
        <v>13</v>
      </c>
    </row>
    <row r="43" spans="1:10" x14ac:dyDescent="0.2">
      <c r="A43" s="1">
        <v>46029</v>
      </c>
      <c r="B43" t="s">
        <v>10</v>
      </c>
      <c r="C43" t="s">
        <v>14</v>
      </c>
      <c r="D43" t="s">
        <v>12</v>
      </c>
      <c r="E43">
        <v>58373</v>
      </c>
      <c r="F43">
        <v>2053</v>
      </c>
      <c r="G43">
        <v>310.29000000000002</v>
      </c>
      <c r="H43">
        <v>43486</v>
      </c>
      <c r="I43">
        <v>94</v>
      </c>
      <c r="J43" t="s">
        <v>13</v>
      </c>
    </row>
    <row r="44" spans="1:10" x14ac:dyDescent="0.2">
      <c r="A44" s="1">
        <v>46029</v>
      </c>
      <c r="B44" t="s">
        <v>15</v>
      </c>
      <c r="C44" t="s">
        <v>16</v>
      </c>
      <c r="D44" t="s">
        <v>12</v>
      </c>
      <c r="E44">
        <v>98082</v>
      </c>
      <c r="F44">
        <v>4093</v>
      </c>
      <c r="G44">
        <v>713.16</v>
      </c>
      <c r="H44">
        <v>71579</v>
      </c>
      <c r="I44">
        <v>159</v>
      </c>
      <c r="J44" t="s">
        <v>13</v>
      </c>
    </row>
    <row r="45" spans="1:10" x14ac:dyDescent="0.2">
      <c r="A45" s="1">
        <v>46029</v>
      </c>
      <c r="B45" t="s">
        <v>15</v>
      </c>
      <c r="C45" t="s">
        <v>17</v>
      </c>
      <c r="D45" t="s">
        <v>12</v>
      </c>
      <c r="E45">
        <v>110855</v>
      </c>
      <c r="F45">
        <v>4679</v>
      </c>
      <c r="G45">
        <v>836.42</v>
      </c>
      <c r="H45">
        <v>90084</v>
      </c>
      <c r="I45">
        <v>206</v>
      </c>
      <c r="J45" t="s">
        <v>13</v>
      </c>
    </row>
    <row r="46" spans="1:10" x14ac:dyDescent="0.2">
      <c r="A46" s="1">
        <v>46029</v>
      </c>
      <c r="B46" t="s">
        <v>18</v>
      </c>
      <c r="C46" t="s">
        <v>11</v>
      </c>
      <c r="D46" t="s">
        <v>12</v>
      </c>
      <c r="E46">
        <v>61798</v>
      </c>
      <c r="F46">
        <v>2157</v>
      </c>
      <c r="G46">
        <v>343.51</v>
      </c>
      <c r="H46">
        <v>49837</v>
      </c>
      <c r="I46">
        <v>98</v>
      </c>
      <c r="J46" t="s">
        <v>13</v>
      </c>
    </row>
    <row r="47" spans="1:10" x14ac:dyDescent="0.2">
      <c r="A47" s="1">
        <v>46029</v>
      </c>
      <c r="B47" t="s">
        <v>18</v>
      </c>
      <c r="C47" t="s">
        <v>14</v>
      </c>
      <c r="D47" t="s">
        <v>12</v>
      </c>
      <c r="E47">
        <v>61579</v>
      </c>
      <c r="F47">
        <v>2120</v>
      </c>
      <c r="G47">
        <v>380.35</v>
      </c>
      <c r="H47">
        <v>45969</v>
      </c>
      <c r="I47">
        <v>89</v>
      </c>
      <c r="J47" t="s">
        <v>13</v>
      </c>
    </row>
    <row r="48" spans="1:10" x14ac:dyDescent="0.2">
      <c r="A48" s="1">
        <v>46030</v>
      </c>
      <c r="B48" t="s">
        <v>10</v>
      </c>
      <c r="C48" t="s">
        <v>11</v>
      </c>
      <c r="D48" t="s">
        <v>12</v>
      </c>
      <c r="E48">
        <v>99638</v>
      </c>
      <c r="F48">
        <v>3273</v>
      </c>
      <c r="G48">
        <v>549.41999999999996</v>
      </c>
      <c r="H48">
        <v>79017</v>
      </c>
      <c r="I48">
        <v>138</v>
      </c>
      <c r="J48" t="s">
        <v>13</v>
      </c>
    </row>
    <row r="49" spans="1:10" x14ac:dyDescent="0.2">
      <c r="A49" s="1">
        <v>46030</v>
      </c>
      <c r="B49" t="s">
        <v>10</v>
      </c>
      <c r="C49" t="s">
        <v>14</v>
      </c>
      <c r="D49" t="s">
        <v>12</v>
      </c>
      <c r="E49">
        <v>126752</v>
      </c>
      <c r="F49">
        <v>5097</v>
      </c>
      <c r="G49">
        <v>745.14</v>
      </c>
      <c r="H49">
        <v>95022</v>
      </c>
      <c r="I49">
        <v>240</v>
      </c>
      <c r="J49" t="s">
        <v>13</v>
      </c>
    </row>
    <row r="50" spans="1:10" x14ac:dyDescent="0.2">
      <c r="A50" s="1">
        <v>46030</v>
      </c>
      <c r="B50" t="s">
        <v>15</v>
      </c>
      <c r="C50" t="s">
        <v>16</v>
      </c>
      <c r="D50" t="s">
        <v>12</v>
      </c>
      <c r="E50">
        <v>115914</v>
      </c>
      <c r="F50">
        <v>4695</v>
      </c>
      <c r="G50">
        <v>668.75</v>
      </c>
      <c r="H50">
        <v>87093</v>
      </c>
      <c r="I50">
        <v>109</v>
      </c>
      <c r="J50" t="s">
        <v>13</v>
      </c>
    </row>
    <row r="51" spans="1:10" x14ac:dyDescent="0.2">
      <c r="A51" s="1">
        <v>46030</v>
      </c>
      <c r="B51" t="s">
        <v>15</v>
      </c>
      <c r="C51" t="s">
        <v>17</v>
      </c>
      <c r="D51" t="s">
        <v>12</v>
      </c>
      <c r="E51">
        <v>102493</v>
      </c>
      <c r="F51">
        <v>3745</v>
      </c>
      <c r="G51">
        <v>652.04</v>
      </c>
      <c r="H51">
        <v>75408</v>
      </c>
      <c r="I51">
        <v>175</v>
      </c>
      <c r="J51" t="s">
        <v>13</v>
      </c>
    </row>
    <row r="52" spans="1:10" x14ac:dyDescent="0.2">
      <c r="A52" s="1">
        <v>46030</v>
      </c>
      <c r="B52" t="s">
        <v>18</v>
      </c>
      <c r="C52" t="s">
        <v>11</v>
      </c>
      <c r="D52" t="s">
        <v>12</v>
      </c>
      <c r="E52">
        <v>50500</v>
      </c>
      <c r="F52">
        <v>2144</v>
      </c>
      <c r="G52">
        <v>306.04000000000002</v>
      </c>
      <c r="H52">
        <v>36703</v>
      </c>
      <c r="I52">
        <v>95</v>
      </c>
      <c r="J52" t="s">
        <v>13</v>
      </c>
    </row>
    <row r="53" spans="1:10" x14ac:dyDescent="0.2">
      <c r="A53" s="1">
        <v>46030</v>
      </c>
      <c r="B53" t="s">
        <v>18</v>
      </c>
      <c r="C53" t="s">
        <v>14</v>
      </c>
      <c r="D53" t="s">
        <v>12</v>
      </c>
      <c r="E53">
        <v>92923</v>
      </c>
      <c r="F53">
        <v>2791</v>
      </c>
      <c r="G53">
        <v>490.13</v>
      </c>
      <c r="H53">
        <v>69192</v>
      </c>
      <c r="I53">
        <v>104</v>
      </c>
      <c r="J53" t="s">
        <v>13</v>
      </c>
    </row>
    <row r="54" spans="1:10" x14ac:dyDescent="0.2">
      <c r="A54" s="1">
        <v>46031</v>
      </c>
      <c r="B54" t="s">
        <v>10</v>
      </c>
      <c r="C54" t="s">
        <v>11</v>
      </c>
      <c r="D54" t="s">
        <v>12</v>
      </c>
      <c r="E54">
        <v>121183</v>
      </c>
      <c r="F54">
        <v>3562</v>
      </c>
      <c r="G54">
        <v>592.34</v>
      </c>
      <c r="H54">
        <v>94101</v>
      </c>
      <c r="I54">
        <v>107</v>
      </c>
      <c r="J54" t="s">
        <v>13</v>
      </c>
    </row>
    <row r="55" spans="1:10" x14ac:dyDescent="0.2">
      <c r="A55" s="1">
        <v>46031</v>
      </c>
      <c r="B55" t="s">
        <v>10</v>
      </c>
      <c r="C55" t="s">
        <v>14</v>
      </c>
      <c r="D55" t="s">
        <v>12</v>
      </c>
      <c r="E55">
        <v>74179</v>
      </c>
      <c r="F55">
        <v>2334</v>
      </c>
      <c r="G55">
        <v>393.62</v>
      </c>
      <c r="H55">
        <v>55179</v>
      </c>
      <c r="I55">
        <v>75</v>
      </c>
      <c r="J55" t="s">
        <v>13</v>
      </c>
    </row>
    <row r="56" spans="1:10" x14ac:dyDescent="0.2">
      <c r="A56" s="1">
        <v>46031</v>
      </c>
      <c r="B56" t="s">
        <v>15</v>
      </c>
      <c r="C56" t="s">
        <v>16</v>
      </c>
      <c r="D56" t="s">
        <v>12</v>
      </c>
      <c r="E56">
        <v>128039</v>
      </c>
      <c r="F56">
        <v>4990</v>
      </c>
      <c r="G56">
        <v>789.86</v>
      </c>
      <c r="H56">
        <v>104083</v>
      </c>
      <c r="I56">
        <v>231</v>
      </c>
      <c r="J56" t="s">
        <v>13</v>
      </c>
    </row>
    <row r="57" spans="1:10" x14ac:dyDescent="0.2">
      <c r="A57" s="1">
        <v>46031</v>
      </c>
      <c r="B57" t="s">
        <v>15</v>
      </c>
      <c r="C57" t="s">
        <v>17</v>
      </c>
      <c r="D57" t="s">
        <v>12</v>
      </c>
      <c r="E57">
        <v>41220</v>
      </c>
      <c r="F57">
        <v>1475</v>
      </c>
      <c r="G57">
        <v>265.41000000000003</v>
      </c>
      <c r="H57">
        <v>33784</v>
      </c>
      <c r="I57">
        <v>35</v>
      </c>
      <c r="J57" t="s">
        <v>13</v>
      </c>
    </row>
    <row r="58" spans="1:10" x14ac:dyDescent="0.2">
      <c r="A58" s="1">
        <v>46031</v>
      </c>
      <c r="B58" t="s">
        <v>18</v>
      </c>
      <c r="C58" t="s">
        <v>11</v>
      </c>
      <c r="D58" t="s">
        <v>12</v>
      </c>
      <c r="E58">
        <v>67938</v>
      </c>
      <c r="F58">
        <v>2486</v>
      </c>
      <c r="G58">
        <v>361.21</v>
      </c>
      <c r="H58">
        <v>51286</v>
      </c>
      <c r="I58">
        <v>59</v>
      </c>
      <c r="J58" t="s">
        <v>13</v>
      </c>
    </row>
    <row r="59" spans="1:10" x14ac:dyDescent="0.2">
      <c r="A59" s="1">
        <v>46031</v>
      </c>
      <c r="B59" t="s">
        <v>18</v>
      </c>
      <c r="C59" t="s">
        <v>14</v>
      </c>
      <c r="D59" t="s">
        <v>12</v>
      </c>
      <c r="E59">
        <v>72018</v>
      </c>
      <c r="F59">
        <v>2468</v>
      </c>
      <c r="G59">
        <v>361.09</v>
      </c>
      <c r="H59">
        <v>57857</v>
      </c>
      <c r="I59">
        <v>99</v>
      </c>
      <c r="J59" t="s">
        <v>13</v>
      </c>
    </row>
    <row r="60" spans="1:10" x14ac:dyDescent="0.2">
      <c r="A60" s="1">
        <v>46032</v>
      </c>
      <c r="B60" t="s">
        <v>10</v>
      </c>
      <c r="C60" t="s">
        <v>11</v>
      </c>
      <c r="D60" t="s">
        <v>12</v>
      </c>
      <c r="E60">
        <v>168242</v>
      </c>
      <c r="F60">
        <v>7524</v>
      </c>
      <c r="G60">
        <v>1296.26</v>
      </c>
      <c r="H60">
        <v>130033</v>
      </c>
      <c r="I60">
        <v>296</v>
      </c>
      <c r="J60" t="s">
        <v>13</v>
      </c>
    </row>
    <row r="61" spans="1:10" x14ac:dyDescent="0.2">
      <c r="A61" s="1">
        <v>46032</v>
      </c>
      <c r="B61" t="s">
        <v>10</v>
      </c>
      <c r="C61" t="s">
        <v>14</v>
      </c>
      <c r="D61" t="s">
        <v>12</v>
      </c>
      <c r="E61">
        <v>157768</v>
      </c>
      <c r="F61">
        <v>5220</v>
      </c>
      <c r="G61">
        <v>869.32</v>
      </c>
      <c r="H61">
        <v>128406</v>
      </c>
      <c r="I61">
        <v>133</v>
      </c>
      <c r="J61" t="s">
        <v>13</v>
      </c>
    </row>
    <row r="62" spans="1:10" x14ac:dyDescent="0.2">
      <c r="A62" s="1">
        <v>46032</v>
      </c>
      <c r="B62" t="s">
        <v>15</v>
      </c>
      <c r="C62" t="s">
        <v>16</v>
      </c>
      <c r="D62" t="s">
        <v>12</v>
      </c>
      <c r="E62">
        <v>77180</v>
      </c>
      <c r="F62">
        <v>3328</v>
      </c>
      <c r="G62">
        <v>564.75</v>
      </c>
      <c r="H62">
        <v>56769</v>
      </c>
      <c r="I62">
        <v>97</v>
      </c>
      <c r="J62" t="s">
        <v>13</v>
      </c>
    </row>
    <row r="63" spans="1:10" x14ac:dyDescent="0.2">
      <c r="A63" s="1">
        <v>46032</v>
      </c>
      <c r="B63" t="s">
        <v>15</v>
      </c>
      <c r="C63" t="s">
        <v>17</v>
      </c>
      <c r="D63" t="s">
        <v>12</v>
      </c>
      <c r="E63">
        <v>94649</v>
      </c>
      <c r="F63">
        <v>3804</v>
      </c>
      <c r="G63">
        <v>563.54</v>
      </c>
      <c r="H63">
        <v>74150</v>
      </c>
      <c r="I63">
        <v>109</v>
      </c>
      <c r="J63" t="s">
        <v>13</v>
      </c>
    </row>
    <row r="64" spans="1:10" x14ac:dyDescent="0.2">
      <c r="A64" s="1">
        <v>46032</v>
      </c>
      <c r="B64" t="s">
        <v>19</v>
      </c>
      <c r="C64" t="s">
        <v>11</v>
      </c>
      <c r="D64" t="s">
        <v>12</v>
      </c>
      <c r="E64">
        <v>145644</v>
      </c>
      <c r="F64">
        <v>4699</v>
      </c>
      <c r="G64">
        <v>828.56</v>
      </c>
      <c r="H64">
        <v>105603</v>
      </c>
      <c r="I64">
        <v>180</v>
      </c>
      <c r="J64" t="s">
        <v>13</v>
      </c>
    </row>
    <row r="65" spans="1:10" x14ac:dyDescent="0.2">
      <c r="A65" s="1">
        <v>46032</v>
      </c>
      <c r="B65" t="s">
        <v>19</v>
      </c>
      <c r="C65" t="s">
        <v>14</v>
      </c>
      <c r="D65" t="s">
        <v>12</v>
      </c>
      <c r="E65">
        <v>106771</v>
      </c>
      <c r="F65">
        <v>3069</v>
      </c>
      <c r="G65">
        <v>470.61</v>
      </c>
      <c r="H65">
        <v>78271</v>
      </c>
      <c r="I65">
        <v>145</v>
      </c>
      <c r="J65" t="s">
        <v>13</v>
      </c>
    </row>
    <row r="66" spans="1:10" x14ac:dyDescent="0.2">
      <c r="A66" s="1">
        <v>46032</v>
      </c>
      <c r="B66" t="s">
        <v>18</v>
      </c>
      <c r="C66" t="s">
        <v>11</v>
      </c>
      <c r="D66" t="s">
        <v>12</v>
      </c>
      <c r="E66">
        <v>85649</v>
      </c>
      <c r="F66">
        <v>3477</v>
      </c>
      <c r="G66">
        <v>563.51</v>
      </c>
      <c r="H66">
        <v>65330</v>
      </c>
      <c r="I66">
        <v>77</v>
      </c>
      <c r="J66" t="s">
        <v>13</v>
      </c>
    </row>
    <row r="67" spans="1:10" x14ac:dyDescent="0.2">
      <c r="A67" s="1">
        <v>46032</v>
      </c>
      <c r="B67" t="s">
        <v>18</v>
      </c>
      <c r="C67" t="s">
        <v>14</v>
      </c>
      <c r="D67" t="s">
        <v>12</v>
      </c>
      <c r="E67">
        <v>69806</v>
      </c>
      <c r="F67">
        <v>3076</v>
      </c>
      <c r="G67">
        <v>515.66</v>
      </c>
      <c r="H67">
        <v>51300</v>
      </c>
      <c r="I67">
        <v>70</v>
      </c>
      <c r="J67" t="s">
        <v>13</v>
      </c>
    </row>
    <row r="68" spans="1:10" x14ac:dyDescent="0.2">
      <c r="A68" s="1">
        <v>46033</v>
      </c>
      <c r="B68" t="s">
        <v>10</v>
      </c>
      <c r="C68" t="s">
        <v>11</v>
      </c>
      <c r="D68" t="s">
        <v>12</v>
      </c>
      <c r="E68">
        <v>123750</v>
      </c>
      <c r="F68">
        <v>4690</v>
      </c>
      <c r="G68">
        <v>684.38</v>
      </c>
      <c r="H68">
        <v>90677</v>
      </c>
      <c r="I68">
        <v>140</v>
      </c>
      <c r="J68" t="s">
        <v>13</v>
      </c>
    </row>
    <row r="69" spans="1:10" x14ac:dyDescent="0.2">
      <c r="A69" s="1">
        <v>46033</v>
      </c>
      <c r="B69" t="s">
        <v>10</v>
      </c>
      <c r="C69" t="s">
        <v>14</v>
      </c>
      <c r="D69" t="s">
        <v>12</v>
      </c>
      <c r="E69">
        <v>63320</v>
      </c>
      <c r="F69">
        <v>2740</v>
      </c>
      <c r="G69">
        <v>406.62</v>
      </c>
      <c r="H69">
        <v>47170</v>
      </c>
      <c r="I69">
        <v>67</v>
      </c>
      <c r="J69" t="s">
        <v>13</v>
      </c>
    </row>
    <row r="70" spans="1:10" x14ac:dyDescent="0.2">
      <c r="A70" s="1">
        <v>46033</v>
      </c>
      <c r="B70" t="s">
        <v>15</v>
      </c>
      <c r="C70" t="s">
        <v>16</v>
      </c>
      <c r="D70" t="s">
        <v>12</v>
      </c>
      <c r="E70">
        <v>158739</v>
      </c>
      <c r="F70">
        <v>6830</v>
      </c>
      <c r="G70">
        <v>1067.22</v>
      </c>
      <c r="H70">
        <v>124144</v>
      </c>
      <c r="I70">
        <v>177</v>
      </c>
      <c r="J70" t="s">
        <v>13</v>
      </c>
    </row>
    <row r="71" spans="1:10" x14ac:dyDescent="0.2">
      <c r="A71" s="1">
        <v>46033</v>
      </c>
      <c r="B71" t="s">
        <v>15</v>
      </c>
      <c r="C71" t="s">
        <v>17</v>
      </c>
      <c r="D71" t="s">
        <v>12</v>
      </c>
      <c r="E71">
        <v>99440</v>
      </c>
      <c r="F71">
        <v>4245</v>
      </c>
      <c r="G71">
        <v>760.06</v>
      </c>
      <c r="H71">
        <v>79659</v>
      </c>
      <c r="I71">
        <v>190</v>
      </c>
      <c r="J71" t="s">
        <v>13</v>
      </c>
    </row>
    <row r="72" spans="1:10" x14ac:dyDescent="0.2">
      <c r="A72" s="1">
        <v>46033</v>
      </c>
      <c r="B72" t="s">
        <v>19</v>
      </c>
      <c r="C72" t="s">
        <v>11</v>
      </c>
      <c r="D72" t="s">
        <v>12</v>
      </c>
      <c r="E72">
        <v>60547</v>
      </c>
      <c r="F72">
        <v>1879</v>
      </c>
      <c r="G72">
        <v>332.54</v>
      </c>
      <c r="H72">
        <v>48330</v>
      </c>
      <c r="I72">
        <v>61</v>
      </c>
      <c r="J72" t="s">
        <v>13</v>
      </c>
    </row>
    <row r="73" spans="1:10" x14ac:dyDescent="0.2">
      <c r="A73" s="1">
        <v>46033</v>
      </c>
      <c r="B73" t="s">
        <v>19</v>
      </c>
      <c r="C73" t="s">
        <v>14</v>
      </c>
      <c r="D73" t="s">
        <v>12</v>
      </c>
      <c r="E73">
        <v>178928</v>
      </c>
      <c r="F73">
        <v>7638</v>
      </c>
      <c r="G73">
        <v>1317.02</v>
      </c>
      <c r="H73">
        <v>133602</v>
      </c>
      <c r="I73">
        <v>324</v>
      </c>
      <c r="J73" t="s">
        <v>13</v>
      </c>
    </row>
    <row r="74" spans="1:10" x14ac:dyDescent="0.2">
      <c r="A74" s="1">
        <v>46033</v>
      </c>
      <c r="B74" t="s">
        <v>18</v>
      </c>
      <c r="C74" t="s">
        <v>11</v>
      </c>
      <c r="D74" t="s">
        <v>12</v>
      </c>
      <c r="E74">
        <v>75835</v>
      </c>
      <c r="F74">
        <v>2616</v>
      </c>
      <c r="G74">
        <v>370.29</v>
      </c>
      <c r="H74">
        <v>58170</v>
      </c>
      <c r="I74">
        <v>71</v>
      </c>
      <c r="J74" t="s">
        <v>13</v>
      </c>
    </row>
    <row r="75" spans="1:10" x14ac:dyDescent="0.2">
      <c r="A75" s="1">
        <v>46033</v>
      </c>
      <c r="B75" t="s">
        <v>18</v>
      </c>
      <c r="C75" t="s">
        <v>14</v>
      </c>
      <c r="D75" t="s">
        <v>12</v>
      </c>
      <c r="E75">
        <v>140464</v>
      </c>
      <c r="F75">
        <v>4767</v>
      </c>
      <c r="G75">
        <v>823.84</v>
      </c>
      <c r="H75">
        <v>113373</v>
      </c>
      <c r="I75">
        <v>132</v>
      </c>
      <c r="J75" t="s">
        <v>13</v>
      </c>
    </row>
    <row r="76" spans="1:10" x14ac:dyDescent="0.2">
      <c r="A76" s="1">
        <v>46034</v>
      </c>
      <c r="B76" t="s">
        <v>10</v>
      </c>
      <c r="C76" t="s">
        <v>11</v>
      </c>
      <c r="D76" t="s">
        <v>12</v>
      </c>
      <c r="E76">
        <v>126511</v>
      </c>
      <c r="F76">
        <v>3957</v>
      </c>
      <c r="G76">
        <v>605.94000000000005</v>
      </c>
      <c r="H76">
        <v>102022</v>
      </c>
      <c r="I76">
        <v>186</v>
      </c>
      <c r="J76" t="s">
        <v>13</v>
      </c>
    </row>
    <row r="77" spans="1:10" x14ac:dyDescent="0.2">
      <c r="A77" s="1">
        <v>46034</v>
      </c>
      <c r="B77" t="s">
        <v>10</v>
      </c>
      <c r="C77" t="s">
        <v>14</v>
      </c>
      <c r="D77" t="s">
        <v>12</v>
      </c>
      <c r="E77">
        <v>76585</v>
      </c>
      <c r="F77">
        <v>2601</v>
      </c>
      <c r="G77">
        <v>417.14</v>
      </c>
      <c r="H77">
        <v>60345</v>
      </c>
      <c r="I77">
        <v>114</v>
      </c>
      <c r="J77" t="s">
        <v>13</v>
      </c>
    </row>
    <row r="78" spans="1:10" x14ac:dyDescent="0.2">
      <c r="A78" s="1">
        <v>46034</v>
      </c>
      <c r="B78" t="s">
        <v>15</v>
      </c>
      <c r="C78" t="s">
        <v>16</v>
      </c>
      <c r="D78" t="s">
        <v>12</v>
      </c>
      <c r="E78">
        <v>83404</v>
      </c>
      <c r="F78">
        <v>3667</v>
      </c>
      <c r="G78">
        <v>530.29999999999995</v>
      </c>
      <c r="H78">
        <v>68144</v>
      </c>
      <c r="I78">
        <v>97</v>
      </c>
      <c r="J78" t="s">
        <v>13</v>
      </c>
    </row>
    <row r="79" spans="1:10" x14ac:dyDescent="0.2">
      <c r="A79" s="1">
        <v>46034</v>
      </c>
      <c r="B79" t="s">
        <v>15</v>
      </c>
      <c r="C79" t="s">
        <v>17</v>
      </c>
      <c r="D79" t="s">
        <v>12</v>
      </c>
      <c r="E79">
        <v>74795</v>
      </c>
      <c r="F79">
        <v>2142</v>
      </c>
      <c r="G79">
        <v>350.99</v>
      </c>
      <c r="H79">
        <v>56437</v>
      </c>
      <c r="I79">
        <v>90</v>
      </c>
      <c r="J79" t="s">
        <v>13</v>
      </c>
    </row>
    <row r="80" spans="1:10" x14ac:dyDescent="0.2">
      <c r="A80" s="1">
        <v>46034</v>
      </c>
      <c r="B80" t="s">
        <v>18</v>
      </c>
      <c r="C80" t="s">
        <v>11</v>
      </c>
      <c r="D80" t="s">
        <v>12</v>
      </c>
      <c r="E80">
        <v>97199</v>
      </c>
      <c r="F80">
        <v>3723</v>
      </c>
      <c r="G80">
        <v>597.38</v>
      </c>
      <c r="H80">
        <v>73727</v>
      </c>
      <c r="I80">
        <v>137</v>
      </c>
      <c r="J80" t="s">
        <v>13</v>
      </c>
    </row>
    <row r="81" spans="1:10" x14ac:dyDescent="0.2">
      <c r="A81" s="1">
        <v>46034</v>
      </c>
      <c r="B81" t="s">
        <v>18</v>
      </c>
      <c r="C81" t="s">
        <v>14</v>
      </c>
      <c r="D81" t="s">
        <v>12</v>
      </c>
      <c r="E81">
        <v>73386</v>
      </c>
      <c r="F81">
        <v>2110</v>
      </c>
      <c r="G81">
        <v>332.2</v>
      </c>
      <c r="H81">
        <v>56653</v>
      </c>
      <c r="I81">
        <v>90</v>
      </c>
      <c r="J81" t="s">
        <v>13</v>
      </c>
    </row>
    <row r="82" spans="1:10" x14ac:dyDescent="0.2">
      <c r="A82" s="1">
        <v>46035</v>
      </c>
      <c r="B82" t="s">
        <v>10</v>
      </c>
      <c r="C82" t="s">
        <v>11</v>
      </c>
      <c r="D82" t="s">
        <v>12</v>
      </c>
      <c r="E82">
        <v>127900</v>
      </c>
      <c r="F82">
        <v>4009</v>
      </c>
      <c r="G82">
        <v>630.41999999999996</v>
      </c>
      <c r="H82">
        <v>104224</v>
      </c>
      <c r="I82">
        <v>184</v>
      </c>
      <c r="J82" t="s">
        <v>13</v>
      </c>
    </row>
    <row r="83" spans="1:10" x14ac:dyDescent="0.2">
      <c r="A83" s="1">
        <v>46035</v>
      </c>
      <c r="B83" t="s">
        <v>10</v>
      </c>
      <c r="C83" t="s">
        <v>14</v>
      </c>
      <c r="D83" t="s">
        <v>12</v>
      </c>
      <c r="E83">
        <v>121678</v>
      </c>
      <c r="F83">
        <v>4056</v>
      </c>
      <c r="G83">
        <v>705.42</v>
      </c>
      <c r="H83">
        <v>96365</v>
      </c>
      <c r="I83">
        <v>120</v>
      </c>
      <c r="J83" t="s">
        <v>13</v>
      </c>
    </row>
    <row r="84" spans="1:10" x14ac:dyDescent="0.2">
      <c r="A84" s="1">
        <v>46035</v>
      </c>
      <c r="B84" t="s">
        <v>15</v>
      </c>
      <c r="C84" t="s">
        <v>16</v>
      </c>
      <c r="D84" t="s">
        <v>12</v>
      </c>
      <c r="E84">
        <v>80538</v>
      </c>
      <c r="F84">
        <v>3168</v>
      </c>
      <c r="G84">
        <v>484.85</v>
      </c>
      <c r="H84">
        <v>63602</v>
      </c>
      <c r="I84">
        <v>115</v>
      </c>
      <c r="J84" t="s">
        <v>13</v>
      </c>
    </row>
    <row r="85" spans="1:10" x14ac:dyDescent="0.2">
      <c r="A85" s="1">
        <v>46035</v>
      </c>
      <c r="B85" t="s">
        <v>15</v>
      </c>
      <c r="C85" t="s">
        <v>17</v>
      </c>
      <c r="D85" t="s">
        <v>12</v>
      </c>
      <c r="E85">
        <v>65144</v>
      </c>
      <c r="F85">
        <v>2289</v>
      </c>
      <c r="G85">
        <v>406.56</v>
      </c>
      <c r="H85">
        <v>51316</v>
      </c>
      <c r="I85">
        <v>104</v>
      </c>
      <c r="J85" t="s">
        <v>13</v>
      </c>
    </row>
    <row r="86" spans="1:10" x14ac:dyDescent="0.2">
      <c r="A86" s="1">
        <v>46035</v>
      </c>
      <c r="B86" t="s">
        <v>18</v>
      </c>
      <c r="C86" t="s">
        <v>11</v>
      </c>
      <c r="D86" t="s">
        <v>12</v>
      </c>
      <c r="E86">
        <v>120676</v>
      </c>
      <c r="F86">
        <v>4546</v>
      </c>
      <c r="G86">
        <v>710.28</v>
      </c>
      <c r="H86">
        <v>96947</v>
      </c>
      <c r="I86">
        <v>135</v>
      </c>
      <c r="J86" t="s">
        <v>13</v>
      </c>
    </row>
    <row r="87" spans="1:10" x14ac:dyDescent="0.2">
      <c r="A87" s="1">
        <v>46035</v>
      </c>
      <c r="B87" t="s">
        <v>18</v>
      </c>
      <c r="C87" t="s">
        <v>14</v>
      </c>
      <c r="D87" t="s">
        <v>12</v>
      </c>
      <c r="E87">
        <v>67549</v>
      </c>
      <c r="F87">
        <v>2385</v>
      </c>
      <c r="G87">
        <v>389.23</v>
      </c>
      <c r="H87">
        <v>53057</v>
      </c>
      <c r="I87">
        <v>81</v>
      </c>
      <c r="J87" t="s">
        <v>13</v>
      </c>
    </row>
    <row r="88" spans="1:10" x14ac:dyDescent="0.2">
      <c r="A88" s="1">
        <v>46036</v>
      </c>
      <c r="B88" t="s">
        <v>10</v>
      </c>
      <c r="C88" t="s">
        <v>11</v>
      </c>
      <c r="D88" t="s">
        <v>12</v>
      </c>
      <c r="E88">
        <v>97954</v>
      </c>
      <c r="F88">
        <v>3867</v>
      </c>
      <c r="G88">
        <v>620.45000000000005</v>
      </c>
      <c r="H88">
        <v>78301</v>
      </c>
      <c r="I88">
        <v>181</v>
      </c>
      <c r="J88" t="s">
        <v>13</v>
      </c>
    </row>
    <row r="89" spans="1:10" x14ac:dyDescent="0.2">
      <c r="A89" s="1">
        <v>46036</v>
      </c>
      <c r="B89" t="s">
        <v>10</v>
      </c>
      <c r="C89" t="s">
        <v>14</v>
      </c>
      <c r="D89" t="s">
        <v>12</v>
      </c>
      <c r="E89">
        <v>62241</v>
      </c>
      <c r="F89">
        <v>2439</v>
      </c>
      <c r="G89">
        <v>369.15</v>
      </c>
      <c r="H89">
        <v>48945</v>
      </c>
      <c r="I89">
        <v>92</v>
      </c>
      <c r="J89" t="s">
        <v>13</v>
      </c>
    </row>
    <row r="90" spans="1:10" x14ac:dyDescent="0.2">
      <c r="A90" s="1">
        <v>46036</v>
      </c>
      <c r="B90" t="s">
        <v>15</v>
      </c>
      <c r="C90" t="s">
        <v>16</v>
      </c>
      <c r="D90" t="s">
        <v>12</v>
      </c>
      <c r="E90">
        <v>52240</v>
      </c>
      <c r="F90">
        <v>2189</v>
      </c>
      <c r="G90">
        <v>372.23</v>
      </c>
      <c r="H90">
        <v>41127</v>
      </c>
      <c r="I90">
        <v>60</v>
      </c>
      <c r="J90" t="s">
        <v>13</v>
      </c>
    </row>
    <row r="91" spans="1:10" x14ac:dyDescent="0.2">
      <c r="A91" s="1">
        <v>46036</v>
      </c>
      <c r="B91" t="s">
        <v>15</v>
      </c>
      <c r="C91" t="s">
        <v>17</v>
      </c>
      <c r="D91" t="s">
        <v>12</v>
      </c>
      <c r="E91">
        <v>66100</v>
      </c>
      <c r="F91">
        <v>2016</v>
      </c>
      <c r="G91">
        <v>285.97000000000003</v>
      </c>
      <c r="H91">
        <v>54095</v>
      </c>
      <c r="I91">
        <v>76</v>
      </c>
      <c r="J91" t="s">
        <v>13</v>
      </c>
    </row>
    <row r="92" spans="1:10" x14ac:dyDescent="0.2">
      <c r="A92" s="1">
        <v>46036</v>
      </c>
      <c r="B92" t="s">
        <v>18</v>
      </c>
      <c r="C92" t="s">
        <v>11</v>
      </c>
      <c r="D92" t="s">
        <v>12</v>
      </c>
      <c r="E92">
        <v>49545</v>
      </c>
      <c r="F92">
        <v>1770</v>
      </c>
      <c r="G92">
        <v>310.54000000000002</v>
      </c>
      <c r="H92">
        <v>38524</v>
      </c>
      <c r="I92">
        <v>71</v>
      </c>
      <c r="J92" t="s">
        <v>13</v>
      </c>
    </row>
    <row r="93" spans="1:10" x14ac:dyDescent="0.2">
      <c r="A93" s="1">
        <v>46036</v>
      </c>
      <c r="B93" t="s">
        <v>18</v>
      </c>
      <c r="C93" t="s">
        <v>14</v>
      </c>
      <c r="D93" t="s">
        <v>12</v>
      </c>
      <c r="E93">
        <v>90328</v>
      </c>
      <c r="F93">
        <v>3288</v>
      </c>
      <c r="G93">
        <v>492.41</v>
      </c>
      <c r="H93">
        <v>70962</v>
      </c>
      <c r="I93">
        <v>72</v>
      </c>
      <c r="J93" t="s">
        <v>13</v>
      </c>
    </row>
    <row r="94" spans="1:10" x14ac:dyDescent="0.2">
      <c r="A94" s="1">
        <v>46037</v>
      </c>
      <c r="B94" t="s">
        <v>10</v>
      </c>
      <c r="C94" t="s">
        <v>11</v>
      </c>
      <c r="D94" t="s">
        <v>12</v>
      </c>
      <c r="E94">
        <v>53970</v>
      </c>
      <c r="F94">
        <v>2225</v>
      </c>
      <c r="G94">
        <v>330.98</v>
      </c>
      <c r="H94">
        <v>43198</v>
      </c>
      <c r="I94">
        <v>89</v>
      </c>
      <c r="J94" t="s">
        <v>13</v>
      </c>
    </row>
    <row r="95" spans="1:10" x14ac:dyDescent="0.2">
      <c r="A95" s="1">
        <v>46037</v>
      </c>
      <c r="B95" t="s">
        <v>10</v>
      </c>
      <c r="C95" t="s">
        <v>14</v>
      </c>
      <c r="D95" t="s">
        <v>12</v>
      </c>
      <c r="E95">
        <v>100889</v>
      </c>
      <c r="F95">
        <v>2911</v>
      </c>
      <c r="G95">
        <v>436.56</v>
      </c>
      <c r="H95">
        <v>81198</v>
      </c>
      <c r="I95">
        <v>98</v>
      </c>
      <c r="J95" t="s">
        <v>13</v>
      </c>
    </row>
    <row r="96" spans="1:10" x14ac:dyDescent="0.2">
      <c r="A96" s="1">
        <v>46037</v>
      </c>
      <c r="B96" t="s">
        <v>15</v>
      </c>
      <c r="C96" t="s">
        <v>16</v>
      </c>
      <c r="D96" t="s">
        <v>12</v>
      </c>
      <c r="E96">
        <v>100901</v>
      </c>
      <c r="F96">
        <v>3970</v>
      </c>
      <c r="G96">
        <v>712.68</v>
      </c>
      <c r="H96">
        <v>78656</v>
      </c>
      <c r="I96">
        <v>185</v>
      </c>
      <c r="J96" t="s">
        <v>13</v>
      </c>
    </row>
    <row r="97" spans="1:10" x14ac:dyDescent="0.2">
      <c r="A97" s="1">
        <v>46037</v>
      </c>
      <c r="B97" t="s">
        <v>15</v>
      </c>
      <c r="C97" t="s">
        <v>17</v>
      </c>
      <c r="D97" t="s">
        <v>12</v>
      </c>
      <c r="E97">
        <v>98008</v>
      </c>
      <c r="F97">
        <v>3764</v>
      </c>
      <c r="G97">
        <v>635.25</v>
      </c>
      <c r="H97">
        <v>75512</v>
      </c>
      <c r="I97">
        <v>164</v>
      </c>
      <c r="J97" t="s">
        <v>13</v>
      </c>
    </row>
    <row r="98" spans="1:10" x14ac:dyDescent="0.2">
      <c r="A98" s="1">
        <v>46037</v>
      </c>
      <c r="B98" t="s">
        <v>18</v>
      </c>
      <c r="C98" t="s">
        <v>11</v>
      </c>
      <c r="D98" t="s">
        <v>12</v>
      </c>
      <c r="E98">
        <v>111810</v>
      </c>
      <c r="F98">
        <v>3978</v>
      </c>
      <c r="G98">
        <v>582.25</v>
      </c>
      <c r="H98">
        <v>90135</v>
      </c>
      <c r="I98">
        <v>134</v>
      </c>
      <c r="J98" t="s">
        <v>13</v>
      </c>
    </row>
    <row r="99" spans="1:10" x14ac:dyDescent="0.2">
      <c r="A99" s="1">
        <v>46037</v>
      </c>
      <c r="B99" t="s">
        <v>18</v>
      </c>
      <c r="C99" t="s">
        <v>14</v>
      </c>
      <c r="D99" t="s">
        <v>12</v>
      </c>
      <c r="E99">
        <v>72406</v>
      </c>
      <c r="F99">
        <v>3061</v>
      </c>
      <c r="G99">
        <v>462.49</v>
      </c>
      <c r="H99">
        <v>57763</v>
      </c>
      <c r="I99">
        <v>105</v>
      </c>
      <c r="J99" t="s">
        <v>13</v>
      </c>
    </row>
    <row r="100" spans="1:10" x14ac:dyDescent="0.2">
      <c r="A100" s="1">
        <v>46038</v>
      </c>
      <c r="B100" t="s">
        <v>10</v>
      </c>
      <c r="C100" t="s">
        <v>11</v>
      </c>
      <c r="D100" t="s">
        <v>12</v>
      </c>
      <c r="E100">
        <v>71358</v>
      </c>
      <c r="F100">
        <v>2331</v>
      </c>
      <c r="G100">
        <v>333.56</v>
      </c>
      <c r="H100">
        <v>53416</v>
      </c>
      <c r="I100">
        <v>67</v>
      </c>
      <c r="J100" t="s">
        <v>13</v>
      </c>
    </row>
    <row r="101" spans="1:10" x14ac:dyDescent="0.2">
      <c r="A101" s="1">
        <v>46038</v>
      </c>
      <c r="B101" t="s">
        <v>10</v>
      </c>
      <c r="C101" t="s">
        <v>14</v>
      </c>
      <c r="D101" t="s">
        <v>12</v>
      </c>
      <c r="E101">
        <v>81904</v>
      </c>
      <c r="F101">
        <v>3536</v>
      </c>
      <c r="G101">
        <v>506.44</v>
      </c>
      <c r="H101">
        <v>60206</v>
      </c>
      <c r="I101">
        <v>113</v>
      </c>
      <c r="J101" t="s">
        <v>13</v>
      </c>
    </row>
    <row r="102" spans="1:10" x14ac:dyDescent="0.2">
      <c r="A102" s="1">
        <v>46038</v>
      </c>
      <c r="B102" t="s">
        <v>15</v>
      </c>
      <c r="C102" t="s">
        <v>16</v>
      </c>
      <c r="D102" t="s">
        <v>12</v>
      </c>
      <c r="E102">
        <v>60028</v>
      </c>
      <c r="F102">
        <v>2401</v>
      </c>
      <c r="G102">
        <v>342.31</v>
      </c>
      <c r="H102">
        <v>45666</v>
      </c>
      <c r="I102">
        <v>86</v>
      </c>
      <c r="J102" t="s">
        <v>13</v>
      </c>
    </row>
    <row r="103" spans="1:10" x14ac:dyDescent="0.2">
      <c r="A103" s="1">
        <v>46038</v>
      </c>
      <c r="B103" t="s">
        <v>15</v>
      </c>
      <c r="C103" t="s">
        <v>17</v>
      </c>
      <c r="D103" t="s">
        <v>12</v>
      </c>
      <c r="E103">
        <v>94496</v>
      </c>
      <c r="F103">
        <v>2745</v>
      </c>
      <c r="G103">
        <v>475.75</v>
      </c>
      <c r="H103">
        <v>71717</v>
      </c>
      <c r="I103">
        <v>115</v>
      </c>
      <c r="J103" t="s">
        <v>13</v>
      </c>
    </row>
    <row r="104" spans="1:10" x14ac:dyDescent="0.2">
      <c r="A104" s="1">
        <v>46038</v>
      </c>
      <c r="B104" t="s">
        <v>18</v>
      </c>
      <c r="C104" t="s">
        <v>11</v>
      </c>
      <c r="D104" t="s">
        <v>12</v>
      </c>
      <c r="E104">
        <v>42560</v>
      </c>
      <c r="F104">
        <v>1811</v>
      </c>
      <c r="G104">
        <v>309</v>
      </c>
      <c r="H104">
        <v>32262</v>
      </c>
      <c r="I104">
        <v>40</v>
      </c>
      <c r="J104" t="s">
        <v>13</v>
      </c>
    </row>
    <row r="105" spans="1:10" x14ac:dyDescent="0.2">
      <c r="A105" s="1">
        <v>46038</v>
      </c>
      <c r="B105" t="s">
        <v>18</v>
      </c>
      <c r="C105" t="s">
        <v>14</v>
      </c>
      <c r="D105" t="s">
        <v>12</v>
      </c>
      <c r="E105">
        <v>86105</v>
      </c>
      <c r="F105">
        <v>2848</v>
      </c>
      <c r="G105">
        <v>443.15</v>
      </c>
      <c r="H105">
        <v>69673</v>
      </c>
      <c r="I105">
        <v>124</v>
      </c>
      <c r="J105" t="s">
        <v>13</v>
      </c>
    </row>
    <row r="106" spans="1:10" x14ac:dyDescent="0.2">
      <c r="A106" s="1">
        <v>46039</v>
      </c>
      <c r="B106" t="s">
        <v>10</v>
      </c>
      <c r="C106" t="s">
        <v>11</v>
      </c>
      <c r="D106" t="s">
        <v>12</v>
      </c>
      <c r="E106">
        <v>154763</v>
      </c>
      <c r="F106">
        <v>6300</v>
      </c>
      <c r="G106">
        <v>1019.63</v>
      </c>
      <c r="H106">
        <v>120765</v>
      </c>
      <c r="I106">
        <v>174</v>
      </c>
      <c r="J106" t="s">
        <v>13</v>
      </c>
    </row>
    <row r="107" spans="1:10" x14ac:dyDescent="0.2">
      <c r="A107" s="1">
        <v>46039</v>
      </c>
      <c r="B107" t="s">
        <v>10</v>
      </c>
      <c r="C107" t="s">
        <v>14</v>
      </c>
      <c r="D107" t="s">
        <v>12</v>
      </c>
      <c r="E107">
        <v>96264</v>
      </c>
      <c r="F107">
        <v>3142</v>
      </c>
      <c r="G107">
        <v>500.92</v>
      </c>
      <c r="H107">
        <v>73053</v>
      </c>
      <c r="I107">
        <v>123</v>
      </c>
      <c r="J107" t="s">
        <v>13</v>
      </c>
    </row>
    <row r="108" spans="1:10" x14ac:dyDescent="0.2">
      <c r="A108" s="1">
        <v>46039</v>
      </c>
      <c r="B108" t="s">
        <v>15</v>
      </c>
      <c r="C108" t="s">
        <v>16</v>
      </c>
      <c r="D108" t="s">
        <v>12</v>
      </c>
      <c r="E108">
        <v>130191</v>
      </c>
      <c r="F108">
        <v>5248</v>
      </c>
      <c r="G108">
        <v>911.16</v>
      </c>
      <c r="H108">
        <v>105709</v>
      </c>
      <c r="I108">
        <v>249</v>
      </c>
      <c r="J108" t="s">
        <v>13</v>
      </c>
    </row>
    <row r="109" spans="1:10" x14ac:dyDescent="0.2">
      <c r="A109" s="1">
        <v>46039</v>
      </c>
      <c r="B109" t="s">
        <v>15</v>
      </c>
      <c r="C109" t="s">
        <v>17</v>
      </c>
      <c r="D109" t="s">
        <v>12</v>
      </c>
      <c r="E109">
        <v>154011</v>
      </c>
      <c r="F109">
        <v>4382</v>
      </c>
      <c r="G109">
        <v>682.54</v>
      </c>
      <c r="H109">
        <v>119580</v>
      </c>
      <c r="I109">
        <v>99</v>
      </c>
      <c r="J109" t="s">
        <v>13</v>
      </c>
    </row>
    <row r="110" spans="1:10" x14ac:dyDescent="0.2">
      <c r="A110" s="1">
        <v>46039</v>
      </c>
      <c r="B110" t="s">
        <v>19</v>
      </c>
      <c r="C110" t="s">
        <v>11</v>
      </c>
      <c r="D110" t="s">
        <v>12</v>
      </c>
      <c r="E110">
        <v>173944</v>
      </c>
      <c r="F110">
        <v>6137</v>
      </c>
      <c r="G110">
        <v>1071.97</v>
      </c>
      <c r="H110">
        <v>128400</v>
      </c>
      <c r="I110">
        <v>176</v>
      </c>
      <c r="J110" t="s">
        <v>13</v>
      </c>
    </row>
    <row r="111" spans="1:10" x14ac:dyDescent="0.2">
      <c r="A111" s="1">
        <v>46039</v>
      </c>
      <c r="B111" t="s">
        <v>19</v>
      </c>
      <c r="C111" t="s">
        <v>14</v>
      </c>
      <c r="D111" t="s">
        <v>12</v>
      </c>
      <c r="E111">
        <v>116068</v>
      </c>
      <c r="F111">
        <v>3667</v>
      </c>
      <c r="G111">
        <v>561.32000000000005</v>
      </c>
      <c r="H111">
        <v>92404</v>
      </c>
      <c r="I111">
        <v>116</v>
      </c>
      <c r="J111" t="s">
        <v>13</v>
      </c>
    </row>
    <row r="112" spans="1:10" x14ac:dyDescent="0.2">
      <c r="A112" s="1">
        <v>46039</v>
      </c>
      <c r="B112" t="s">
        <v>18</v>
      </c>
      <c r="C112" t="s">
        <v>11</v>
      </c>
      <c r="D112" t="s">
        <v>12</v>
      </c>
      <c r="E112">
        <v>133357</v>
      </c>
      <c r="F112">
        <v>4305</v>
      </c>
      <c r="G112">
        <v>616.79999999999995</v>
      </c>
      <c r="H112">
        <v>96275</v>
      </c>
      <c r="I112">
        <v>155</v>
      </c>
      <c r="J112" t="s">
        <v>13</v>
      </c>
    </row>
    <row r="113" spans="1:10" x14ac:dyDescent="0.2">
      <c r="A113" s="1">
        <v>46039</v>
      </c>
      <c r="B113" t="s">
        <v>18</v>
      </c>
      <c r="C113" t="s">
        <v>14</v>
      </c>
      <c r="D113" t="s">
        <v>12</v>
      </c>
      <c r="E113">
        <v>120217</v>
      </c>
      <c r="F113">
        <v>3824</v>
      </c>
      <c r="G113">
        <v>545.86</v>
      </c>
      <c r="H113">
        <v>98064</v>
      </c>
      <c r="I113">
        <v>88</v>
      </c>
      <c r="J113" t="s">
        <v>13</v>
      </c>
    </row>
    <row r="114" spans="1:10" x14ac:dyDescent="0.2">
      <c r="A114" s="1">
        <v>46040</v>
      </c>
      <c r="B114" t="s">
        <v>10</v>
      </c>
      <c r="C114" t="s">
        <v>11</v>
      </c>
      <c r="D114" t="s">
        <v>12</v>
      </c>
      <c r="E114">
        <v>61693</v>
      </c>
      <c r="F114">
        <v>2723</v>
      </c>
      <c r="G114">
        <v>402.93</v>
      </c>
      <c r="H114">
        <v>44544</v>
      </c>
      <c r="I114">
        <v>70</v>
      </c>
      <c r="J114" t="s">
        <v>13</v>
      </c>
    </row>
    <row r="115" spans="1:10" x14ac:dyDescent="0.2">
      <c r="A115" s="1">
        <v>46040</v>
      </c>
      <c r="B115" t="s">
        <v>10</v>
      </c>
      <c r="C115" t="s">
        <v>14</v>
      </c>
      <c r="D115" t="s">
        <v>12</v>
      </c>
      <c r="E115">
        <v>79161</v>
      </c>
      <c r="F115">
        <v>2853</v>
      </c>
      <c r="G115">
        <v>412.47</v>
      </c>
      <c r="H115">
        <v>64498</v>
      </c>
      <c r="I115">
        <v>97</v>
      </c>
      <c r="J115" t="s">
        <v>13</v>
      </c>
    </row>
    <row r="116" spans="1:10" x14ac:dyDescent="0.2">
      <c r="A116" s="1">
        <v>46040</v>
      </c>
      <c r="B116" t="s">
        <v>15</v>
      </c>
      <c r="C116" t="s">
        <v>16</v>
      </c>
      <c r="D116" t="s">
        <v>12</v>
      </c>
      <c r="E116">
        <v>103020</v>
      </c>
      <c r="F116">
        <v>4227</v>
      </c>
      <c r="G116">
        <v>620.15</v>
      </c>
      <c r="H116">
        <v>80430</v>
      </c>
      <c r="I116">
        <v>175</v>
      </c>
      <c r="J116" t="s">
        <v>13</v>
      </c>
    </row>
    <row r="117" spans="1:10" x14ac:dyDescent="0.2">
      <c r="A117" s="1">
        <v>46040</v>
      </c>
      <c r="B117" t="s">
        <v>15</v>
      </c>
      <c r="C117" t="s">
        <v>17</v>
      </c>
      <c r="D117" t="s">
        <v>12</v>
      </c>
      <c r="E117">
        <v>77016</v>
      </c>
      <c r="F117">
        <v>3174</v>
      </c>
      <c r="G117">
        <v>465.15</v>
      </c>
      <c r="H117">
        <v>57847</v>
      </c>
      <c r="I117">
        <v>117</v>
      </c>
      <c r="J117" t="s">
        <v>13</v>
      </c>
    </row>
    <row r="118" spans="1:10" x14ac:dyDescent="0.2">
      <c r="A118" s="1">
        <v>46040</v>
      </c>
      <c r="B118" t="s">
        <v>19</v>
      </c>
      <c r="C118" t="s">
        <v>11</v>
      </c>
      <c r="D118" t="s">
        <v>12</v>
      </c>
      <c r="E118">
        <v>113243</v>
      </c>
      <c r="F118">
        <v>4279</v>
      </c>
      <c r="G118">
        <v>754.48</v>
      </c>
      <c r="H118">
        <v>85785</v>
      </c>
      <c r="I118">
        <v>198</v>
      </c>
      <c r="J118" t="s">
        <v>13</v>
      </c>
    </row>
    <row r="119" spans="1:10" x14ac:dyDescent="0.2">
      <c r="A119" s="1">
        <v>46040</v>
      </c>
      <c r="B119" t="s">
        <v>19</v>
      </c>
      <c r="C119" t="s">
        <v>14</v>
      </c>
      <c r="D119" t="s">
        <v>12</v>
      </c>
      <c r="E119">
        <v>92393</v>
      </c>
      <c r="F119">
        <v>2706</v>
      </c>
      <c r="G119">
        <v>453.59</v>
      </c>
      <c r="H119">
        <v>72318</v>
      </c>
      <c r="I119">
        <v>66</v>
      </c>
      <c r="J119" t="s">
        <v>13</v>
      </c>
    </row>
    <row r="120" spans="1:10" x14ac:dyDescent="0.2">
      <c r="A120" s="1">
        <v>46040</v>
      </c>
      <c r="B120" t="s">
        <v>18</v>
      </c>
      <c r="C120" t="s">
        <v>11</v>
      </c>
      <c r="D120" t="s">
        <v>12</v>
      </c>
      <c r="E120">
        <v>111340</v>
      </c>
      <c r="F120">
        <v>4726</v>
      </c>
      <c r="G120">
        <v>775.14</v>
      </c>
      <c r="H120">
        <v>81512</v>
      </c>
      <c r="I120">
        <v>224</v>
      </c>
      <c r="J120" t="s">
        <v>13</v>
      </c>
    </row>
    <row r="121" spans="1:10" x14ac:dyDescent="0.2">
      <c r="A121" s="1">
        <v>46040</v>
      </c>
      <c r="B121" t="s">
        <v>18</v>
      </c>
      <c r="C121" t="s">
        <v>14</v>
      </c>
      <c r="D121" t="s">
        <v>12</v>
      </c>
      <c r="E121">
        <v>63536</v>
      </c>
      <c r="F121">
        <v>2154</v>
      </c>
      <c r="G121">
        <v>338.47</v>
      </c>
      <c r="H121">
        <v>48100</v>
      </c>
      <c r="I121">
        <v>75</v>
      </c>
      <c r="J121" t="s">
        <v>13</v>
      </c>
    </row>
    <row r="122" spans="1:10" x14ac:dyDescent="0.2">
      <c r="A122" s="1">
        <v>46041</v>
      </c>
      <c r="B122" t="s">
        <v>10</v>
      </c>
      <c r="C122" t="s">
        <v>11</v>
      </c>
      <c r="D122" t="s">
        <v>12</v>
      </c>
      <c r="E122">
        <v>84725</v>
      </c>
      <c r="F122">
        <v>2390</v>
      </c>
      <c r="G122">
        <v>374.76</v>
      </c>
      <c r="H122">
        <v>65155</v>
      </c>
      <c r="I122">
        <v>79</v>
      </c>
      <c r="J122" t="s">
        <v>13</v>
      </c>
    </row>
    <row r="123" spans="1:10" x14ac:dyDescent="0.2">
      <c r="A123" s="1">
        <v>46041</v>
      </c>
      <c r="B123" t="s">
        <v>10</v>
      </c>
      <c r="C123" t="s">
        <v>14</v>
      </c>
      <c r="D123" t="s">
        <v>12</v>
      </c>
      <c r="E123">
        <v>87472</v>
      </c>
      <c r="F123">
        <v>3394</v>
      </c>
      <c r="G123">
        <v>587.66999999999996</v>
      </c>
      <c r="H123">
        <v>69166</v>
      </c>
      <c r="I123">
        <v>113</v>
      </c>
      <c r="J123" t="s">
        <v>13</v>
      </c>
    </row>
    <row r="124" spans="1:10" x14ac:dyDescent="0.2">
      <c r="A124" s="1">
        <v>46041</v>
      </c>
      <c r="B124" t="s">
        <v>15</v>
      </c>
      <c r="C124" t="s">
        <v>16</v>
      </c>
      <c r="D124" t="s">
        <v>12</v>
      </c>
      <c r="E124">
        <v>108386</v>
      </c>
      <c r="F124">
        <v>4813</v>
      </c>
      <c r="G124">
        <v>725.82</v>
      </c>
      <c r="H124">
        <v>86797</v>
      </c>
      <c r="I124">
        <v>173</v>
      </c>
      <c r="J124" t="s">
        <v>13</v>
      </c>
    </row>
    <row r="125" spans="1:10" x14ac:dyDescent="0.2">
      <c r="A125" s="1">
        <v>46041</v>
      </c>
      <c r="B125" t="s">
        <v>15</v>
      </c>
      <c r="C125" t="s">
        <v>17</v>
      </c>
      <c r="D125" t="s">
        <v>12</v>
      </c>
      <c r="E125">
        <v>103372</v>
      </c>
      <c r="F125">
        <v>3711</v>
      </c>
      <c r="G125">
        <v>642.11</v>
      </c>
      <c r="H125">
        <v>80552</v>
      </c>
      <c r="I125">
        <v>112</v>
      </c>
      <c r="J125" t="s">
        <v>13</v>
      </c>
    </row>
    <row r="126" spans="1:10" x14ac:dyDescent="0.2">
      <c r="A126" s="1">
        <v>46041</v>
      </c>
      <c r="B126" t="s">
        <v>18</v>
      </c>
      <c r="C126" t="s">
        <v>11</v>
      </c>
      <c r="D126" t="s">
        <v>12</v>
      </c>
      <c r="E126">
        <v>72177</v>
      </c>
      <c r="F126">
        <v>3040</v>
      </c>
      <c r="G126">
        <v>436.14</v>
      </c>
      <c r="H126">
        <v>58330</v>
      </c>
      <c r="I126">
        <v>86</v>
      </c>
      <c r="J126" t="s">
        <v>13</v>
      </c>
    </row>
    <row r="127" spans="1:10" x14ac:dyDescent="0.2">
      <c r="A127" s="1">
        <v>46041</v>
      </c>
      <c r="B127" t="s">
        <v>18</v>
      </c>
      <c r="C127" t="s">
        <v>14</v>
      </c>
      <c r="D127" t="s">
        <v>12</v>
      </c>
      <c r="E127">
        <v>100910</v>
      </c>
      <c r="F127">
        <v>3803</v>
      </c>
      <c r="G127">
        <v>634.05999999999995</v>
      </c>
      <c r="H127">
        <v>76049</v>
      </c>
      <c r="I127">
        <v>132</v>
      </c>
      <c r="J127" t="s">
        <v>13</v>
      </c>
    </row>
    <row r="128" spans="1:10" x14ac:dyDescent="0.2">
      <c r="A128" s="1">
        <v>46042</v>
      </c>
      <c r="B128" t="s">
        <v>10</v>
      </c>
      <c r="C128" t="s">
        <v>11</v>
      </c>
      <c r="D128" t="s">
        <v>12</v>
      </c>
      <c r="E128">
        <v>82600</v>
      </c>
      <c r="F128">
        <v>2568</v>
      </c>
      <c r="G128">
        <v>381.31</v>
      </c>
      <c r="H128">
        <v>66062</v>
      </c>
      <c r="I128">
        <v>79</v>
      </c>
      <c r="J128" t="s">
        <v>13</v>
      </c>
    </row>
    <row r="129" spans="1:10" x14ac:dyDescent="0.2">
      <c r="A129" s="1">
        <v>46042</v>
      </c>
      <c r="B129" t="s">
        <v>10</v>
      </c>
      <c r="C129" t="s">
        <v>14</v>
      </c>
      <c r="D129" t="s">
        <v>12</v>
      </c>
      <c r="E129">
        <v>118139</v>
      </c>
      <c r="F129">
        <v>4716</v>
      </c>
      <c r="G129">
        <v>712.36</v>
      </c>
      <c r="H129">
        <v>85180</v>
      </c>
      <c r="I129">
        <v>219</v>
      </c>
      <c r="J129" t="s">
        <v>13</v>
      </c>
    </row>
    <row r="130" spans="1:10" x14ac:dyDescent="0.2">
      <c r="A130" s="1">
        <v>46042</v>
      </c>
      <c r="B130" t="s">
        <v>15</v>
      </c>
      <c r="C130" t="s">
        <v>16</v>
      </c>
      <c r="D130" t="s">
        <v>12</v>
      </c>
      <c r="E130">
        <v>51221</v>
      </c>
      <c r="F130">
        <v>1644</v>
      </c>
      <c r="G130">
        <v>256.89</v>
      </c>
      <c r="H130">
        <v>39722</v>
      </c>
      <c r="I130">
        <v>46</v>
      </c>
      <c r="J130" t="s">
        <v>13</v>
      </c>
    </row>
    <row r="131" spans="1:10" x14ac:dyDescent="0.2">
      <c r="A131" s="1">
        <v>46042</v>
      </c>
      <c r="B131" t="s">
        <v>15</v>
      </c>
      <c r="C131" t="s">
        <v>17</v>
      </c>
      <c r="D131" t="s">
        <v>12</v>
      </c>
      <c r="E131">
        <v>102402</v>
      </c>
      <c r="F131">
        <v>3991</v>
      </c>
      <c r="G131">
        <v>637.09</v>
      </c>
      <c r="H131">
        <v>81849</v>
      </c>
      <c r="I131">
        <v>97</v>
      </c>
      <c r="J131" t="s">
        <v>13</v>
      </c>
    </row>
    <row r="132" spans="1:10" x14ac:dyDescent="0.2">
      <c r="A132" s="1">
        <v>46042</v>
      </c>
      <c r="B132" t="s">
        <v>18</v>
      </c>
      <c r="C132" t="s">
        <v>11</v>
      </c>
      <c r="D132" t="s">
        <v>12</v>
      </c>
      <c r="E132">
        <v>69045</v>
      </c>
      <c r="F132">
        <v>2407</v>
      </c>
      <c r="G132">
        <v>360.41</v>
      </c>
      <c r="H132">
        <v>54296</v>
      </c>
      <c r="I132">
        <v>76</v>
      </c>
      <c r="J132" t="s">
        <v>13</v>
      </c>
    </row>
    <row r="133" spans="1:10" x14ac:dyDescent="0.2">
      <c r="A133" s="1">
        <v>46042</v>
      </c>
      <c r="B133" t="s">
        <v>18</v>
      </c>
      <c r="C133" t="s">
        <v>14</v>
      </c>
      <c r="D133" t="s">
        <v>12</v>
      </c>
      <c r="E133">
        <v>112544</v>
      </c>
      <c r="F133">
        <v>4167</v>
      </c>
      <c r="G133">
        <v>654.29999999999995</v>
      </c>
      <c r="H133">
        <v>89426</v>
      </c>
      <c r="I133">
        <v>127</v>
      </c>
      <c r="J133" t="s">
        <v>13</v>
      </c>
    </row>
    <row r="134" spans="1:10" x14ac:dyDescent="0.2">
      <c r="A134" s="1">
        <v>46043</v>
      </c>
      <c r="B134" t="s">
        <v>10</v>
      </c>
      <c r="C134" t="s">
        <v>11</v>
      </c>
      <c r="D134" t="s">
        <v>12</v>
      </c>
      <c r="E134">
        <v>99473</v>
      </c>
      <c r="F134">
        <v>3243</v>
      </c>
      <c r="G134">
        <v>486.63</v>
      </c>
      <c r="H134">
        <v>72820</v>
      </c>
      <c r="I134">
        <v>87</v>
      </c>
      <c r="J134" t="s">
        <v>13</v>
      </c>
    </row>
    <row r="135" spans="1:10" x14ac:dyDescent="0.2">
      <c r="A135" s="1">
        <v>46043</v>
      </c>
      <c r="B135" t="s">
        <v>10</v>
      </c>
      <c r="C135" t="s">
        <v>14</v>
      </c>
      <c r="D135" t="s">
        <v>12</v>
      </c>
      <c r="E135">
        <v>55670</v>
      </c>
      <c r="F135">
        <v>2261</v>
      </c>
      <c r="G135">
        <v>402.54</v>
      </c>
      <c r="H135">
        <v>43924</v>
      </c>
      <c r="I135">
        <v>61</v>
      </c>
      <c r="J135" t="s">
        <v>13</v>
      </c>
    </row>
    <row r="136" spans="1:10" x14ac:dyDescent="0.2">
      <c r="A136" s="1">
        <v>46043</v>
      </c>
      <c r="B136" t="s">
        <v>15</v>
      </c>
      <c r="C136" t="s">
        <v>16</v>
      </c>
      <c r="D136" t="s">
        <v>12</v>
      </c>
      <c r="E136">
        <v>103464</v>
      </c>
      <c r="F136">
        <v>3383</v>
      </c>
      <c r="G136">
        <v>553.4</v>
      </c>
      <c r="H136">
        <v>82359</v>
      </c>
      <c r="I136">
        <v>126</v>
      </c>
      <c r="J136" t="s">
        <v>13</v>
      </c>
    </row>
    <row r="137" spans="1:10" x14ac:dyDescent="0.2">
      <c r="A137" s="1">
        <v>46043</v>
      </c>
      <c r="B137" t="s">
        <v>15</v>
      </c>
      <c r="C137" t="s">
        <v>17</v>
      </c>
      <c r="D137" t="s">
        <v>12</v>
      </c>
      <c r="E137">
        <v>53176</v>
      </c>
      <c r="F137">
        <v>2241</v>
      </c>
      <c r="G137">
        <v>340.3</v>
      </c>
      <c r="H137">
        <v>40205</v>
      </c>
      <c r="I137">
        <v>66</v>
      </c>
      <c r="J137" t="s">
        <v>13</v>
      </c>
    </row>
    <row r="138" spans="1:10" x14ac:dyDescent="0.2">
      <c r="A138" s="1">
        <v>46043</v>
      </c>
      <c r="B138" t="s">
        <v>18</v>
      </c>
      <c r="C138" t="s">
        <v>11</v>
      </c>
      <c r="D138" t="s">
        <v>12</v>
      </c>
      <c r="E138">
        <v>110010</v>
      </c>
      <c r="F138">
        <v>3317</v>
      </c>
      <c r="G138">
        <v>470.42</v>
      </c>
      <c r="H138">
        <v>79807</v>
      </c>
      <c r="I138">
        <v>98</v>
      </c>
      <c r="J138" t="s">
        <v>13</v>
      </c>
    </row>
    <row r="139" spans="1:10" x14ac:dyDescent="0.2">
      <c r="A139" s="1">
        <v>46043</v>
      </c>
      <c r="B139" t="s">
        <v>18</v>
      </c>
      <c r="C139" t="s">
        <v>14</v>
      </c>
      <c r="D139" t="s">
        <v>12</v>
      </c>
      <c r="E139">
        <v>56551</v>
      </c>
      <c r="F139">
        <v>2196</v>
      </c>
      <c r="G139">
        <v>373.57</v>
      </c>
      <c r="H139">
        <v>41296</v>
      </c>
      <c r="I139">
        <v>49</v>
      </c>
      <c r="J139" t="s">
        <v>13</v>
      </c>
    </row>
    <row r="140" spans="1:10" x14ac:dyDescent="0.2">
      <c r="A140" s="1">
        <v>46044</v>
      </c>
      <c r="B140" t="s">
        <v>10</v>
      </c>
      <c r="C140" t="s">
        <v>11</v>
      </c>
      <c r="D140" t="s">
        <v>12</v>
      </c>
      <c r="E140">
        <v>77268</v>
      </c>
      <c r="F140">
        <v>2780</v>
      </c>
      <c r="G140">
        <v>438.18</v>
      </c>
      <c r="H140">
        <v>57057</v>
      </c>
      <c r="I140">
        <v>64</v>
      </c>
      <c r="J140" t="s">
        <v>13</v>
      </c>
    </row>
    <row r="141" spans="1:10" x14ac:dyDescent="0.2">
      <c r="A141" s="1">
        <v>46044</v>
      </c>
      <c r="B141" t="s">
        <v>10</v>
      </c>
      <c r="C141" t="s">
        <v>14</v>
      </c>
      <c r="D141" t="s">
        <v>12</v>
      </c>
      <c r="E141">
        <v>102616</v>
      </c>
      <c r="F141">
        <v>3072</v>
      </c>
      <c r="G141">
        <v>438.11</v>
      </c>
      <c r="H141">
        <v>78929</v>
      </c>
      <c r="I141">
        <v>113</v>
      </c>
      <c r="J141" t="s">
        <v>13</v>
      </c>
    </row>
    <row r="142" spans="1:10" x14ac:dyDescent="0.2">
      <c r="A142" s="1">
        <v>46044</v>
      </c>
      <c r="B142" t="s">
        <v>15</v>
      </c>
      <c r="C142" t="s">
        <v>16</v>
      </c>
      <c r="D142" t="s">
        <v>12</v>
      </c>
      <c r="E142">
        <v>129974</v>
      </c>
      <c r="F142">
        <v>3757</v>
      </c>
      <c r="G142">
        <v>548.4</v>
      </c>
      <c r="H142">
        <v>100896</v>
      </c>
      <c r="I142">
        <v>112</v>
      </c>
      <c r="J142" t="s">
        <v>13</v>
      </c>
    </row>
    <row r="143" spans="1:10" x14ac:dyDescent="0.2">
      <c r="A143" s="1">
        <v>46044</v>
      </c>
      <c r="B143" t="s">
        <v>15</v>
      </c>
      <c r="C143" t="s">
        <v>17</v>
      </c>
      <c r="D143" t="s">
        <v>12</v>
      </c>
      <c r="E143">
        <v>72530</v>
      </c>
      <c r="F143">
        <v>2176</v>
      </c>
      <c r="G143">
        <v>371.18</v>
      </c>
      <c r="H143">
        <v>56619</v>
      </c>
      <c r="I143">
        <v>92</v>
      </c>
      <c r="J143" t="s">
        <v>13</v>
      </c>
    </row>
    <row r="144" spans="1:10" x14ac:dyDescent="0.2">
      <c r="A144" s="1">
        <v>46044</v>
      </c>
      <c r="B144" t="s">
        <v>18</v>
      </c>
      <c r="C144" t="s">
        <v>11</v>
      </c>
      <c r="D144" t="s">
        <v>12</v>
      </c>
      <c r="E144">
        <v>69581</v>
      </c>
      <c r="F144">
        <v>2865</v>
      </c>
      <c r="G144">
        <v>444.69</v>
      </c>
      <c r="H144">
        <v>56419</v>
      </c>
      <c r="I144">
        <v>85</v>
      </c>
      <c r="J144" t="s">
        <v>13</v>
      </c>
    </row>
    <row r="145" spans="1:10" x14ac:dyDescent="0.2">
      <c r="A145" s="1">
        <v>46044</v>
      </c>
      <c r="B145" t="s">
        <v>18</v>
      </c>
      <c r="C145" t="s">
        <v>14</v>
      </c>
      <c r="D145" t="s">
        <v>12</v>
      </c>
      <c r="E145">
        <v>117139</v>
      </c>
      <c r="F145">
        <v>5251</v>
      </c>
      <c r="G145">
        <v>799.28</v>
      </c>
      <c r="H145">
        <v>91614</v>
      </c>
      <c r="I145">
        <v>198</v>
      </c>
      <c r="J145" t="s">
        <v>13</v>
      </c>
    </row>
    <row r="146" spans="1:10" x14ac:dyDescent="0.2">
      <c r="A146" s="1">
        <v>46045</v>
      </c>
      <c r="B146" t="s">
        <v>10</v>
      </c>
      <c r="C146" t="s">
        <v>11</v>
      </c>
      <c r="D146" t="s">
        <v>12</v>
      </c>
      <c r="E146">
        <v>53006</v>
      </c>
      <c r="F146">
        <v>2338</v>
      </c>
      <c r="G146">
        <v>346.75</v>
      </c>
      <c r="H146">
        <v>39282</v>
      </c>
      <c r="I146">
        <v>91</v>
      </c>
      <c r="J146" t="s">
        <v>13</v>
      </c>
    </row>
    <row r="147" spans="1:10" x14ac:dyDescent="0.2">
      <c r="A147" s="1">
        <v>46045</v>
      </c>
      <c r="B147" t="s">
        <v>10</v>
      </c>
      <c r="C147" t="s">
        <v>14</v>
      </c>
      <c r="D147" t="s">
        <v>12</v>
      </c>
      <c r="E147">
        <v>60585</v>
      </c>
      <c r="F147">
        <v>1943</v>
      </c>
      <c r="G147">
        <v>314.92</v>
      </c>
      <c r="H147">
        <v>44569</v>
      </c>
      <c r="I147">
        <v>63</v>
      </c>
      <c r="J147" t="s">
        <v>13</v>
      </c>
    </row>
    <row r="148" spans="1:10" x14ac:dyDescent="0.2">
      <c r="A148" s="1">
        <v>46045</v>
      </c>
      <c r="B148" t="s">
        <v>15</v>
      </c>
      <c r="C148" t="s">
        <v>16</v>
      </c>
      <c r="D148" t="s">
        <v>12</v>
      </c>
      <c r="E148">
        <v>117832</v>
      </c>
      <c r="F148">
        <v>4240</v>
      </c>
      <c r="G148">
        <v>599.14</v>
      </c>
      <c r="H148">
        <v>88233</v>
      </c>
      <c r="I148">
        <v>124</v>
      </c>
      <c r="J148" t="s">
        <v>13</v>
      </c>
    </row>
    <row r="149" spans="1:10" x14ac:dyDescent="0.2">
      <c r="A149" s="1">
        <v>46045</v>
      </c>
      <c r="B149" t="s">
        <v>15</v>
      </c>
      <c r="C149" t="s">
        <v>17</v>
      </c>
      <c r="D149" t="s">
        <v>12</v>
      </c>
      <c r="E149">
        <v>99510</v>
      </c>
      <c r="F149">
        <v>2906</v>
      </c>
      <c r="G149">
        <v>433.97</v>
      </c>
      <c r="H149">
        <v>74279</v>
      </c>
      <c r="I149">
        <v>123</v>
      </c>
      <c r="J149" t="s">
        <v>13</v>
      </c>
    </row>
    <row r="150" spans="1:10" x14ac:dyDescent="0.2">
      <c r="A150" s="1">
        <v>46045</v>
      </c>
      <c r="B150" t="s">
        <v>18</v>
      </c>
      <c r="C150" t="s">
        <v>11</v>
      </c>
      <c r="D150" t="s">
        <v>12</v>
      </c>
      <c r="E150">
        <v>117304</v>
      </c>
      <c r="F150">
        <v>4603</v>
      </c>
      <c r="G150">
        <v>816.33</v>
      </c>
      <c r="H150">
        <v>89445</v>
      </c>
      <c r="I150">
        <v>166</v>
      </c>
      <c r="J150" t="s">
        <v>13</v>
      </c>
    </row>
    <row r="151" spans="1:10" x14ac:dyDescent="0.2">
      <c r="A151" s="1">
        <v>46045</v>
      </c>
      <c r="B151" t="s">
        <v>18</v>
      </c>
      <c r="C151" t="s">
        <v>14</v>
      </c>
      <c r="D151" t="s">
        <v>12</v>
      </c>
      <c r="E151">
        <v>124886</v>
      </c>
      <c r="F151">
        <v>3813</v>
      </c>
      <c r="G151">
        <v>574.33000000000004</v>
      </c>
      <c r="H151">
        <v>91694</v>
      </c>
      <c r="I151">
        <v>89</v>
      </c>
      <c r="J151" t="s">
        <v>13</v>
      </c>
    </row>
    <row r="152" spans="1:10" x14ac:dyDescent="0.2">
      <c r="A152" s="1">
        <v>46046</v>
      </c>
      <c r="B152" t="s">
        <v>10</v>
      </c>
      <c r="C152" t="s">
        <v>11</v>
      </c>
      <c r="D152" t="s">
        <v>12</v>
      </c>
      <c r="E152">
        <v>112446</v>
      </c>
      <c r="F152">
        <v>4285</v>
      </c>
      <c r="G152">
        <v>741.17</v>
      </c>
      <c r="H152">
        <v>91319</v>
      </c>
      <c r="I152">
        <v>143</v>
      </c>
      <c r="J152" t="s">
        <v>13</v>
      </c>
    </row>
    <row r="153" spans="1:10" x14ac:dyDescent="0.2">
      <c r="A153" s="1">
        <v>46046</v>
      </c>
      <c r="B153" t="s">
        <v>10</v>
      </c>
      <c r="C153" t="s">
        <v>14</v>
      </c>
      <c r="D153" t="s">
        <v>12</v>
      </c>
      <c r="E153">
        <v>142006</v>
      </c>
      <c r="F153">
        <v>5638</v>
      </c>
      <c r="G153">
        <v>947.12</v>
      </c>
      <c r="H153">
        <v>115630</v>
      </c>
      <c r="I153">
        <v>197</v>
      </c>
      <c r="J153" t="s">
        <v>13</v>
      </c>
    </row>
    <row r="154" spans="1:10" x14ac:dyDescent="0.2">
      <c r="A154" s="1">
        <v>46046</v>
      </c>
      <c r="B154" t="s">
        <v>15</v>
      </c>
      <c r="C154" t="s">
        <v>16</v>
      </c>
      <c r="D154" t="s">
        <v>12</v>
      </c>
      <c r="E154">
        <v>146610</v>
      </c>
      <c r="F154">
        <v>5196</v>
      </c>
      <c r="G154">
        <v>851.74</v>
      </c>
      <c r="H154">
        <v>118599</v>
      </c>
      <c r="I154">
        <v>213</v>
      </c>
      <c r="J154" t="s">
        <v>13</v>
      </c>
    </row>
    <row r="155" spans="1:10" x14ac:dyDescent="0.2">
      <c r="A155" s="1">
        <v>46046</v>
      </c>
      <c r="B155" t="s">
        <v>15</v>
      </c>
      <c r="C155" t="s">
        <v>17</v>
      </c>
      <c r="D155" t="s">
        <v>12</v>
      </c>
      <c r="E155">
        <v>166780</v>
      </c>
      <c r="F155">
        <v>5379</v>
      </c>
      <c r="G155">
        <v>772.71</v>
      </c>
      <c r="H155">
        <v>136124</v>
      </c>
      <c r="I155">
        <v>235</v>
      </c>
      <c r="J155" t="s">
        <v>13</v>
      </c>
    </row>
    <row r="156" spans="1:10" x14ac:dyDescent="0.2">
      <c r="A156" s="1">
        <v>46046</v>
      </c>
      <c r="B156" t="s">
        <v>19</v>
      </c>
      <c r="C156" t="s">
        <v>11</v>
      </c>
      <c r="D156" t="s">
        <v>12</v>
      </c>
      <c r="E156">
        <v>161548</v>
      </c>
      <c r="F156">
        <v>6135</v>
      </c>
      <c r="G156">
        <v>863.99</v>
      </c>
      <c r="H156">
        <v>128669</v>
      </c>
      <c r="I156">
        <v>265</v>
      </c>
      <c r="J156" t="s">
        <v>13</v>
      </c>
    </row>
    <row r="157" spans="1:10" x14ac:dyDescent="0.2">
      <c r="A157" s="1">
        <v>46046</v>
      </c>
      <c r="B157" t="s">
        <v>19</v>
      </c>
      <c r="C157" t="s">
        <v>14</v>
      </c>
      <c r="D157" t="s">
        <v>12</v>
      </c>
      <c r="E157">
        <v>161740</v>
      </c>
      <c r="F157">
        <v>4639</v>
      </c>
      <c r="G157">
        <v>789.79</v>
      </c>
      <c r="H157">
        <v>124062</v>
      </c>
      <c r="I157">
        <v>180</v>
      </c>
      <c r="J157" t="s">
        <v>13</v>
      </c>
    </row>
    <row r="158" spans="1:10" x14ac:dyDescent="0.2">
      <c r="A158" s="1">
        <v>46046</v>
      </c>
      <c r="B158" t="s">
        <v>18</v>
      </c>
      <c r="C158" t="s">
        <v>11</v>
      </c>
      <c r="D158" t="s">
        <v>12</v>
      </c>
      <c r="E158">
        <v>107041</v>
      </c>
      <c r="F158">
        <v>3327</v>
      </c>
      <c r="G158">
        <v>543.67999999999995</v>
      </c>
      <c r="H158">
        <v>83864</v>
      </c>
      <c r="I158">
        <v>115</v>
      </c>
      <c r="J158" t="s">
        <v>13</v>
      </c>
    </row>
    <row r="159" spans="1:10" x14ac:dyDescent="0.2">
      <c r="A159" s="1">
        <v>46046</v>
      </c>
      <c r="B159" t="s">
        <v>18</v>
      </c>
      <c r="C159" t="s">
        <v>14</v>
      </c>
      <c r="D159" t="s">
        <v>12</v>
      </c>
      <c r="E159">
        <v>72742</v>
      </c>
      <c r="F159">
        <v>2617</v>
      </c>
      <c r="G159">
        <v>409.13</v>
      </c>
      <c r="H159">
        <v>54709</v>
      </c>
      <c r="I159">
        <v>64</v>
      </c>
      <c r="J159" t="s">
        <v>13</v>
      </c>
    </row>
    <row r="160" spans="1:10" x14ac:dyDescent="0.2">
      <c r="A160" s="1">
        <v>46047</v>
      </c>
      <c r="B160" t="s">
        <v>10</v>
      </c>
      <c r="C160" t="s">
        <v>11</v>
      </c>
      <c r="D160" t="s">
        <v>12</v>
      </c>
      <c r="E160">
        <v>85510</v>
      </c>
      <c r="F160">
        <v>2873</v>
      </c>
      <c r="G160">
        <v>481.94</v>
      </c>
      <c r="H160">
        <v>64031</v>
      </c>
      <c r="I160">
        <v>133</v>
      </c>
      <c r="J160" t="s">
        <v>13</v>
      </c>
    </row>
    <row r="161" spans="1:10" x14ac:dyDescent="0.2">
      <c r="A161" s="1">
        <v>46047</v>
      </c>
      <c r="B161" t="s">
        <v>10</v>
      </c>
      <c r="C161" t="s">
        <v>14</v>
      </c>
      <c r="D161" t="s">
        <v>12</v>
      </c>
      <c r="E161">
        <v>156942</v>
      </c>
      <c r="F161">
        <v>4492</v>
      </c>
      <c r="G161">
        <v>644.70000000000005</v>
      </c>
      <c r="H161">
        <v>116959</v>
      </c>
      <c r="I161">
        <v>112</v>
      </c>
      <c r="J161" t="s">
        <v>13</v>
      </c>
    </row>
    <row r="162" spans="1:10" x14ac:dyDescent="0.2">
      <c r="A162" s="1">
        <v>46047</v>
      </c>
      <c r="B162" t="s">
        <v>15</v>
      </c>
      <c r="C162" t="s">
        <v>16</v>
      </c>
      <c r="D162" t="s">
        <v>12</v>
      </c>
      <c r="E162">
        <v>130166</v>
      </c>
      <c r="F162">
        <v>5558</v>
      </c>
      <c r="G162">
        <v>961.52</v>
      </c>
      <c r="H162">
        <v>93734</v>
      </c>
      <c r="I162">
        <v>247</v>
      </c>
      <c r="J162" t="s">
        <v>13</v>
      </c>
    </row>
    <row r="163" spans="1:10" x14ac:dyDescent="0.2">
      <c r="A163" s="1">
        <v>46047</v>
      </c>
      <c r="B163" t="s">
        <v>15</v>
      </c>
      <c r="C163" t="s">
        <v>17</v>
      </c>
      <c r="D163" t="s">
        <v>12</v>
      </c>
      <c r="E163">
        <v>140772</v>
      </c>
      <c r="F163">
        <v>4930</v>
      </c>
      <c r="G163">
        <v>727.19</v>
      </c>
      <c r="H163">
        <v>106448</v>
      </c>
      <c r="I163">
        <v>205</v>
      </c>
      <c r="J163" t="s">
        <v>13</v>
      </c>
    </row>
    <row r="164" spans="1:10" x14ac:dyDescent="0.2">
      <c r="A164" s="1">
        <v>46047</v>
      </c>
      <c r="B164" t="s">
        <v>19</v>
      </c>
      <c r="C164" t="s">
        <v>11</v>
      </c>
      <c r="D164" t="s">
        <v>12</v>
      </c>
      <c r="E164">
        <v>170762</v>
      </c>
      <c r="F164">
        <v>6064</v>
      </c>
      <c r="G164">
        <v>861.48</v>
      </c>
      <c r="H164">
        <v>127508</v>
      </c>
      <c r="I164">
        <v>154</v>
      </c>
      <c r="J164" t="s">
        <v>13</v>
      </c>
    </row>
    <row r="165" spans="1:10" x14ac:dyDescent="0.2">
      <c r="A165" s="1">
        <v>46047</v>
      </c>
      <c r="B165" t="s">
        <v>19</v>
      </c>
      <c r="C165" t="s">
        <v>14</v>
      </c>
      <c r="D165" t="s">
        <v>12</v>
      </c>
      <c r="E165">
        <v>108852</v>
      </c>
      <c r="F165">
        <v>3858</v>
      </c>
      <c r="G165">
        <v>647.87</v>
      </c>
      <c r="H165">
        <v>79695</v>
      </c>
      <c r="I165">
        <v>182</v>
      </c>
      <c r="J165" t="s">
        <v>13</v>
      </c>
    </row>
    <row r="166" spans="1:10" x14ac:dyDescent="0.2">
      <c r="A166" s="1">
        <v>46047</v>
      </c>
      <c r="B166" t="s">
        <v>18</v>
      </c>
      <c r="C166" t="s">
        <v>11</v>
      </c>
      <c r="D166" t="s">
        <v>12</v>
      </c>
      <c r="E166">
        <v>167728</v>
      </c>
      <c r="F166">
        <v>6975</v>
      </c>
      <c r="G166">
        <v>1174.53</v>
      </c>
      <c r="H166">
        <v>125976</v>
      </c>
      <c r="I166">
        <v>155</v>
      </c>
      <c r="J166" t="s">
        <v>13</v>
      </c>
    </row>
    <row r="167" spans="1:10" x14ac:dyDescent="0.2">
      <c r="A167" s="1">
        <v>46047</v>
      </c>
      <c r="B167" t="s">
        <v>18</v>
      </c>
      <c r="C167" t="s">
        <v>14</v>
      </c>
      <c r="D167" t="s">
        <v>12</v>
      </c>
      <c r="E167">
        <v>130866</v>
      </c>
      <c r="F167">
        <v>3871</v>
      </c>
      <c r="G167">
        <v>695.58</v>
      </c>
      <c r="H167">
        <v>106170</v>
      </c>
      <c r="I167">
        <v>131</v>
      </c>
      <c r="J167" t="s">
        <v>13</v>
      </c>
    </row>
    <row r="168" spans="1:10" x14ac:dyDescent="0.2">
      <c r="A168" s="1">
        <v>46048</v>
      </c>
      <c r="B168" t="s">
        <v>10</v>
      </c>
      <c r="C168" t="s">
        <v>11</v>
      </c>
      <c r="D168" t="s">
        <v>12</v>
      </c>
      <c r="E168">
        <v>55396</v>
      </c>
      <c r="F168">
        <v>2161</v>
      </c>
      <c r="G168">
        <v>315.85000000000002</v>
      </c>
      <c r="H168">
        <v>45051</v>
      </c>
      <c r="I168">
        <v>63</v>
      </c>
      <c r="J168" t="s">
        <v>13</v>
      </c>
    </row>
    <row r="169" spans="1:10" x14ac:dyDescent="0.2">
      <c r="A169" s="1">
        <v>46048</v>
      </c>
      <c r="B169" t="s">
        <v>10</v>
      </c>
      <c r="C169" t="s">
        <v>14</v>
      </c>
      <c r="D169" t="s">
        <v>12</v>
      </c>
      <c r="E169">
        <v>75838</v>
      </c>
      <c r="F169">
        <v>2659</v>
      </c>
      <c r="G169">
        <v>423.58</v>
      </c>
      <c r="H169">
        <v>58184</v>
      </c>
      <c r="I169">
        <v>90</v>
      </c>
      <c r="J169" t="s">
        <v>13</v>
      </c>
    </row>
    <row r="170" spans="1:10" x14ac:dyDescent="0.2">
      <c r="A170" s="1">
        <v>46048</v>
      </c>
      <c r="B170" t="s">
        <v>15</v>
      </c>
      <c r="C170" t="s">
        <v>16</v>
      </c>
      <c r="D170" t="s">
        <v>12</v>
      </c>
      <c r="E170">
        <v>58958</v>
      </c>
      <c r="F170">
        <v>2035</v>
      </c>
      <c r="G170">
        <v>359.94</v>
      </c>
      <c r="H170">
        <v>45446</v>
      </c>
      <c r="I170">
        <v>91</v>
      </c>
      <c r="J170" t="s">
        <v>13</v>
      </c>
    </row>
    <row r="171" spans="1:10" x14ac:dyDescent="0.2">
      <c r="A171" s="1">
        <v>46048</v>
      </c>
      <c r="B171" t="s">
        <v>15</v>
      </c>
      <c r="C171" t="s">
        <v>17</v>
      </c>
      <c r="D171" t="s">
        <v>12</v>
      </c>
      <c r="E171">
        <v>49150</v>
      </c>
      <c r="F171">
        <v>1607</v>
      </c>
      <c r="G171">
        <v>275.76</v>
      </c>
      <c r="H171">
        <v>37427</v>
      </c>
      <c r="I171">
        <v>74</v>
      </c>
      <c r="J171" t="s">
        <v>13</v>
      </c>
    </row>
    <row r="172" spans="1:10" x14ac:dyDescent="0.2">
      <c r="A172" s="1">
        <v>46048</v>
      </c>
      <c r="B172" t="s">
        <v>18</v>
      </c>
      <c r="C172" t="s">
        <v>11</v>
      </c>
      <c r="D172" t="s">
        <v>12</v>
      </c>
      <c r="E172">
        <v>106550</v>
      </c>
      <c r="F172">
        <v>3467</v>
      </c>
      <c r="G172">
        <v>485.74</v>
      </c>
      <c r="H172">
        <v>84452</v>
      </c>
      <c r="I172">
        <v>151</v>
      </c>
      <c r="J172" t="s">
        <v>13</v>
      </c>
    </row>
    <row r="173" spans="1:10" x14ac:dyDescent="0.2">
      <c r="A173" s="1">
        <v>46048</v>
      </c>
      <c r="B173" t="s">
        <v>18</v>
      </c>
      <c r="C173" t="s">
        <v>14</v>
      </c>
      <c r="D173" t="s">
        <v>12</v>
      </c>
      <c r="E173">
        <v>116011</v>
      </c>
      <c r="F173">
        <v>5218</v>
      </c>
      <c r="G173">
        <v>832.72</v>
      </c>
      <c r="H173">
        <v>85251</v>
      </c>
      <c r="I173">
        <v>187</v>
      </c>
      <c r="J173" t="s">
        <v>13</v>
      </c>
    </row>
    <row r="174" spans="1:10" x14ac:dyDescent="0.2">
      <c r="A174" s="1">
        <v>46049</v>
      </c>
      <c r="B174" t="s">
        <v>10</v>
      </c>
      <c r="C174" t="s">
        <v>11</v>
      </c>
      <c r="D174" t="s">
        <v>12</v>
      </c>
      <c r="E174">
        <v>85236</v>
      </c>
      <c r="F174">
        <v>2868</v>
      </c>
      <c r="G174">
        <v>489.04</v>
      </c>
      <c r="H174">
        <v>64585</v>
      </c>
      <c r="I174">
        <v>132</v>
      </c>
      <c r="J174" t="s">
        <v>13</v>
      </c>
    </row>
    <row r="175" spans="1:10" x14ac:dyDescent="0.2">
      <c r="A175" s="1">
        <v>46049</v>
      </c>
      <c r="B175" t="s">
        <v>10</v>
      </c>
      <c r="C175" t="s">
        <v>14</v>
      </c>
      <c r="D175" t="s">
        <v>12</v>
      </c>
      <c r="E175">
        <v>64727</v>
      </c>
      <c r="F175">
        <v>2891</v>
      </c>
      <c r="G175">
        <v>432.36</v>
      </c>
      <c r="H175">
        <v>49082</v>
      </c>
      <c r="I175">
        <v>127</v>
      </c>
      <c r="J175" t="s">
        <v>13</v>
      </c>
    </row>
    <row r="176" spans="1:10" x14ac:dyDescent="0.2">
      <c r="A176" s="1">
        <v>46049</v>
      </c>
      <c r="B176" t="s">
        <v>15</v>
      </c>
      <c r="C176" t="s">
        <v>16</v>
      </c>
      <c r="D176" t="s">
        <v>12</v>
      </c>
      <c r="E176">
        <v>93841</v>
      </c>
      <c r="F176">
        <v>2697</v>
      </c>
      <c r="G176">
        <v>457.92</v>
      </c>
      <c r="H176">
        <v>74183</v>
      </c>
      <c r="I176">
        <v>116</v>
      </c>
      <c r="J176" t="s">
        <v>13</v>
      </c>
    </row>
    <row r="177" spans="1:10" x14ac:dyDescent="0.2">
      <c r="A177" s="1">
        <v>46049</v>
      </c>
      <c r="B177" t="s">
        <v>15</v>
      </c>
      <c r="C177" t="s">
        <v>17</v>
      </c>
      <c r="D177" t="s">
        <v>12</v>
      </c>
      <c r="E177">
        <v>90604</v>
      </c>
      <c r="F177">
        <v>4059</v>
      </c>
      <c r="G177">
        <v>696.91</v>
      </c>
      <c r="H177">
        <v>71142</v>
      </c>
      <c r="I177">
        <v>105</v>
      </c>
      <c r="J177" t="s">
        <v>13</v>
      </c>
    </row>
    <row r="178" spans="1:10" x14ac:dyDescent="0.2">
      <c r="A178" s="1">
        <v>46049</v>
      </c>
      <c r="B178" t="s">
        <v>18</v>
      </c>
      <c r="C178" t="s">
        <v>11</v>
      </c>
      <c r="D178" t="s">
        <v>12</v>
      </c>
      <c r="E178">
        <v>44852</v>
      </c>
      <c r="F178">
        <v>1352</v>
      </c>
      <c r="G178">
        <v>241.49</v>
      </c>
      <c r="H178">
        <v>33782</v>
      </c>
      <c r="I178">
        <v>33</v>
      </c>
      <c r="J178" t="s">
        <v>13</v>
      </c>
    </row>
    <row r="179" spans="1:10" x14ac:dyDescent="0.2">
      <c r="A179" s="1">
        <v>46049</v>
      </c>
      <c r="B179" t="s">
        <v>18</v>
      </c>
      <c r="C179" t="s">
        <v>14</v>
      </c>
      <c r="D179" t="s">
        <v>12</v>
      </c>
      <c r="E179">
        <v>97711</v>
      </c>
      <c r="F179">
        <v>2901</v>
      </c>
      <c r="G179">
        <v>511.79</v>
      </c>
      <c r="H179">
        <v>70501</v>
      </c>
      <c r="I179">
        <v>74</v>
      </c>
      <c r="J179" t="s">
        <v>13</v>
      </c>
    </row>
    <row r="180" spans="1:10" x14ac:dyDescent="0.2">
      <c r="A180" s="1">
        <v>46050</v>
      </c>
      <c r="B180" t="s">
        <v>10</v>
      </c>
      <c r="C180" t="s">
        <v>11</v>
      </c>
      <c r="D180" t="s">
        <v>12</v>
      </c>
      <c r="E180">
        <v>125823</v>
      </c>
      <c r="F180">
        <v>5597</v>
      </c>
      <c r="G180">
        <v>800.33</v>
      </c>
      <c r="H180">
        <v>100425</v>
      </c>
      <c r="I180">
        <v>161</v>
      </c>
      <c r="J180" t="s">
        <v>13</v>
      </c>
    </row>
    <row r="181" spans="1:10" x14ac:dyDescent="0.2">
      <c r="A181" s="1">
        <v>46050</v>
      </c>
      <c r="B181" t="s">
        <v>10</v>
      </c>
      <c r="C181" t="s">
        <v>14</v>
      </c>
      <c r="D181" t="s">
        <v>12</v>
      </c>
      <c r="E181">
        <v>121691</v>
      </c>
      <c r="F181">
        <v>4840</v>
      </c>
      <c r="G181">
        <v>803.41</v>
      </c>
      <c r="H181">
        <v>97982</v>
      </c>
      <c r="I181">
        <v>213</v>
      </c>
      <c r="J181" t="s">
        <v>13</v>
      </c>
    </row>
    <row r="182" spans="1:10" x14ac:dyDescent="0.2">
      <c r="A182" s="1">
        <v>46050</v>
      </c>
      <c r="B182" t="s">
        <v>15</v>
      </c>
      <c r="C182" t="s">
        <v>16</v>
      </c>
      <c r="D182" t="s">
        <v>12</v>
      </c>
      <c r="E182">
        <v>109942</v>
      </c>
      <c r="F182">
        <v>3788</v>
      </c>
      <c r="G182">
        <v>578.29999999999995</v>
      </c>
      <c r="H182">
        <v>87059</v>
      </c>
      <c r="I182">
        <v>158</v>
      </c>
      <c r="J182" t="s">
        <v>13</v>
      </c>
    </row>
    <row r="183" spans="1:10" x14ac:dyDescent="0.2">
      <c r="A183" s="1">
        <v>46050</v>
      </c>
      <c r="B183" t="s">
        <v>15</v>
      </c>
      <c r="C183" t="s">
        <v>17</v>
      </c>
      <c r="D183" t="s">
        <v>12</v>
      </c>
      <c r="E183">
        <v>110912</v>
      </c>
      <c r="F183">
        <v>3173</v>
      </c>
      <c r="G183">
        <v>452.9</v>
      </c>
      <c r="H183">
        <v>86856</v>
      </c>
      <c r="I183">
        <v>145</v>
      </c>
      <c r="J183" t="s">
        <v>13</v>
      </c>
    </row>
    <row r="184" spans="1:10" x14ac:dyDescent="0.2">
      <c r="A184" s="1">
        <v>46050</v>
      </c>
      <c r="B184" t="s">
        <v>18</v>
      </c>
      <c r="C184" t="s">
        <v>11</v>
      </c>
      <c r="D184" t="s">
        <v>12</v>
      </c>
      <c r="E184">
        <v>69817</v>
      </c>
      <c r="F184">
        <v>2841</v>
      </c>
      <c r="G184">
        <v>447.06</v>
      </c>
      <c r="H184">
        <v>50955</v>
      </c>
      <c r="I184">
        <v>109</v>
      </c>
      <c r="J184" t="s">
        <v>13</v>
      </c>
    </row>
    <row r="185" spans="1:10" x14ac:dyDescent="0.2">
      <c r="A185" s="1">
        <v>46050</v>
      </c>
      <c r="B185" t="s">
        <v>18</v>
      </c>
      <c r="C185" t="s">
        <v>14</v>
      </c>
      <c r="D185" t="s">
        <v>12</v>
      </c>
      <c r="E185">
        <v>53173</v>
      </c>
      <c r="F185">
        <v>1889</v>
      </c>
      <c r="G185">
        <v>316.89999999999998</v>
      </c>
      <c r="H185">
        <v>43088</v>
      </c>
      <c r="I185">
        <v>43</v>
      </c>
      <c r="J185" t="s">
        <v>13</v>
      </c>
    </row>
    <row r="186" spans="1:10" x14ac:dyDescent="0.2">
      <c r="A186" s="1">
        <v>46051</v>
      </c>
      <c r="B186" t="s">
        <v>10</v>
      </c>
      <c r="C186" t="s">
        <v>11</v>
      </c>
      <c r="D186" t="s">
        <v>12</v>
      </c>
      <c r="E186">
        <v>47355</v>
      </c>
      <c r="F186">
        <v>1562</v>
      </c>
      <c r="G186">
        <v>242.1</v>
      </c>
      <c r="H186">
        <v>34784</v>
      </c>
      <c r="I186">
        <v>55</v>
      </c>
      <c r="J186" t="s">
        <v>13</v>
      </c>
    </row>
    <row r="187" spans="1:10" x14ac:dyDescent="0.2">
      <c r="A187" s="1">
        <v>46051</v>
      </c>
      <c r="B187" t="s">
        <v>10</v>
      </c>
      <c r="C187" t="s">
        <v>14</v>
      </c>
      <c r="D187" t="s">
        <v>12</v>
      </c>
      <c r="E187">
        <v>114177</v>
      </c>
      <c r="F187">
        <v>4520</v>
      </c>
      <c r="G187">
        <v>665.35</v>
      </c>
      <c r="H187">
        <v>84206</v>
      </c>
      <c r="I187">
        <v>171</v>
      </c>
      <c r="J187" t="s">
        <v>13</v>
      </c>
    </row>
    <row r="188" spans="1:10" x14ac:dyDescent="0.2">
      <c r="A188" s="1">
        <v>46051</v>
      </c>
      <c r="B188" t="s">
        <v>15</v>
      </c>
      <c r="C188" t="s">
        <v>16</v>
      </c>
      <c r="D188" t="s">
        <v>12</v>
      </c>
      <c r="E188">
        <v>90140</v>
      </c>
      <c r="F188">
        <v>3473</v>
      </c>
      <c r="G188">
        <v>519.67999999999995</v>
      </c>
      <c r="H188">
        <v>73129</v>
      </c>
      <c r="I188">
        <v>89</v>
      </c>
      <c r="J188" t="s">
        <v>13</v>
      </c>
    </row>
    <row r="189" spans="1:10" x14ac:dyDescent="0.2">
      <c r="A189" s="1">
        <v>46051</v>
      </c>
      <c r="B189" t="s">
        <v>15</v>
      </c>
      <c r="C189" t="s">
        <v>17</v>
      </c>
      <c r="D189" t="s">
        <v>12</v>
      </c>
      <c r="E189">
        <v>100443</v>
      </c>
      <c r="F189">
        <v>3901</v>
      </c>
      <c r="G189">
        <v>617.85</v>
      </c>
      <c r="H189">
        <v>79016</v>
      </c>
      <c r="I189">
        <v>176</v>
      </c>
      <c r="J189" t="s">
        <v>13</v>
      </c>
    </row>
    <row r="190" spans="1:10" x14ac:dyDescent="0.2">
      <c r="A190" s="1">
        <v>46051</v>
      </c>
      <c r="B190" t="s">
        <v>18</v>
      </c>
      <c r="C190" t="s">
        <v>11</v>
      </c>
      <c r="D190" t="s">
        <v>12</v>
      </c>
      <c r="E190">
        <v>100981</v>
      </c>
      <c r="F190">
        <v>4374</v>
      </c>
      <c r="G190">
        <v>730.91</v>
      </c>
      <c r="H190">
        <v>74301</v>
      </c>
      <c r="I190">
        <v>146</v>
      </c>
      <c r="J190" t="s">
        <v>13</v>
      </c>
    </row>
    <row r="191" spans="1:10" x14ac:dyDescent="0.2">
      <c r="A191" s="1">
        <v>46051</v>
      </c>
      <c r="B191" t="s">
        <v>18</v>
      </c>
      <c r="C191" t="s">
        <v>14</v>
      </c>
      <c r="D191" t="s">
        <v>12</v>
      </c>
      <c r="E191">
        <v>85293</v>
      </c>
      <c r="F191">
        <v>3820</v>
      </c>
      <c r="G191">
        <v>580.51</v>
      </c>
      <c r="H191">
        <v>69616</v>
      </c>
      <c r="I191">
        <v>152</v>
      </c>
      <c r="J191" t="s">
        <v>13</v>
      </c>
    </row>
    <row r="192" spans="1:10" x14ac:dyDescent="0.2">
      <c r="A192" s="1">
        <v>46052</v>
      </c>
      <c r="B192" t="s">
        <v>10</v>
      </c>
      <c r="C192" t="s">
        <v>11</v>
      </c>
      <c r="D192" t="s">
        <v>12</v>
      </c>
      <c r="E192">
        <v>99878</v>
      </c>
      <c r="F192">
        <v>4231</v>
      </c>
      <c r="G192">
        <v>626.05999999999995</v>
      </c>
      <c r="H192">
        <v>75754</v>
      </c>
      <c r="I192">
        <v>146</v>
      </c>
      <c r="J192" t="s">
        <v>13</v>
      </c>
    </row>
    <row r="193" spans="1:10" x14ac:dyDescent="0.2">
      <c r="A193" s="1">
        <v>46052</v>
      </c>
      <c r="B193" t="s">
        <v>10</v>
      </c>
      <c r="C193" t="s">
        <v>14</v>
      </c>
      <c r="D193" t="s">
        <v>12</v>
      </c>
      <c r="E193">
        <v>71091</v>
      </c>
      <c r="F193">
        <v>2451</v>
      </c>
      <c r="G193">
        <v>378.33</v>
      </c>
      <c r="H193">
        <v>53288</v>
      </c>
      <c r="I193">
        <v>98</v>
      </c>
      <c r="J193" t="s">
        <v>13</v>
      </c>
    </row>
    <row r="194" spans="1:10" x14ac:dyDescent="0.2">
      <c r="A194" s="1">
        <v>46052</v>
      </c>
      <c r="B194" t="s">
        <v>15</v>
      </c>
      <c r="C194" t="s">
        <v>16</v>
      </c>
      <c r="D194" t="s">
        <v>12</v>
      </c>
      <c r="E194">
        <v>42875</v>
      </c>
      <c r="F194">
        <v>1913</v>
      </c>
      <c r="G194">
        <v>318.19</v>
      </c>
      <c r="H194">
        <v>32046</v>
      </c>
      <c r="I194">
        <v>70</v>
      </c>
      <c r="J194" t="s">
        <v>13</v>
      </c>
    </row>
    <row r="195" spans="1:10" x14ac:dyDescent="0.2">
      <c r="A195" s="1">
        <v>46052</v>
      </c>
      <c r="B195" t="s">
        <v>15</v>
      </c>
      <c r="C195" t="s">
        <v>17</v>
      </c>
      <c r="D195" t="s">
        <v>12</v>
      </c>
      <c r="E195">
        <v>129889</v>
      </c>
      <c r="F195">
        <v>5355</v>
      </c>
      <c r="G195">
        <v>958.25</v>
      </c>
      <c r="H195">
        <v>105347</v>
      </c>
      <c r="I195">
        <v>221</v>
      </c>
      <c r="J195" t="s">
        <v>13</v>
      </c>
    </row>
    <row r="196" spans="1:10" x14ac:dyDescent="0.2">
      <c r="A196" s="1">
        <v>46052</v>
      </c>
      <c r="B196" t="s">
        <v>18</v>
      </c>
      <c r="C196" t="s">
        <v>11</v>
      </c>
      <c r="D196" t="s">
        <v>12</v>
      </c>
      <c r="E196">
        <v>77512</v>
      </c>
      <c r="F196">
        <v>3192</v>
      </c>
      <c r="G196">
        <v>476.26</v>
      </c>
      <c r="H196">
        <v>62024</v>
      </c>
      <c r="I196">
        <v>88</v>
      </c>
      <c r="J196" t="s">
        <v>13</v>
      </c>
    </row>
    <row r="197" spans="1:10" x14ac:dyDescent="0.2">
      <c r="A197" s="1">
        <v>46052</v>
      </c>
      <c r="B197" t="s">
        <v>18</v>
      </c>
      <c r="C197" t="s">
        <v>14</v>
      </c>
      <c r="D197" t="s">
        <v>12</v>
      </c>
      <c r="E197">
        <v>64920</v>
      </c>
      <c r="F197">
        <v>2503</v>
      </c>
      <c r="G197">
        <v>418.28</v>
      </c>
      <c r="H197">
        <v>51422</v>
      </c>
      <c r="I197">
        <v>97</v>
      </c>
      <c r="J197" t="s">
        <v>13</v>
      </c>
    </row>
    <row r="198" spans="1:10" x14ac:dyDescent="0.2">
      <c r="A198" s="1">
        <v>46053</v>
      </c>
      <c r="B198" t="s">
        <v>10</v>
      </c>
      <c r="C198" t="s">
        <v>11</v>
      </c>
      <c r="D198" t="s">
        <v>12</v>
      </c>
      <c r="E198">
        <v>81097</v>
      </c>
      <c r="F198">
        <v>3136</v>
      </c>
      <c r="G198">
        <v>552.36</v>
      </c>
      <c r="H198">
        <v>63631</v>
      </c>
      <c r="I198">
        <v>94</v>
      </c>
      <c r="J198" t="s">
        <v>13</v>
      </c>
    </row>
    <row r="199" spans="1:10" x14ac:dyDescent="0.2">
      <c r="A199" s="1">
        <v>46053</v>
      </c>
      <c r="B199" t="s">
        <v>10</v>
      </c>
      <c r="C199" t="s">
        <v>14</v>
      </c>
      <c r="D199" t="s">
        <v>12</v>
      </c>
      <c r="E199">
        <v>136890</v>
      </c>
      <c r="F199">
        <v>3910</v>
      </c>
      <c r="G199">
        <v>604.46</v>
      </c>
      <c r="H199">
        <v>100359</v>
      </c>
      <c r="I199">
        <v>178</v>
      </c>
      <c r="J199" t="s">
        <v>13</v>
      </c>
    </row>
    <row r="200" spans="1:10" x14ac:dyDescent="0.2">
      <c r="A200" s="1">
        <v>46053</v>
      </c>
      <c r="B200" t="s">
        <v>15</v>
      </c>
      <c r="C200" t="s">
        <v>16</v>
      </c>
      <c r="D200" t="s">
        <v>12</v>
      </c>
      <c r="E200">
        <v>115952</v>
      </c>
      <c r="F200">
        <v>4720</v>
      </c>
      <c r="G200">
        <v>693.96</v>
      </c>
      <c r="H200">
        <v>85017</v>
      </c>
      <c r="I200">
        <v>170</v>
      </c>
      <c r="J200" t="s">
        <v>13</v>
      </c>
    </row>
    <row r="201" spans="1:10" x14ac:dyDescent="0.2">
      <c r="A201" s="1">
        <v>46053</v>
      </c>
      <c r="B201" t="s">
        <v>15</v>
      </c>
      <c r="C201" t="s">
        <v>17</v>
      </c>
      <c r="D201" t="s">
        <v>12</v>
      </c>
      <c r="E201">
        <v>123134</v>
      </c>
      <c r="F201">
        <v>4558</v>
      </c>
      <c r="G201">
        <v>804.67</v>
      </c>
      <c r="H201">
        <v>98882</v>
      </c>
      <c r="I201">
        <v>130</v>
      </c>
      <c r="J201" t="s">
        <v>13</v>
      </c>
    </row>
    <row r="202" spans="1:10" x14ac:dyDescent="0.2">
      <c r="A202" s="1">
        <v>46053</v>
      </c>
      <c r="B202" t="s">
        <v>19</v>
      </c>
      <c r="C202" t="s">
        <v>11</v>
      </c>
      <c r="D202" t="s">
        <v>12</v>
      </c>
      <c r="E202">
        <v>144418</v>
      </c>
      <c r="F202">
        <v>6418</v>
      </c>
      <c r="G202">
        <v>974.29</v>
      </c>
      <c r="H202">
        <v>116551</v>
      </c>
      <c r="I202">
        <v>275</v>
      </c>
      <c r="J202" t="s">
        <v>13</v>
      </c>
    </row>
    <row r="203" spans="1:10" x14ac:dyDescent="0.2">
      <c r="A203" s="1">
        <v>46053</v>
      </c>
      <c r="B203" t="s">
        <v>19</v>
      </c>
      <c r="C203" t="s">
        <v>14</v>
      </c>
      <c r="D203" t="s">
        <v>12</v>
      </c>
      <c r="E203">
        <v>141939</v>
      </c>
      <c r="F203">
        <v>6297</v>
      </c>
      <c r="G203">
        <v>917.03</v>
      </c>
      <c r="H203">
        <v>115914</v>
      </c>
      <c r="I203">
        <v>279</v>
      </c>
      <c r="J203" t="s">
        <v>13</v>
      </c>
    </row>
    <row r="204" spans="1:10" x14ac:dyDescent="0.2">
      <c r="A204" s="1">
        <v>46053</v>
      </c>
      <c r="B204" t="s">
        <v>18</v>
      </c>
      <c r="C204" t="s">
        <v>11</v>
      </c>
      <c r="D204" t="s">
        <v>12</v>
      </c>
      <c r="E204">
        <v>179753</v>
      </c>
      <c r="F204">
        <v>8027</v>
      </c>
      <c r="G204">
        <v>1434.35</v>
      </c>
      <c r="H204">
        <v>143884</v>
      </c>
      <c r="I204">
        <v>252</v>
      </c>
      <c r="J204" t="s">
        <v>13</v>
      </c>
    </row>
    <row r="205" spans="1:10" x14ac:dyDescent="0.2">
      <c r="A205" s="1">
        <v>46053</v>
      </c>
      <c r="B205" t="s">
        <v>18</v>
      </c>
      <c r="C205" t="s">
        <v>14</v>
      </c>
      <c r="D205" t="s">
        <v>12</v>
      </c>
      <c r="E205">
        <v>128403</v>
      </c>
      <c r="F205">
        <v>3625</v>
      </c>
      <c r="G205">
        <v>585.29999999999995</v>
      </c>
      <c r="H205">
        <v>98289</v>
      </c>
      <c r="I205">
        <v>143</v>
      </c>
      <c r="J205" t="s">
        <v>13</v>
      </c>
    </row>
    <row r="206" spans="1:10" x14ac:dyDescent="0.2">
      <c r="A206" s="1">
        <v>46054</v>
      </c>
      <c r="B206" t="s">
        <v>10</v>
      </c>
      <c r="C206" t="s">
        <v>11</v>
      </c>
      <c r="D206" t="s">
        <v>12</v>
      </c>
      <c r="E206">
        <v>179375</v>
      </c>
      <c r="F206">
        <v>5821</v>
      </c>
      <c r="G206">
        <v>903.66</v>
      </c>
      <c r="H206">
        <v>140603</v>
      </c>
      <c r="I206">
        <v>184</v>
      </c>
      <c r="J206" t="s">
        <v>13</v>
      </c>
    </row>
    <row r="207" spans="1:10" x14ac:dyDescent="0.2">
      <c r="A207" s="1">
        <v>46054</v>
      </c>
      <c r="B207" t="s">
        <v>10</v>
      </c>
      <c r="C207" t="s">
        <v>14</v>
      </c>
      <c r="D207" t="s">
        <v>12</v>
      </c>
      <c r="E207">
        <v>179832</v>
      </c>
      <c r="F207">
        <v>5750</v>
      </c>
      <c r="G207">
        <v>810.76</v>
      </c>
      <c r="H207">
        <v>145380</v>
      </c>
      <c r="I207">
        <v>210</v>
      </c>
      <c r="J207" t="s">
        <v>13</v>
      </c>
    </row>
    <row r="208" spans="1:10" x14ac:dyDescent="0.2">
      <c r="A208" s="1">
        <v>46054</v>
      </c>
      <c r="B208" t="s">
        <v>15</v>
      </c>
      <c r="C208" t="s">
        <v>16</v>
      </c>
      <c r="D208" t="s">
        <v>12</v>
      </c>
      <c r="E208">
        <v>167949</v>
      </c>
      <c r="F208">
        <v>5334</v>
      </c>
      <c r="G208">
        <v>760.25</v>
      </c>
      <c r="H208">
        <v>134759</v>
      </c>
      <c r="I208">
        <v>243</v>
      </c>
      <c r="J208" t="s">
        <v>13</v>
      </c>
    </row>
    <row r="209" spans="1:10" x14ac:dyDescent="0.2">
      <c r="A209" s="1">
        <v>46054</v>
      </c>
      <c r="B209" t="s">
        <v>15</v>
      </c>
      <c r="C209" t="s">
        <v>17</v>
      </c>
      <c r="D209" t="s">
        <v>12</v>
      </c>
      <c r="E209">
        <v>111451</v>
      </c>
      <c r="F209">
        <v>4350</v>
      </c>
      <c r="G209">
        <v>629.29999999999995</v>
      </c>
      <c r="H209">
        <v>80750</v>
      </c>
      <c r="I209">
        <v>99</v>
      </c>
      <c r="J209" t="s">
        <v>13</v>
      </c>
    </row>
    <row r="210" spans="1:10" x14ac:dyDescent="0.2">
      <c r="A210" s="1">
        <v>46054</v>
      </c>
      <c r="B210" t="s">
        <v>19</v>
      </c>
      <c r="C210" t="s">
        <v>11</v>
      </c>
      <c r="D210" t="s">
        <v>12</v>
      </c>
      <c r="E210">
        <v>146396</v>
      </c>
      <c r="F210">
        <v>4388</v>
      </c>
      <c r="G210">
        <v>655.53</v>
      </c>
      <c r="H210">
        <v>113274</v>
      </c>
      <c r="I210">
        <v>140</v>
      </c>
      <c r="J210" t="s">
        <v>13</v>
      </c>
    </row>
    <row r="211" spans="1:10" x14ac:dyDescent="0.2">
      <c r="A211" s="1">
        <v>46054</v>
      </c>
      <c r="B211" t="s">
        <v>19</v>
      </c>
      <c r="C211" t="s">
        <v>14</v>
      </c>
      <c r="D211" t="s">
        <v>12</v>
      </c>
      <c r="E211">
        <v>124080</v>
      </c>
      <c r="F211">
        <v>4888</v>
      </c>
      <c r="G211">
        <v>829.62</v>
      </c>
      <c r="H211">
        <v>101075</v>
      </c>
      <c r="I211">
        <v>160</v>
      </c>
      <c r="J211" t="s">
        <v>13</v>
      </c>
    </row>
    <row r="212" spans="1:10" x14ac:dyDescent="0.2">
      <c r="A212" s="1">
        <v>46054</v>
      </c>
      <c r="B212" t="s">
        <v>20</v>
      </c>
      <c r="C212" t="s">
        <v>11</v>
      </c>
      <c r="D212" t="s">
        <v>12</v>
      </c>
      <c r="E212">
        <v>84354</v>
      </c>
      <c r="F212">
        <v>3631</v>
      </c>
      <c r="G212">
        <v>603.46</v>
      </c>
      <c r="H212">
        <v>67767</v>
      </c>
      <c r="I212">
        <v>138</v>
      </c>
      <c r="J212" t="s">
        <v>13</v>
      </c>
    </row>
    <row r="213" spans="1:10" x14ac:dyDescent="0.2">
      <c r="A213" s="1">
        <v>46054</v>
      </c>
      <c r="B213" t="s">
        <v>20</v>
      </c>
      <c r="C213" t="s">
        <v>14</v>
      </c>
      <c r="D213" t="s">
        <v>12</v>
      </c>
      <c r="E213">
        <v>107332</v>
      </c>
      <c r="F213">
        <v>3064</v>
      </c>
      <c r="G213">
        <v>474.37</v>
      </c>
      <c r="H213">
        <v>82037</v>
      </c>
      <c r="I213">
        <v>143</v>
      </c>
      <c r="J213" t="s">
        <v>13</v>
      </c>
    </row>
    <row r="214" spans="1:10" x14ac:dyDescent="0.2">
      <c r="A214" s="1">
        <v>46055</v>
      </c>
      <c r="B214" t="s">
        <v>10</v>
      </c>
      <c r="C214" t="s">
        <v>11</v>
      </c>
      <c r="D214" t="s">
        <v>12</v>
      </c>
      <c r="E214">
        <v>87537</v>
      </c>
      <c r="F214">
        <v>2598</v>
      </c>
      <c r="G214">
        <v>434.98</v>
      </c>
      <c r="H214">
        <v>67792</v>
      </c>
      <c r="I214">
        <v>123</v>
      </c>
      <c r="J214" t="s">
        <v>13</v>
      </c>
    </row>
    <row r="215" spans="1:10" x14ac:dyDescent="0.2">
      <c r="A215" s="1">
        <v>46055</v>
      </c>
      <c r="B215" t="s">
        <v>10</v>
      </c>
      <c r="C215" t="s">
        <v>14</v>
      </c>
      <c r="D215" t="s">
        <v>12</v>
      </c>
      <c r="E215">
        <v>87012</v>
      </c>
      <c r="F215">
        <v>2525</v>
      </c>
      <c r="G215">
        <v>381.36</v>
      </c>
      <c r="H215">
        <v>71073</v>
      </c>
      <c r="I215">
        <v>117</v>
      </c>
      <c r="J215" t="s">
        <v>13</v>
      </c>
    </row>
    <row r="216" spans="1:10" x14ac:dyDescent="0.2">
      <c r="A216" s="1">
        <v>46055</v>
      </c>
      <c r="B216" t="s">
        <v>15</v>
      </c>
      <c r="C216" t="s">
        <v>16</v>
      </c>
      <c r="D216" t="s">
        <v>12</v>
      </c>
      <c r="E216">
        <v>99600</v>
      </c>
      <c r="F216">
        <v>2944</v>
      </c>
      <c r="G216">
        <v>437.14</v>
      </c>
      <c r="H216">
        <v>78081</v>
      </c>
      <c r="I216">
        <v>139</v>
      </c>
      <c r="J216" t="s">
        <v>13</v>
      </c>
    </row>
    <row r="217" spans="1:10" x14ac:dyDescent="0.2">
      <c r="A217" s="1">
        <v>46055</v>
      </c>
      <c r="B217" t="s">
        <v>15</v>
      </c>
      <c r="C217" t="s">
        <v>17</v>
      </c>
      <c r="D217" t="s">
        <v>12</v>
      </c>
      <c r="E217">
        <v>46629</v>
      </c>
      <c r="F217">
        <v>1929</v>
      </c>
      <c r="G217">
        <v>288.85000000000002</v>
      </c>
      <c r="H217">
        <v>34160</v>
      </c>
      <c r="I217">
        <v>70</v>
      </c>
      <c r="J217" t="s">
        <v>13</v>
      </c>
    </row>
    <row r="218" spans="1:10" x14ac:dyDescent="0.2">
      <c r="A218" s="1">
        <v>46055</v>
      </c>
      <c r="B218" t="s">
        <v>20</v>
      </c>
      <c r="C218" t="s">
        <v>11</v>
      </c>
      <c r="D218" t="s">
        <v>12</v>
      </c>
      <c r="E218">
        <v>48992</v>
      </c>
      <c r="F218">
        <v>2062</v>
      </c>
      <c r="G218">
        <v>334.39</v>
      </c>
      <c r="H218">
        <v>38147</v>
      </c>
      <c r="I218">
        <v>88</v>
      </c>
      <c r="J218" t="s">
        <v>13</v>
      </c>
    </row>
    <row r="219" spans="1:10" x14ac:dyDescent="0.2">
      <c r="A219" s="1">
        <v>46055</v>
      </c>
      <c r="B219" t="s">
        <v>20</v>
      </c>
      <c r="C219" t="s">
        <v>14</v>
      </c>
      <c r="D219" t="s">
        <v>12</v>
      </c>
      <c r="E219">
        <v>70539</v>
      </c>
      <c r="F219">
        <v>2369</v>
      </c>
      <c r="G219">
        <v>345.64</v>
      </c>
      <c r="H219">
        <v>57140</v>
      </c>
      <c r="I219">
        <v>52</v>
      </c>
      <c r="J219" t="s">
        <v>13</v>
      </c>
    </row>
    <row r="220" spans="1:10" x14ac:dyDescent="0.2">
      <c r="A220" s="1">
        <v>46056</v>
      </c>
      <c r="B220" t="s">
        <v>10</v>
      </c>
      <c r="C220" t="s">
        <v>11</v>
      </c>
      <c r="D220" t="s">
        <v>12</v>
      </c>
      <c r="E220">
        <v>58964</v>
      </c>
      <c r="F220">
        <v>2640</v>
      </c>
      <c r="G220">
        <v>426.65</v>
      </c>
      <c r="H220">
        <v>47162</v>
      </c>
      <c r="I220">
        <v>65</v>
      </c>
      <c r="J220" t="s">
        <v>13</v>
      </c>
    </row>
    <row r="221" spans="1:10" x14ac:dyDescent="0.2">
      <c r="A221" s="1">
        <v>46056</v>
      </c>
      <c r="B221" t="s">
        <v>10</v>
      </c>
      <c r="C221" t="s">
        <v>14</v>
      </c>
      <c r="D221" t="s">
        <v>12</v>
      </c>
      <c r="E221">
        <v>43379</v>
      </c>
      <c r="F221">
        <v>1311</v>
      </c>
      <c r="G221">
        <v>202.33</v>
      </c>
      <c r="H221">
        <v>34653</v>
      </c>
      <c r="I221">
        <v>48</v>
      </c>
      <c r="J221" t="s">
        <v>13</v>
      </c>
    </row>
    <row r="222" spans="1:10" x14ac:dyDescent="0.2">
      <c r="A222" s="1">
        <v>46056</v>
      </c>
      <c r="B222" t="s">
        <v>15</v>
      </c>
      <c r="C222" t="s">
        <v>16</v>
      </c>
      <c r="D222" t="s">
        <v>12</v>
      </c>
      <c r="E222">
        <v>42068</v>
      </c>
      <c r="F222">
        <v>1302</v>
      </c>
      <c r="G222">
        <v>185.01</v>
      </c>
      <c r="H222">
        <v>33409</v>
      </c>
      <c r="I222">
        <v>46</v>
      </c>
      <c r="J222" t="s">
        <v>13</v>
      </c>
    </row>
    <row r="223" spans="1:10" x14ac:dyDescent="0.2">
      <c r="A223" s="1">
        <v>46056</v>
      </c>
      <c r="B223" t="s">
        <v>15</v>
      </c>
      <c r="C223" t="s">
        <v>17</v>
      </c>
      <c r="D223" t="s">
        <v>12</v>
      </c>
      <c r="E223">
        <v>48330</v>
      </c>
      <c r="F223">
        <v>1744</v>
      </c>
      <c r="G223">
        <v>298.43</v>
      </c>
      <c r="H223">
        <v>37278</v>
      </c>
      <c r="I223">
        <v>43</v>
      </c>
      <c r="J223" t="s">
        <v>13</v>
      </c>
    </row>
    <row r="224" spans="1:10" x14ac:dyDescent="0.2">
      <c r="A224" s="1">
        <v>46056</v>
      </c>
      <c r="B224" t="s">
        <v>20</v>
      </c>
      <c r="C224" t="s">
        <v>11</v>
      </c>
      <c r="D224" t="s">
        <v>12</v>
      </c>
      <c r="E224">
        <v>106039</v>
      </c>
      <c r="F224">
        <v>3368</v>
      </c>
      <c r="G224">
        <v>554.39</v>
      </c>
      <c r="H224">
        <v>84059</v>
      </c>
      <c r="I224">
        <v>153</v>
      </c>
      <c r="J224" t="s">
        <v>13</v>
      </c>
    </row>
    <row r="225" spans="1:10" x14ac:dyDescent="0.2">
      <c r="A225" s="1">
        <v>46056</v>
      </c>
      <c r="B225" t="s">
        <v>20</v>
      </c>
      <c r="C225" t="s">
        <v>14</v>
      </c>
      <c r="D225" t="s">
        <v>12</v>
      </c>
      <c r="E225">
        <v>126363</v>
      </c>
      <c r="F225">
        <v>4658</v>
      </c>
      <c r="G225">
        <v>737.46</v>
      </c>
      <c r="H225">
        <v>103163</v>
      </c>
      <c r="I225">
        <v>109</v>
      </c>
      <c r="J225" t="s">
        <v>13</v>
      </c>
    </row>
    <row r="226" spans="1:10" x14ac:dyDescent="0.2">
      <c r="A226" s="1">
        <v>46057</v>
      </c>
      <c r="B226" t="s">
        <v>10</v>
      </c>
      <c r="C226" t="s">
        <v>11</v>
      </c>
      <c r="D226" t="s">
        <v>12</v>
      </c>
      <c r="E226">
        <v>102781</v>
      </c>
      <c r="F226">
        <v>4358</v>
      </c>
      <c r="G226">
        <v>684.43</v>
      </c>
      <c r="H226">
        <v>75111</v>
      </c>
      <c r="I226">
        <v>176</v>
      </c>
      <c r="J226" t="s">
        <v>13</v>
      </c>
    </row>
    <row r="227" spans="1:10" x14ac:dyDescent="0.2">
      <c r="A227" s="1">
        <v>46057</v>
      </c>
      <c r="B227" t="s">
        <v>10</v>
      </c>
      <c r="C227" t="s">
        <v>14</v>
      </c>
      <c r="D227" t="s">
        <v>12</v>
      </c>
      <c r="E227">
        <v>98138</v>
      </c>
      <c r="F227">
        <v>2870</v>
      </c>
      <c r="G227">
        <v>411.07</v>
      </c>
      <c r="H227">
        <v>76629</v>
      </c>
      <c r="I227">
        <v>68</v>
      </c>
      <c r="J227" t="s">
        <v>13</v>
      </c>
    </row>
    <row r="228" spans="1:10" x14ac:dyDescent="0.2">
      <c r="A228" s="1">
        <v>46057</v>
      </c>
      <c r="B228" t="s">
        <v>15</v>
      </c>
      <c r="C228" t="s">
        <v>16</v>
      </c>
      <c r="D228" t="s">
        <v>12</v>
      </c>
      <c r="E228">
        <v>76046</v>
      </c>
      <c r="F228">
        <v>2936</v>
      </c>
      <c r="G228">
        <v>479.79</v>
      </c>
      <c r="H228">
        <v>60168</v>
      </c>
      <c r="I228">
        <v>93</v>
      </c>
      <c r="J228" t="s">
        <v>13</v>
      </c>
    </row>
    <row r="229" spans="1:10" x14ac:dyDescent="0.2">
      <c r="A229" s="1">
        <v>46057</v>
      </c>
      <c r="B229" t="s">
        <v>15</v>
      </c>
      <c r="C229" t="s">
        <v>17</v>
      </c>
      <c r="D229" t="s">
        <v>12</v>
      </c>
      <c r="E229">
        <v>118301</v>
      </c>
      <c r="F229">
        <v>4379</v>
      </c>
      <c r="G229">
        <v>692.53</v>
      </c>
      <c r="H229">
        <v>92338</v>
      </c>
      <c r="I229">
        <v>107</v>
      </c>
      <c r="J229" t="s">
        <v>13</v>
      </c>
    </row>
    <row r="230" spans="1:10" x14ac:dyDescent="0.2">
      <c r="A230" s="1">
        <v>46057</v>
      </c>
      <c r="B230" t="s">
        <v>20</v>
      </c>
      <c r="C230" t="s">
        <v>11</v>
      </c>
      <c r="D230" t="s">
        <v>12</v>
      </c>
      <c r="E230">
        <v>54996</v>
      </c>
      <c r="F230">
        <v>2337</v>
      </c>
      <c r="G230">
        <v>388.03</v>
      </c>
      <c r="H230">
        <v>43826</v>
      </c>
      <c r="I230">
        <v>95</v>
      </c>
      <c r="J230" t="s">
        <v>13</v>
      </c>
    </row>
    <row r="231" spans="1:10" x14ac:dyDescent="0.2">
      <c r="A231" s="1">
        <v>46057</v>
      </c>
      <c r="B231" t="s">
        <v>20</v>
      </c>
      <c r="C231" t="s">
        <v>14</v>
      </c>
      <c r="D231" t="s">
        <v>12</v>
      </c>
      <c r="E231">
        <v>68183</v>
      </c>
      <c r="F231">
        <v>2407</v>
      </c>
      <c r="G231">
        <v>422.49</v>
      </c>
      <c r="H231">
        <v>51913</v>
      </c>
      <c r="I231">
        <v>104</v>
      </c>
      <c r="J231" t="s">
        <v>13</v>
      </c>
    </row>
    <row r="232" spans="1:10" x14ac:dyDescent="0.2">
      <c r="A232" s="1">
        <v>46058</v>
      </c>
      <c r="B232" t="s">
        <v>10</v>
      </c>
      <c r="C232" t="s">
        <v>11</v>
      </c>
      <c r="D232" t="s">
        <v>12</v>
      </c>
      <c r="E232">
        <v>92262</v>
      </c>
      <c r="F232">
        <v>3235</v>
      </c>
      <c r="G232">
        <v>465.2</v>
      </c>
      <c r="H232">
        <v>70366</v>
      </c>
      <c r="I232">
        <v>127</v>
      </c>
      <c r="J232" t="s">
        <v>13</v>
      </c>
    </row>
    <row r="233" spans="1:10" x14ac:dyDescent="0.2">
      <c r="A233" s="1">
        <v>46058</v>
      </c>
      <c r="B233" t="s">
        <v>10</v>
      </c>
      <c r="C233" t="s">
        <v>14</v>
      </c>
      <c r="D233" t="s">
        <v>12</v>
      </c>
      <c r="E233">
        <v>89060</v>
      </c>
      <c r="F233">
        <v>3937</v>
      </c>
      <c r="G233">
        <v>659.34</v>
      </c>
      <c r="H233">
        <v>68347</v>
      </c>
      <c r="I233">
        <v>95</v>
      </c>
      <c r="J233" t="s">
        <v>13</v>
      </c>
    </row>
    <row r="234" spans="1:10" x14ac:dyDescent="0.2">
      <c r="A234" s="1">
        <v>46058</v>
      </c>
      <c r="B234" t="s">
        <v>15</v>
      </c>
      <c r="C234" t="s">
        <v>16</v>
      </c>
      <c r="D234" t="s">
        <v>12</v>
      </c>
      <c r="E234">
        <v>51188</v>
      </c>
      <c r="F234">
        <v>1514</v>
      </c>
      <c r="G234">
        <v>217.81</v>
      </c>
      <c r="H234">
        <v>40637</v>
      </c>
      <c r="I234">
        <v>65</v>
      </c>
      <c r="J234" t="s">
        <v>13</v>
      </c>
    </row>
    <row r="235" spans="1:10" x14ac:dyDescent="0.2">
      <c r="A235" s="1">
        <v>46058</v>
      </c>
      <c r="B235" t="s">
        <v>15</v>
      </c>
      <c r="C235" t="s">
        <v>17</v>
      </c>
      <c r="D235" t="s">
        <v>12</v>
      </c>
      <c r="E235">
        <v>112924</v>
      </c>
      <c r="F235">
        <v>3277</v>
      </c>
      <c r="G235">
        <v>584.16999999999996</v>
      </c>
      <c r="H235">
        <v>87648</v>
      </c>
      <c r="I235">
        <v>129</v>
      </c>
      <c r="J235" t="s">
        <v>13</v>
      </c>
    </row>
    <row r="236" spans="1:10" x14ac:dyDescent="0.2">
      <c r="A236" s="1">
        <v>46058</v>
      </c>
      <c r="B236" t="s">
        <v>20</v>
      </c>
      <c r="C236" t="s">
        <v>11</v>
      </c>
      <c r="D236" t="s">
        <v>12</v>
      </c>
      <c r="E236">
        <v>93845</v>
      </c>
      <c r="F236">
        <v>3191</v>
      </c>
      <c r="G236">
        <v>531.66</v>
      </c>
      <c r="H236">
        <v>74609</v>
      </c>
      <c r="I236">
        <v>142</v>
      </c>
      <c r="J236" t="s">
        <v>13</v>
      </c>
    </row>
    <row r="237" spans="1:10" x14ac:dyDescent="0.2">
      <c r="A237" s="1">
        <v>46058</v>
      </c>
      <c r="B237" t="s">
        <v>20</v>
      </c>
      <c r="C237" t="s">
        <v>14</v>
      </c>
      <c r="D237" t="s">
        <v>12</v>
      </c>
      <c r="E237">
        <v>46743</v>
      </c>
      <c r="F237">
        <v>2078</v>
      </c>
      <c r="G237">
        <v>340.83</v>
      </c>
      <c r="H237">
        <v>35298</v>
      </c>
      <c r="I237">
        <v>76</v>
      </c>
      <c r="J237" t="s">
        <v>13</v>
      </c>
    </row>
    <row r="238" spans="1:10" x14ac:dyDescent="0.2">
      <c r="A238" s="1">
        <v>46059</v>
      </c>
      <c r="B238" t="s">
        <v>10</v>
      </c>
      <c r="C238" t="s">
        <v>11</v>
      </c>
      <c r="D238" t="s">
        <v>12</v>
      </c>
      <c r="E238">
        <v>67884</v>
      </c>
      <c r="F238">
        <v>2079</v>
      </c>
      <c r="G238">
        <v>331.16</v>
      </c>
      <c r="H238">
        <v>54628</v>
      </c>
      <c r="I238">
        <v>64</v>
      </c>
      <c r="J238" t="s">
        <v>13</v>
      </c>
    </row>
    <row r="239" spans="1:10" x14ac:dyDescent="0.2">
      <c r="A239" s="1">
        <v>46059</v>
      </c>
      <c r="B239" t="s">
        <v>10</v>
      </c>
      <c r="C239" t="s">
        <v>14</v>
      </c>
      <c r="D239" t="s">
        <v>12</v>
      </c>
      <c r="E239">
        <v>112910</v>
      </c>
      <c r="F239">
        <v>3867</v>
      </c>
      <c r="G239">
        <v>659.34</v>
      </c>
      <c r="H239">
        <v>87777</v>
      </c>
      <c r="I239">
        <v>166</v>
      </c>
      <c r="J239" t="s">
        <v>13</v>
      </c>
    </row>
    <row r="240" spans="1:10" x14ac:dyDescent="0.2">
      <c r="A240" s="1">
        <v>46059</v>
      </c>
      <c r="B240" t="s">
        <v>15</v>
      </c>
      <c r="C240" t="s">
        <v>16</v>
      </c>
      <c r="D240" t="s">
        <v>12</v>
      </c>
      <c r="E240">
        <v>113526</v>
      </c>
      <c r="F240">
        <v>5059</v>
      </c>
      <c r="G240">
        <v>873.88</v>
      </c>
      <c r="H240">
        <v>88704</v>
      </c>
      <c r="I240">
        <v>195</v>
      </c>
      <c r="J240" t="s">
        <v>13</v>
      </c>
    </row>
    <row r="241" spans="1:10" x14ac:dyDescent="0.2">
      <c r="A241" s="1">
        <v>46059</v>
      </c>
      <c r="B241" t="s">
        <v>15</v>
      </c>
      <c r="C241" t="s">
        <v>17</v>
      </c>
      <c r="D241" t="s">
        <v>12</v>
      </c>
      <c r="E241">
        <v>43441</v>
      </c>
      <c r="F241">
        <v>1666</v>
      </c>
      <c r="G241">
        <v>277.08</v>
      </c>
      <c r="H241">
        <v>34290</v>
      </c>
      <c r="I241">
        <v>37</v>
      </c>
      <c r="J241" t="s">
        <v>13</v>
      </c>
    </row>
    <row r="242" spans="1:10" x14ac:dyDescent="0.2">
      <c r="A242" s="1">
        <v>46059</v>
      </c>
      <c r="B242" t="s">
        <v>20</v>
      </c>
      <c r="C242" t="s">
        <v>11</v>
      </c>
      <c r="D242" t="s">
        <v>12</v>
      </c>
      <c r="E242">
        <v>75818</v>
      </c>
      <c r="F242">
        <v>3028</v>
      </c>
      <c r="G242">
        <v>461.34</v>
      </c>
      <c r="H242">
        <v>57165</v>
      </c>
      <c r="I242">
        <v>67</v>
      </c>
      <c r="J242" t="s">
        <v>13</v>
      </c>
    </row>
    <row r="243" spans="1:10" x14ac:dyDescent="0.2">
      <c r="A243" s="1">
        <v>46059</v>
      </c>
      <c r="B243" t="s">
        <v>20</v>
      </c>
      <c r="C243" t="s">
        <v>14</v>
      </c>
      <c r="D243" t="s">
        <v>12</v>
      </c>
      <c r="E243">
        <v>58776</v>
      </c>
      <c r="F243">
        <v>2211</v>
      </c>
      <c r="G243">
        <v>344.99</v>
      </c>
      <c r="H243">
        <v>43152</v>
      </c>
      <c r="I243">
        <v>85</v>
      </c>
      <c r="J243" t="s">
        <v>13</v>
      </c>
    </row>
    <row r="244" spans="1:10" x14ac:dyDescent="0.2">
      <c r="A244" s="1">
        <v>46060</v>
      </c>
      <c r="B244" t="s">
        <v>10</v>
      </c>
      <c r="C244" t="s">
        <v>11</v>
      </c>
      <c r="D244" t="s">
        <v>12</v>
      </c>
      <c r="E244">
        <v>61625</v>
      </c>
      <c r="F244">
        <v>1821</v>
      </c>
      <c r="G244">
        <v>293.58</v>
      </c>
      <c r="H244">
        <v>46688</v>
      </c>
      <c r="I244">
        <v>61</v>
      </c>
      <c r="J244" t="s">
        <v>13</v>
      </c>
    </row>
    <row r="245" spans="1:10" x14ac:dyDescent="0.2">
      <c r="A245" s="1">
        <v>46060</v>
      </c>
      <c r="B245" t="s">
        <v>10</v>
      </c>
      <c r="C245" t="s">
        <v>14</v>
      </c>
      <c r="D245" t="s">
        <v>12</v>
      </c>
      <c r="E245">
        <v>84883</v>
      </c>
      <c r="F245">
        <v>2910</v>
      </c>
      <c r="G245">
        <v>491.39</v>
      </c>
      <c r="H245">
        <v>67709</v>
      </c>
      <c r="I245">
        <v>106</v>
      </c>
      <c r="J245" t="s">
        <v>13</v>
      </c>
    </row>
    <row r="246" spans="1:10" x14ac:dyDescent="0.2">
      <c r="A246" s="1">
        <v>46060</v>
      </c>
      <c r="B246" t="s">
        <v>15</v>
      </c>
      <c r="C246" t="s">
        <v>16</v>
      </c>
      <c r="D246" t="s">
        <v>12</v>
      </c>
      <c r="E246">
        <v>71589</v>
      </c>
      <c r="F246">
        <v>3079</v>
      </c>
      <c r="G246">
        <v>450.22</v>
      </c>
      <c r="H246">
        <v>56945</v>
      </c>
      <c r="I246">
        <v>71</v>
      </c>
      <c r="J246" t="s">
        <v>13</v>
      </c>
    </row>
    <row r="247" spans="1:10" x14ac:dyDescent="0.2">
      <c r="A247" s="1">
        <v>46060</v>
      </c>
      <c r="B247" t="s">
        <v>15</v>
      </c>
      <c r="C247" t="s">
        <v>17</v>
      </c>
      <c r="D247" t="s">
        <v>12</v>
      </c>
      <c r="E247">
        <v>70970</v>
      </c>
      <c r="F247">
        <v>2315</v>
      </c>
      <c r="G247">
        <v>385.4</v>
      </c>
      <c r="H247">
        <v>54545</v>
      </c>
      <c r="I247">
        <v>77</v>
      </c>
      <c r="J247" t="s">
        <v>13</v>
      </c>
    </row>
    <row r="248" spans="1:10" x14ac:dyDescent="0.2">
      <c r="A248" s="1">
        <v>46060</v>
      </c>
      <c r="B248" t="s">
        <v>19</v>
      </c>
      <c r="C248" t="s">
        <v>11</v>
      </c>
      <c r="D248" t="s">
        <v>12</v>
      </c>
      <c r="E248">
        <v>106125</v>
      </c>
      <c r="F248">
        <v>3360</v>
      </c>
      <c r="G248">
        <v>539.26</v>
      </c>
      <c r="H248">
        <v>80073</v>
      </c>
      <c r="I248">
        <v>83</v>
      </c>
      <c r="J248" t="s">
        <v>13</v>
      </c>
    </row>
    <row r="249" spans="1:10" x14ac:dyDescent="0.2">
      <c r="A249" s="1">
        <v>46060</v>
      </c>
      <c r="B249" t="s">
        <v>19</v>
      </c>
      <c r="C249" t="s">
        <v>14</v>
      </c>
      <c r="D249" t="s">
        <v>12</v>
      </c>
      <c r="E249">
        <v>180453</v>
      </c>
      <c r="F249">
        <v>7134</v>
      </c>
      <c r="G249">
        <v>1137.6300000000001</v>
      </c>
      <c r="H249">
        <v>141964</v>
      </c>
      <c r="I249">
        <v>165</v>
      </c>
      <c r="J249" t="s">
        <v>13</v>
      </c>
    </row>
    <row r="250" spans="1:10" x14ac:dyDescent="0.2">
      <c r="A250" s="1">
        <v>46060</v>
      </c>
      <c r="B250" t="s">
        <v>20</v>
      </c>
      <c r="C250" t="s">
        <v>11</v>
      </c>
      <c r="D250" t="s">
        <v>12</v>
      </c>
      <c r="E250">
        <v>128529</v>
      </c>
      <c r="F250">
        <v>5749</v>
      </c>
      <c r="G250">
        <v>817.46</v>
      </c>
      <c r="H250">
        <v>95168</v>
      </c>
      <c r="I250">
        <v>267</v>
      </c>
      <c r="J250" t="s">
        <v>13</v>
      </c>
    </row>
    <row r="251" spans="1:10" x14ac:dyDescent="0.2">
      <c r="A251" s="1">
        <v>46060</v>
      </c>
      <c r="B251" t="s">
        <v>20</v>
      </c>
      <c r="C251" t="s">
        <v>14</v>
      </c>
      <c r="D251" t="s">
        <v>12</v>
      </c>
      <c r="E251">
        <v>81181</v>
      </c>
      <c r="F251">
        <v>3327</v>
      </c>
      <c r="G251">
        <v>504.3</v>
      </c>
      <c r="H251">
        <v>59424</v>
      </c>
      <c r="I251">
        <v>116</v>
      </c>
      <c r="J251" t="s">
        <v>13</v>
      </c>
    </row>
    <row r="252" spans="1:10" x14ac:dyDescent="0.2">
      <c r="A252" s="1">
        <v>46061</v>
      </c>
      <c r="B252" t="s">
        <v>10</v>
      </c>
      <c r="C252" t="s">
        <v>11</v>
      </c>
      <c r="D252" t="s">
        <v>12</v>
      </c>
      <c r="E252">
        <v>135024</v>
      </c>
      <c r="F252">
        <v>4183</v>
      </c>
      <c r="G252">
        <v>649.24</v>
      </c>
      <c r="H252">
        <v>106718</v>
      </c>
      <c r="I252">
        <v>146</v>
      </c>
      <c r="J252" t="s">
        <v>13</v>
      </c>
    </row>
    <row r="253" spans="1:10" x14ac:dyDescent="0.2">
      <c r="A253" s="1">
        <v>46061</v>
      </c>
      <c r="B253" t="s">
        <v>10</v>
      </c>
      <c r="C253" t="s">
        <v>14</v>
      </c>
      <c r="D253" t="s">
        <v>12</v>
      </c>
      <c r="E253">
        <v>178586</v>
      </c>
      <c r="F253">
        <v>7448</v>
      </c>
      <c r="G253">
        <v>1064.19</v>
      </c>
      <c r="H253">
        <v>143971</v>
      </c>
      <c r="I253">
        <v>172</v>
      </c>
      <c r="J253" t="s">
        <v>13</v>
      </c>
    </row>
    <row r="254" spans="1:10" x14ac:dyDescent="0.2">
      <c r="A254" s="1">
        <v>46061</v>
      </c>
      <c r="B254" t="s">
        <v>15</v>
      </c>
      <c r="C254" t="s">
        <v>16</v>
      </c>
      <c r="D254" t="s">
        <v>12</v>
      </c>
      <c r="E254">
        <v>59438</v>
      </c>
      <c r="F254">
        <v>2128</v>
      </c>
      <c r="G254">
        <v>304.55</v>
      </c>
      <c r="H254">
        <v>44656</v>
      </c>
      <c r="I254">
        <v>70</v>
      </c>
      <c r="J254" t="s">
        <v>13</v>
      </c>
    </row>
    <row r="255" spans="1:10" x14ac:dyDescent="0.2">
      <c r="A255" s="1">
        <v>46061</v>
      </c>
      <c r="B255" t="s">
        <v>15</v>
      </c>
      <c r="C255" t="s">
        <v>17</v>
      </c>
      <c r="D255" t="s">
        <v>12</v>
      </c>
      <c r="E255">
        <v>130211</v>
      </c>
      <c r="F255">
        <v>5216</v>
      </c>
      <c r="G255">
        <v>817.39</v>
      </c>
      <c r="H255">
        <v>95251</v>
      </c>
      <c r="I255">
        <v>117</v>
      </c>
      <c r="J255" t="s">
        <v>13</v>
      </c>
    </row>
    <row r="256" spans="1:10" x14ac:dyDescent="0.2">
      <c r="A256" s="1">
        <v>46061</v>
      </c>
      <c r="B256" t="s">
        <v>19</v>
      </c>
      <c r="C256" t="s">
        <v>11</v>
      </c>
      <c r="D256" t="s">
        <v>12</v>
      </c>
      <c r="E256">
        <v>115595</v>
      </c>
      <c r="F256">
        <v>3574</v>
      </c>
      <c r="G256">
        <v>635.83000000000004</v>
      </c>
      <c r="H256">
        <v>88546</v>
      </c>
      <c r="I256">
        <v>142</v>
      </c>
      <c r="J256" t="s">
        <v>13</v>
      </c>
    </row>
    <row r="257" spans="1:10" x14ac:dyDescent="0.2">
      <c r="A257" s="1">
        <v>46061</v>
      </c>
      <c r="B257" t="s">
        <v>19</v>
      </c>
      <c r="C257" t="s">
        <v>14</v>
      </c>
      <c r="D257" t="s">
        <v>12</v>
      </c>
      <c r="E257">
        <v>122399</v>
      </c>
      <c r="F257">
        <v>3610</v>
      </c>
      <c r="G257">
        <v>627.34</v>
      </c>
      <c r="H257">
        <v>91105</v>
      </c>
      <c r="I257">
        <v>134</v>
      </c>
      <c r="J257" t="s">
        <v>13</v>
      </c>
    </row>
    <row r="258" spans="1:10" x14ac:dyDescent="0.2">
      <c r="A258" s="1">
        <v>46061</v>
      </c>
      <c r="B258" t="s">
        <v>20</v>
      </c>
      <c r="C258" t="s">
        <v>11</v>
      </c>
      <c r="D258" t="s">
        <v>12</v>
      </c>
      <c r="E258">
        <v>152146</v>
      </c>
      <c r="F258">
        <v>4463</v>
      </c>
      <c r="G258">
        <v>780.23</v>
      </c>
      <c r="H258">
        <v>120892</v>
      </c>
      <c r="I258">
        <v>123</v>
      </c>
      <c r="J258" t="s">
        <v>13</v>
      </c>
    </row>
    <row r="259" spans="1:10" x14ac:dyDescent="0.2">
      <c r="A259" s="1">
        <v>46061</v>
      </c>
      <c r="B259" t="s">
        <v>20</v>
      </c>
      <c r="C259" t="s">
        <v>14</v>
      </c>
      <c r="D259" t="s">
        <v>12</v>
      </c>
      <c r="E259">
        <v>86851</v>
      </c>
      <c r="F259">
        <v>2544</v>
      </c>
      <c r="G259">
        <v>420.6</v>
      </c>
      <c r="H259">
        <v>67141</v>
      </c>
      <c r="I259">
        <v>68</v>
      </c>
      <c r="J259" t="s">
        <v>13</v>
      </c>
    </row>
    <row r="260" spans="1:10" x14ac:dyDescent="0.2">
      <c r="A260" s="1">
        <v>46062</v>
      </c>
      <c r="B260" t="s">
        <v>10</v>
      </c>
      <c r="C260" t="s">
        <v>11</v>
      </c>
      <c r="D260" t="s">
        <v>12</v>
      </c>
      <c r="E260">
        <v>137268</v>
      </c>
      <c r="F260">
        <v>4662</v>
      </c>
      <c r="G260">
        <v>831.37</v>
      </c>
      <c r="H260">
        <v>107692</v>
      </c>
      <c r="I260">
        <v>120</v>
      </c>
      <c r="J260" t="s">
        <v>13</v>
      </c>
    </row>
    <row r="261" spans="1:10" x14ac:dyDescent="0.2">
      <c r="A261" s="1">
        <v>46062</v>
      </c>
      <c r="B261" t="s">
        <v>10</v>
      </c>
      <c r="C261" t="s">
        <v>14</v>
      </c>
      <c r="D261" t="s">
        <v>12</v>
      </c>
      <c r="E261">
        <v>85558</v>
      </c>
      <c r="F261">
        <v>2608</v>
      </c>
      <c r="G261">
        <v>385.7</v>
      </c>
      <c r="H261">
        <v>66755</v>
      </c>
      <c r="I261">
        <v>108</v>
      </c>
      <c r="J261" t="s">
        <v>13</v>
      </c>
    </row>
    <row r="262" spans="1:10" x14ac:dyDescent="0.2">
      <c r="A262" s="1">
        <v>46062</v>
      </c>
      <c r="B262" t="s">
        <v>15</v>
      </c>
      <c r="C262" t="s">
        <v>16</v>
      </c>
      <c r="D262" t="s">
        <v>12</v>
      </c>
      <c r="E262">
        <v>201468</v>
      </c>
      <c r="F262">
        <v>5899</v>
      </c>
      <c r="G262">
        <v>1050.33</v>
      </c>
      <c r="H262">
        <v>157708</v>
      </c>
      <c r="I262">
        <v>200</v>
      </c>
      <c r="J262" t="s">
        <v>13</v>
      </c>
    </row>
    <row r="263" spans="1:10" x14ac:dyDescent="0.2">
      <c r="A263" s="1">
        <v>46062</v>
      </c>
      <c r="B263" t="s">
        <v>15</v>
      </c>
      <c r="C263" t="s">
        <v>17</v>
      </c>
      <c r="D263" t="s">
        <v>12</v>
      </c>
      <c r="E263">
        <v>182222</v>
      </c>
      <c r="F263">
        <v>7456</v>
      </c>
      <c r="G263">
        <v>1177.72</v>
      </c>
      <c r="H263">
        <v>148039</v>
      </c>
      <c r="I263">
        <v>273</v>
      </c>
      <c r="J263" t="s">
        <v>13</v>
      </c>
    </row>
    <row r="264" spans="1:10" x14ac:dyDescent="0.2">
      <c r="A264" s="1">
        <v>46062</v>
      </c>
      <c r="B264" t="s">
        <v>20</v>
      </c>
      <c r="C264" t="s">
        <v>11</v>
      </c>
      <c r="D264" t="s">
        <v>12</v>
      </c>
      <c r="E264">
        <v>197230</v>
      </c>
      <c r="F264">
        <v>8830</v>
      </c>
      <c r="G264">
        <v>1350.36</v>
      </c>
      <c r="H264">
        <v>161156</v>
      </c>
      <c r="I264">
        <v>266</v>
      </c>
      <c r="J264" t="s">
        <v>13</v>
      </c>
    </row>
    <row r="265" spans="1:10" x14ac:dyDescent="0.2">
      <c r="A265" s="1">
        <v>46062</v>
      </c>
      <c r="B265" t="s">
        <v>20</v>
      </c>
      <c r="C265" t="s">
        <v>14</v>
      </c>
      <c r="D265" t="s">
        <v>12</v>
      </c>
      <c r="E265">
        <v>156224</v>
      </c>
      <c r="F265">
        <v>4555</v>
      </c>
      <c r="G265">
        <v>718.27</v>
      </c>
      <c r="H265">
        <v>117212</v>
      </c>
      <c r="I265">
        <v>132</v>
      </c>
      <c r="J265" t="s">
        <v>13</v>
      </c>
    </row>
    <row r="266" spans="1:10" x14ac:dyDescent="0.2">
      <c r="A266" s="1">
        <v>46063</v>
      </c>
      <c r="B266" t="s">
        <v>10</v>
      </c>
      <c r="C266" t="s">
        <v>11</v>
      </c>
      <c r="D266" t="s">
        <v>12</v>
      </c>
      <c r="E266">
        <v>75779</v>
      </c>
      <c r="F266">
        <v>2575</v>
      </c>
      <c r="G266">
        <v>368.14</v>
      </c>
      <c r="H266">
        <v>58059</v>
      </c>
      <c r="I266">
        <v>59</v>
      </c>
      <c r="J266" t="s">
        <v>13</v>
      </c>
    </row>
    <row r="267" spans="1:10" x14ac:dyDescent="0.2">
      <c r="A267" s="1">
        <v>46063</v>
      </c>
      <c r="B267" t="s">
        <v>10</v>
      </c>
      <c r="C267" t="s">
        <v>14</v>
      </c>
      <c r="D267" t="s">
        <v>12</v>
      </c>
      <c r="E267">
        <v>141329</v>
      </c>
      <c r="F267">
        <v>5955</v>
      </c>
      <c r="G267">
        <v>851.98</v>
      </c>
      <c r="H267">
        <v>113971</v>
      </c>
      <c r="I267">
        <v>263</v>
      </c>
      <c r="J267" t="s">
        <v>13</v>
      </c>
    </row>
    <row r="268" spans="1:10" x14ac:dyDescent="0.2">
      <c r="A268" s="1">
        <v>46063</v>
      </c>
      <c r="B268" t="s">
        <v>15</v>
      </c>
      <c r="C268" t="s">
        <v>16</v>
      </c>
      <c r="D268" t="s">
        <v>12</v>
      </c>
      <c r="E268">
        <v>192976</v>
      </c>
      <c r="F268">
        <v>7352</v>
      </c>
      <c r="G268">
        <v>1142.3499999999999</v>
      </c>
      <c r="H268">
        <v>150141</v>
      </c>
      <c r="I268">
        <v>344</v>
      </c>
      <c r="J268" t="s">
        <v>13</v>
      </c>
    </row>
    <row r="269" spans="1:10" x14ac:dyDescent="0.2">
      <c r="A269" s="1">
        <v>46063</v>
      </c>
      <c r="B269" t="s">
        <v>15</v>
      </c>
      <c r="C269" t="s">
        <v>17</v>
      </c>
      <c r="D269" t="s">
        <v>12</v>
      </c>
      <c r="E269">
        <v>72601</v>
      </c>
      <c r="F269">
        <v>2587</v>
      </c>
      <c r="G269">
        <v>445.98</v>
      </c>
      <c r="H269">
        <v>57005</v>
      </c>
      <c r="I269">
        <v>78</v>
      </c>
      <c r="J269" t="s">
        <v>13</v>
      </c>
    </row>
    <row r="270" spans="1:10" x14ac:dyDescent="0.2">
      <c r="A270" s="1">
        <v>46063</v>
      </c>
      <c r="B270" t="s">
        <v>20</v>
      </c>
      <c r="C270" t="s">
        <v>11</v>
      </c>
      <c r="D270" t="s">
        <v>12</v>
      </c>
      <c r="E270">
        <v>163745</v>
      </c>
      <c r="F270">
        <v>5980</v>
      </c>
      <c r="G270">
        <v>1066.29</v>
      </c>
      <c r="H270">
        <v>125273</v>
      </c>
      <c r="I270">
        <v>257</v>
      </c>
      <c r="J270" t="s">
        <v>13</v>
      </c>
    </row>
    <row r="271" spans="1:10" x14ac:dyDescent="0.2">
      <c r="A271" s="1">
        <v>46063</v>
      </c>
      <c r="B271" t="s">
        <v>20</v>
      </c>
      <c r="C271" t="s">
        <v>14</v>
      </c>
      <c r="D271" t="s">
        <v>12</v>
      </c>
      <c r="E271">
        <v>136024</v>
      </c>
      <c r="F271">
        <v>6080</v>
      </c>
      <c r="G271">
        <v>871.71</v>
      </c>
      <c r="H271">
        <v>106726</v>
      </c>
      <c r="I271">
        <v>139</v>
      </c>
      <c r="J271" t="s">
        <v>13</v>
      </c>
    </row>
    <row r="272" spans="1:10" x14ac:dyDescent="0.2">
      <c r="A272" s="1">
        <v>46064</v>
      </c>
      <c r="B272" t="s">
        <v>10</v>
      </c>
      <c r="C272" t="s">
        <v>11</v>
      </c>
      <c r="D272" t="s">
        <v>12</v>
      </c>
      <c r="E272">
        <v>155803</v>
      </c>
      <c r="F272">
        <v>6987</v>
      </c>
      <c r="G272">
        <v>1124.6500000000001</v>
      </c>
      <c r="H272">
        <v>121679</v>
      </c>
      <c r="I272">
        <v>219</v>
      </c>
      <c r="J272" t="s">
        <v>13</v>
      </c>
    </row>
    <row r="273" spans="1:10" x14ac:dyDescent="0.2">
      <c r="A273" s="1">
        <v>46064</v>
      </c>
      <c r="B273" t="s">
        <v>10</v>
      </c>
      <c r="C273" t="s">
        <v>14</v>
      </c>
      <c r="D273" t="s">
        <v>12</v>
      </c>
      <c r="E273">
        <v>123326</v>
      </c>
      <c r="F273">
        <v>4265</v>
      </c>
      <c r="G273">
        <v>729.22</v>
      </c>
      <c r="H273">
        <v>97167</v>
      </c>
      <c r="I273">
        <v>99</v>
      </c>
      <c r="J273" t="s">
        <v>13</v>
      </c>
    </row>
    <row r="274" spans="1:10" x14ac:dyDescent="0.2">
      <c r="A274" s="1">
        <v>46064</v>
      </c>
      <c r="B274" t="s">
        <v>15</v>
      </c>
      <c r="C274" t="s">
        <v>16</v>
      </c>
      <c r="D274" t="s">
        <v>12</v>
      </c>
      <c r="E274">
        <v>196305</v>
      </c>
      <c r="F274">
        <v>7656</v>
      </c>
      <c r="G274">
        <v>1092.02</v>
      </c>
      <c r="H274">
        <v>143194</v>
      </c>
      <c r="I274">
        <v>303</v>
      </c>
      <c r="J274" t="s">
        <v>13</v>
      </c>
    </row>
    <row r="275" spans="1:10" x14ac:dyDescent="0.2">
      <c r="A275" s="1">
        <v>46064</v>
      </c>
      <c r="B275" t="s">
        <v>15</v>
      </c>
      <c r="C275" t="s">
        <v>17</v>
      </c>
      <c r="D275" t="s">
        <v>12</v>
      </c>
      <c r="E275">
        <v>123588</v>
      </c>
      <c r="F275">
        <v>3989</v>
      </c>
      <c r="G275">
        <v>694.34</v>
      </c>
      <c r="H275">
        <v>100902</v>
      </c>
      <c r="I275">
        <v>150</v>
      </c>
      <c r="J275" t="s">
        <v>13</v>
      </c>
    </row>
    <row r="276" spans="1:10" x14ac:dyDescent="0.2">
      <c r="A276" s="1">
        <v>46064</v>
      </c>
      <c r="B276" t="s">
        <v>20</v>
      </c>
      <c r="C276" t="s">
        <v>11</v>
      </c>
      <c r="D276" t="s">
        <v>12</v>
      </c>
      <c r="E276">
        <v>95534</v>
      </c>
      <c r="F276">
        <v>3216</v>
      </c>
      <c r="G276">
        <v>525.20000000000005</v>
      </c>
      <c r="H276">
        <v>70135</v>
      </c>
      <c r="I276">
        <v>100</v>
      </c>
      <c r="J276" t="s">
        <v>13</v>
      </c>
    </row>
    <row r="277" spans="1:10" x14ac:dyDescent="0.2">
      <c r="A277" s="1">
        <v>46064</v>
      </c>
      <c r="B277" t="s">
        <v>20</v>
      </c>
      <c r="C277" t="s">
        <v>14</v>
      </c>
      <c r="D277" t="s">
        <v>12</v>
      </c>
      <c r="E277">
        <v>201584</v>
      </c>
      <c r="F277">
        <v>8037</v>
      </c>
      <c r="G277">
        <v>1251.19</v>
      </c>
      <c r="H277">
        <v>157135</v>
      </c>
      <c r="I277">
        <v>372</v>
      </c>
      <c r="J277" t="s">
        <v>13</v>
      </c>
    </row>
    <row r="278" spans="1:10" x14ac:dyDescent="0.2">
      <c r="A278" s="1">
        <v>46065</v>
      </c>
      <c r="B278" t="s">
        <v>10</v>
      </c>
      <c r="C278" t="s">
        <v>11</v>
      </c>
      <c r="D278" t="s">
        <v>12</v>
      </c>
      <c r="E278">
        <v>128923</v>
      </c>
      <c r="F278">
        <v>4834</v>
      </c>
      <c r="G278">
        <v>801.19</v>
      </c>
      <c r="H278">
        <v>97059</v>
      </c>
      <c r="I278">
        <v>122</v>
      </c>
      <c r="J278" t="s">
        <v>13</v>
      </c>
    </row>
    <row r="279" spans="1:10" x14ac:dyDescent="0.2">
      <c r="A279" s="1">
        <v>46065</v>
      </c>
      <c r="B279" t="s">
        <v>10</v>
      </c>
      <c r="C279" t="s">
        <v>14</v>
      </c>
      <c r="D279" t="s">
        <v>12</v>
      </c>
      <c r="E279">
        <v>207740</v>
      </c>
      <c r="F279">
        <v>9039</v>
      </c>
      <c r="G279">
        <v>1299.25</v>
      </c>
      <c r="H279">
        <v>163500</v>
      </c>
      <c r="I279">
        <v>318</v>
      </c>
      <c r="J279" t="s">
        <v>13</v>
      </c>
    </row>
    <row r="280" spans="1:10" x14ac:dyDescent="0.2">
      <c r="A280" s="1">
        <v>46065</v>
      </c>
      <c r="B280" t="s">
        <v>15</v>
      </c>
      <c r="C280" t="s">
        <v>16</v>
      </c>
      <c r="D280" t="s">
        <v>12</v>
      </c>
      <c r="E280">
        <v>67822</v>
      </c>
      <c r="F280">
        <v>2317</v>
      </c>
      <c r="G280">
        <v>341.09</v>
      </c>
      <c r="H280">
        <v>50284</v>
      </c>
      <c r="I280">
        <v>108</v>
      </c>
      <c r="J280" t="s">
        <v>13</v>
      </c>
    </row>
    <row r="281" spans="1:10" x14ac:dyDescent="0.2">
      <c r="A281" s="1">
        <v>46065</v>
      </c>
      <c r="B281" t="s">
        <v>15</v>
      </c>
      <c r="C281" t="s">
        <v>17</v>
      </c>
      <c r="D281" t="s">
        <v>12</v>
      </c>
      <c r="E281">
        <v>165977</v>
      </c>
      <c r="F281">
        <v>5189</v>
      </c>
      <c r="G281">
        <v>934.02</v>
      </c>
      <c r="H281">
        <v>122075</v>
      </c>
      <c r="I281">
        <v>154</v>
      </c>
      <c r="J281" t="s">
        <v>13</v>
      </c>
    </row>
    <row r="282" spans="1:10" x14ac:dyDescent="0.2">
      <c r="A282" s="1">
        <v>46065</v>
      </c>
      <c r="B282" t="s">
        <v>20</v>
      </c>
      <c r="C282" t="s">
        <v>11</v>
      </c>
      <c r="D282" t="s">
        <v>12</v>
      </c>
      <c r="E282">
        <v>85209</v>
      </c>
      <c r="F282">
        <v>3121</v>
      </c>
      <c r="G282">
        <v>504.32</v>
      </c>
      <c r="H282">
        <v>67644</v>
      </c>
      <c r="I282">
        <v>111</v>
      </c>
      <c r="J282" t="s">
        <v>13</v>
      </c>
    </row>
    <row r="283" spans="1:10" x14ac:dyDescent="0.2">
      <c r="A283" s="1">
        <v>46065</v>
      </c>
      <c r="B283" t="s">
        <v>20</v>
      </c>
      <c r="C283" t="s">
        <v>14</v>
      </c>
      <c r="D283" t="s">
        <v>12</v>
      </c>
      <c r="E283">
        <v>202816</v>
      </c>
      <c r="F283">
        <v>6839</v>
      </c>
      <c r="G283">
        <v>1167.0899999999999</v>
      </c>
      <c r="H283">
        <v>148685</v>
      </c>
      <c r="I283">
        <v>217</v>
      </c>
      <c r="J283" t="s">
        <v>13</v>
      </c>
    </row>
    <row r="284" spans="1:10" x14ac:dyDescent="0.2">
      <c r="A284" s="1">
        <v>46066</v>
      </c>
      <c r="B284" t="s">
        <v>10</v>
      </c>
      <c r="C284" t="s">
        <v>11</v>
      </c>
      <c r="D284" t="s">
        <v>12</v>
      </c>
      <c r="E284">
        <v>98025</v>
      </c>
      <c r="F284">
        <v>3046</v>
      </c>
      <c r="G284">
        <v>510.86</v>
      </c>
      <c r="H284">
        <v>76702</v>
      </c>
      <c r="I284">
        <v>138</v>
      </c>
      <c r="J284" t="s">
        <v>13</v>
      </c>
    </row>
    <row r="285" spans="1:10" x14ac:dyDescent="0.2">
      <c r="A285" s="1">
        <v>46066</v>
      </c>
      <c r="B285" t="s">
        <v>10</v>
      </c>
      <c r="C285" t="s">
        <v>14</v>
      </c>
      <c r="D285" t="s">
        <v>12</v>
      </c>
      <c r="E285">
        <v>155785</v>
      </c>
      <c r="F285">
        <v>4477</v>
      </c>
      <c r="G285">
        <v>692.02</v>
      </c>
      <c r="H285">
        <v>123375</v>
      </c>
      <c r="I285">
        <v>211</v>
      </c>
      <c r="J285" t="s">
        <v>13</v>
      </c>
    </row>
    <row r="286" spans="1:10" x14ac:dyDescent="0.2">
      <c r="A286" s="1">
        <v>46066</v>
      </c>
      <c r="B286" t="s">
        <v>15</v>
      </c>
      <c r="C286" t="s">
        <v>16</v>
      </c>
      <c r="D286" t="s">
        <v>12</v>
      </c>
      <c r="E286">
        <v>192049</v>
      </c>
      <c r="F286">
        <v>6307</v>
      </c>
      <c r="G286">
        <v>1071.82</v>
      </c>
      <c r="H286">
        <v>146896</v>
      </c>
      <c r="I286">
        <v>226</v>
      </c>
      <c r="J286" t="s">
        <v>13</v>
      </c>
    </row>
    <row r="287" spans="1:10" x14ac:dyDescent="0.2">
      <c r="A287" s="1">
        <v>46066</v>
      </c>
      <c r="B287" t="s">
        <v>15</v>
      </c>
      <c r="C287" t="s">
        <v>17</v>
      </c>
      <c r="D287" t="s">
        <v>12</v>
      </c>
      <c r="E287">
        <v>128899</v>
      </c>
      <c r="F287">
        <v>5725</v>
      </c>
      <c r="G287">
        <v>981.12</v>
      </c>
      <c r="H287">
        <v>104459</v>
      </c>
      <c r="I287">
        <v>154</v>
      </c>
      <c r="J287" t="s">
        <v>13</v>
      </c>
    </row>
    <row r="288" spans="1:10" x14ac:dyDescent="0.2">
      <c r="A288" s="1">
        <v>46066</v>
      </c>
      <c r="B288" t="s">
        <v>20</v>
      </c>
      <c r="C288" t="s">
        <v>11</v>
      </c>
      <c r="D288" t="s">
        <v>12</v>
      </c>
      <c r="E288">
        <v>206251</v>
      </c>
      <c r="F288">
        <v>9095</v>
      </c>
      <c r="G288">
        <v>1631.44</v>
      </c>
      <c r="H288">
        <v>158022</v>
      </c>
      <c r="I288">
        <v>266</v>
      </c>
      <c r="J288" t="s">
        <v>13</v>
      </c>
    </row>
    <row r="289" spans="1:10" x14ac:dyDescent="0.2">
      <c r="A289" s="1">
        <v>46066</v>
      </c>
      <c r="B289" t="s">
        <v>20</v>
      </c>
      <c r="C289" t="s">
        <v>14</v>
      </c>
      <c r="D289" t="s">
        <v>12</v>
      </c>
      <c r="E289">
        <v>144083</v>
      </c>
      <c r="F289">
        <v>5266</v>
      </c>
      <c r="G289">
        <v>825.43</v>
      </c>
      <c r="H289">
        <v>106074</v>
      </c>
      <c r="I289">
        <v>143</v>
      </c>
      <c r="J289" t="s">
        <v>13</v>
      </c>
    </row>
    <row r="290" spans="1:10" x14ac:dyDescent="0.2">
      <c r="A290" s="1">
        <v>46067</v>
      </c>
      <c r="B290" t="s">
        <v>10</v>
      </c>
      <c r="C290" t="s">
        <v>11</v>
      </c>
      <c r="D290" t="s">
        <v>12</v>
      </c>
      <c r="E290">
        <v>190806</v>
      </c>
      <c r="F290">
        <v>5791</v>
      </c>
      <c r="G290">
        <v>868.65</v>
      </c>
      <c r="H290">
        <v>149614</v>
      </c>
      <c r="I290">
        <v>259</v>
      </c>
      <c r="J290" t="s">
        <v>13</v>
      </c>
    </row>
    <row r="291" spans="1:10" x14ac:dyDescent="0.2">
      <c r="A291" s="1">
        <v>46067</v>
      </c>
      <c r="B291" t="s">
        <v>10</v>
      </c>
      <c r="C291" t="s">
        <v>14</v>
      </c>
      <c r="D291" t="s">
        <v>12</v>
      </c>
      <c r="E291">
        <v>180294</v>
      </c>
      <c r="F291">
        <v>7911</v>
      </c>
      <c r="G291">
        <v>1332.66</v>
      </c>
      <c r="H291">
        <v>139113</v>
      </c>
      <c r="I291">
        <v>199</v>
      </c>
      <c r="J291" t="s">
        <v>13</v>
      </c>
    </row>
    <row r="292" spans="1:10" x14ac:dyDescent="0.2">
      <c r="A292" s="1">
        <v>46067</v>
      </c>
      <c r="B292" t="s">
        <v>15</v>
      </c>
      <c r="C292" t="s">
        <v>16</v>
      </c>
      <c r="D292" t="s">
        <v>12</v>
      </c>
      <c r="E292">
        <v>81588</v>
      </c>
      <c r="F292">
        <v>3342</v>
      </c>
      <c r="G292">
        <v>504.35</v>
      </c>
      <c r="H292">
        <v>66129</v>
      </c>
      <c r="I292">
        <v>86</v>
      </c>
      <c r="J292" t="s">
        <v>13</v>
      </c>
    </row>
    <row r="293" spans="1:10" x14ac:dyDescent="0.2">
      <c r="A293" s="1">
        <v>46067</v>
      </c>
      <c r="B293" t="s">
        <v>15</v>
      </c>
      <c r="C293" t="s">
        <v>17</v>
      </c>
      <c r="D293" t="s">
        <v>12</v>
      </c>
      <c r="E293">
        <v>155744</v>
      </c>
      <c r="F293">
        <v>4603</v>
      </c>
      <c r="G293">
        <v>812.06</v>
      </c>
      <c r="H293">
        <v>124855</v>
      </c>
      <c r="I293">
        <v>207</v>
      </c>
      <c r="J293" t="s">
        <v>13</v>
      </c>
    </row>
    <row r="294" spans="1:10" x14ac:dyDescent="0.2">
      <c r="A294" s="1">
        <v>46067</v>
      </c>
      <c r="B294" t="s">
        <v>19</v>
      </c>
      <c r="C294" t="s">
        <v>11</v>
      </c>
      <c r="D294" t="s">
        <v>12</v>
      </c>
      <c r="E294">
        <v>69592</v>
      </c>
      <c r="F294">
        <v>2439</v>
      </c>
      <c r="G294">
        <v>380.14</v>
      </c>
      <c r="H294">
        <v>52708</v>
      </c>
      <c r="I294">
        <v>78</v>
      </c>
      <c r="J294" t="s">
        <v>13</v>
      </c>
    </row>
    <row r="295" spans="1:10" x14ac:dyDescent="0.2">
      <c r="A295" s="1">
        <v>46067</v>
      </c>
      <c r="B295" t="s">
        <v>19</v>
      </c>
      <c r="C295" t="s">
        <v>14</v>
      </c>
      <c r="D295" t="s">
        <v>12</v>
      </c>
      <c r="E295">
        <v>81113</v>
      </c>
      <c r="F295">
        <v>2788</v>
      </c>
      <c r="G295">
        <v>393.46</v>
      </c>
      <c r="H295">
        <v>65951</v>
      </c>
      <c r="I295">
        <v>122</v>
      </c>
      <c r="J295" t="s">
        <v>13</v>
      </c>
    </row>
    <row r="296" spans="1:10" x14ac:dyDescent="0.2">
      <c r="A296" s="1">
        <v>46067</v>
      </c>
      <c r="B296" t="s">
        <v>20</v>
      </c>
      <c r="C296" t="s">
        <v>11</v>
      </c>
      <c r="D296" t="s">
        <v>12</v>
      </c>
      <c r="E296">
        <v>200305</v>
      </c>
      <c r="F296">
        <v>6750</v>
      </c>
      <c r="G296">
        <v>984.43</v>
      </c>
      <c r="H296">
        <v>144986</v>
      </c>
      <c r="I296">
        <v>309</v>
      </c>
      <c r="J296" t="s">
        <v>13</v>
      </c>
    </row>
    <row r="297" spans="1:10" x14ac:dyDescent="0.2">
      <c r="A297" s="1">
        <v>46067</v>
      </c>
      <c r="B297" t="s">
        <v>20</v>
      </c>
      <c r="C297" t="s">
        <v>14</v>
      </c>
      <c r="D297" t="s">
        <v>12</v>
      </c>
      <c r="E297">
        <v>163080</v>
      </c>
      <c r="F297">
        <v>6496</v>
      </c>
      <c r="G297">
        <v>945.5</v>
      </c>
      <c r="H297">
        <v>128923</v>
      </c>
      <c r="I297">
        <v>218</v>
      </c>
      <c r="J297" t="s">
        <v>13</v>
      </c>
    </row>
    <row r="298" spans="1:10" x14ac:dyDescent="0.2">
      <c r="A298" s="1">
        <v>46068</v>
      </c>
      <c r="B298" t="s">
        <v>10</v>
      </c>
      <c r="C298" t="s">
        <v>11</v>
      </c>
      <c r="D298" t="s">
        <v>12</v>
      </c>
      <c r="E298">
        <v>65100</v>
      </c>
      <c r="F298">
        <v>2825</v>
      </c>
      <c r="G298">
        <v>397.65</v>
      </c>
      <c r="H298">
        <v>48275</v>
      </c>
      <c r="I298">
        <v>73</v>
      </c>
      <c r="J298" t="s">
        <v>13</v>
      </c>
    </row>
    <row r="299" spans="1:10" x14ac:dyDescent="0.2">
      <c r="A299" s="1">
        <v>46068</v>
      </c>
      <c r="B299" t="s">
        <v>10</v>
      </c>
      <c r="C299" t="s">
        <v>14</v>
      </c>
      <c r="D299" t="s">
        <v>12</v>
      </c>
      <c r="E299">
        <v>191691</v>
      </c>
      <c r="F299">
        <v>7087</v>
      </c>
      <c r="G299">
        <v>1023.7</v>
      </c>
      <c r="H299">
        <v>143540</v>
      </c>
      <c r="I299">
        <v>211</v>
      </c>
      <c r="J299" t="s">
        <v>13</v>
      </c>
    </row>
    <row r="300" spans="1:10" x14ac:dyDescent="0.2">
      <c r="A300" s="1">
        <v>46068</v>
      </c>
      <c r="B300" t="s">
        <v>15</v>
      </c>
      <c r="C300" t="s">
        <v>16</v>
      </c>
      <c r="D300" t="s">
        <v>12</v>
      </c>
      <c r="E300">
        <v>74012</v>
      </c>
      <c r="F300">
        <v>2372</v>
      </c>
      <c r="G300">
        <v>392.7</v>
      </c>
      <c r="H300">
        <v>57898</v>
      </c>
      <c r="I300">
        <v>56</v>
      </c>
      <c r="J300" t="s">
        <v>13</v>
      </c>
    </row>
    <row r="301" spans="1:10" x14ac:dyDescent="0.2">
      <c r="A301" s="1">
        <v>46068</v>
      </c>
      <c r="B301" t="s">
        <v>15</v>
      </c>
      <c r="C301" t="s">
        <v>17</v>
      </c>
      <c r="D301" t="s">
        <v>12</v>
      </c>
      <c r="E301">
        <v>168820</v>
      </c>
      <c r="F301">
        <v>6439</v>
      </c>
      <c r="G301">
        <v>905.69</v>
      </c>
      <c r="H301">
        <v>130250</v>
      </c>
      <c r="I301">
        <v>182</v>
      </c>
      <c r="J301" t="s">
        <v>13</v>
      </c>
    </row>
    <row r="302" spans="1:10" x14ac:dyDescent="0.2">
      <c r="A302" s="1">
        <v>46068</v>
      </c>
      <c r="B302" t="s">
        <v>19</v>
      </c>
      <c r="C302" t="s">
        <v>11</v>
      </c>
      <c r="D302" t="s">
        <v>12</v>
      </c>
      <c r="E302">
        <v>94108</v>
      </c>
      <c r="F302">
        <v>3101</v>
      </c>
      <c r="G302">
        <v>434.33</v>
      </c>
      <c r="H302">
        <v>71078</v>
      </c>
      <c r="I302">
        <v>114</v>
      </c>
      <c r="J302" t="s">
        <v>13</v>
      </c>
    </row>
    <row r="303" spans="1:10" x14ac:dyDescent="0.2">
      <c r="A303" s="1">
        <v>46068</v>
      </c>
      <c r="B303" t="s">
        <v>19</v>
      </c>
      <c r="C303" t="s">
        <v>14</v>
      </c>
      <c r="D303" t="s">
        <v>12</v>
      </c>
      <c r="E303">
        <v>103281</v>
      </c>
      <c r="F303">
        <v>4058</v>
      </c>
      <c r="G303">
        <v>582.02</v>
      </c>
      <c r="H303">
        <v>84428</v>
      </c>
      <c r="I303">
        <v>96</v>
      </c>
      <c r="J303" t="s">
        <v>13</v>
      </c>
    </row>
    <row r="304" spans="1:10" x14ac:dyDescent="0.2">
      <c r="A304" s="1">
        <v>46068</v>
      </c>
      <c r="B304" t="s">
        <v>20</v>
      </c>
      <c r="C304" t="s">
        <v>11</v>
      </c>
      <c r="D304" t="s">
        <v>12</v>
      </c>
      <c r="E304">
        <v>174321</v>
      </c>
      <c r="F304">
        <v>6493</v>
      </c>
      <c r="G304">
        <v>1113.27</v>
      </c>
      <c r="H304">
        <v>134360</v>
      </c>
      <c r="I304">
        <v>146</v>
      </c>
      <c r="J304" t="s">
        <v>13</v>
      </c>
    </row>
    <row r="305" spans="1:10" x14ac:dyDescent="0.2">
      <c r="A305" s="1">
        <v>46068</v>
      </c>
      <c r="B305" t="s">
        <v>20</v>
      </c>
      <c r="C305" t="s">
        <v>14</v>
      </c>
      <c r="D305" t="s">
        <v>12</v>
      </c>
      <c r="E305">
        <v>162593</v>
      </c>
      <c r="F305">
        <v>4672</v>
      </c>
      <c r="G305">
        <v>726.38</v>
      </c>
      <c r="H305">
        <v>123136</v>
      </c>
      <c r="I305">
        <v>193</v>
      </c>
      <c r="J305" t="s">
        <v>13</v>
      </c>
    </row>
    <row r="306" spans="1:10" x14ac:dyDescent="0.2">
      <c r="A306" s="1">
        <v>46069</v>
      </c>
      <c r="B306" t="s">
        <v>10</v>
      </c>
      <c r="C306" t="s">
        <v>11</v>
      </c>
      <c r="D306" t="s">
        <v>12</v>
      </c>
      <c r="E306">
        <v>138888</v>
      </c>
      <c r="F306">
        <v>5750</v>
      </c>
      <c r="G306">
        <v>884.3</v>
      </c>
      <c r="H306">
        <v>110179</v>
      </c>
      <c r="I306">
        <v>220</v>
      </c>
      <c r="J306" t="s">
        <v>13</v>
      </c>
    </row>
    <row r="307" spans="1:10" x14ac:dyDescent="0.2">
      <c r="A307" s="1">
        <v>46069</v>
      </c>
      <c r="B307" t="s">
        <v>10</v>
      </c>
      <c r="C307" t="s">
        <v>14</v>
      </c>
      <c r="D307" t="s">
        <v>12</v>
      </c>
      <c r="E307">
        <v>186033</v>
      </c>
      <c r="F307">
        <v>7533</v>
      </c>
      <c r="G307">
        <v>1154.81</v>
      </c>
      <c r="H307">
        <v>134768</v>
      </c>
      <c r="I307">
        <v>272</v>
      </c>
      <c r="J307" t="s">
        <v>13</v>
      </c>
    </row>
    <row r="308" spans="1:10" x14ac:dyDescent="0.2">
      <c r="A308" s="1">
        <v>46069</v>
      </c>
      <c r="B308" t="s">
        <v>15</v>
      </c>
      <c r="C308" t="s">
        <v>16</v>
      </c>
      <c r="D308" t="s">
        <v>12</v>
      </c>
      <c r="E308">
        <v>198803</v>
      </c>
      <c r="F308">
        <v>6158</v>
      </c>
      <c r="G308">
        <v>1054.04</v>
      </c>
      <c r="H308">
        <v>152375</v>
      </c>
      <c r="I308">
        <v>246</v>
      </c>
      <c r="J308" t="s">
        <v>13</v>
      </c>
    </row>
    <row r="309" spans="1:10" x14ac:dyDescent="0.2">
      <c r="A309" s="1">
        <v>46069</v>
      </c>
      <c r="B309" t="s">
        <v>15</v>
      </c>
      <c r="C309" t="s">
        <v>17</v>
      </c>
      <c r="D309" t="s">
        <v>12</v>
      </c>
      <c r="E309">
        <v>196483</v>
      </c>
      <c r="F309">
        <v>6110</v>
      </c>
      <c r="G309">
        <v>888.36</v>
      </c>
      <c r="H309">
        <v>155536</v>
      </c>
      <c r="I309">
        <v>284</v>
      </c>
      <c r="J309" t="s">
        <v>13</v>
      </c>
    </row>
    <row r="310" spans="1:10" x14ac:dyDescent="0.2">
      <c r="A310" s="1">
        <v>46069</v>
      </c>
      <c r="B310" t="s">
        <v>20</v>
      </c>
      <c r="C310" t="s">
        <v>11</v>
      </c>
      <c r="D310" t="s">
        <v>12</v>
      </c>
      <c r="E310">
        <v>71755</v>
      </c>
      <c r="F310">
        <v>2367</v>
      </c>
      <c r="G310">
        <v>335.53</v>
      </c>
      <c r="H310">
        <v>53094</v>
      </c>
      <c r="I310">
        <v>54</v>
      </c>
      <c r="J310" t="s">
        <v>13</v>
      </c>
    </row>
    <row r="311" spans="1:10" x14ac:dyDescent="0.2">
      <c r="A311" s="1">
        <v>46069</v>
      </c>
      <c r="B311" t="s">
        <v>20</v>
      </c>
      <c r="C311" t="s">
        <v>14</v>
      </c>
      <c r="D311" t="s">
        <v>12</v>
      </c>
      <c r="E311">
        <v>129027</v>
      </c>
      <c r="F311">
        <v>4743</v>
      </c>
      <c r="G311">
        <v>851.68</v>
      </c>
      <c r="H311">
        <v>99906</v>
      </c>
      <c r="I311">
        <v>135</v>
      </c>
      <c r="J311" t="s">
        <v>13</v>
      </c>
    </row>
    <row r="312" spans="1:10" x14ac:dyDescent="0.2">
      <c r="A312" s="1">
        <v>46070</v>
      </c>
      <c r="B312" t="s">
        <v>10</v>
      </c>
      <c r="C312" t="s">
        <v>11</v>
      </c>
      <c r="D312" t="s">
        <v>12</v>
      </c>
      <c r="E312">
        <v>124790</v>
      </c>
      <c r="F312">
        <v>3899</v>
      </c>
      <c r="G312">
        <v>601.53</v>
      </c>
      <c r="H312">
        <v>99592</v>
      </c>
      <c r="I312">
        <v>173</v>
      </c>
      <c r="J312" t="s">
        <v>13</v>
      </c>
    </row>
    <row r="313" spans="1:10" x14ac:dyDescent="0.2">
      <c r="A313" s="1">
        <v>46070</v>
      </c>
      <c r="B313" t="s">
        <v>10</v>
      </c>
      <c r="C313" t="s">
        <v>14</v>
      </c>
      <c r="D313" t="s">
        <v>12</v>
      </c>
      <c r="E313">
        <v>83506</v>
      </c>
      <c r="F313">
        <v>2726</v>
      </c>
      <c r="G313">
        <v>468.8</v>
      </c>
      <c r="H313">
        <v>63773</v>
      </c>
      <c r="I313">
        <v>88</v>
      </c>
      <c r="J313" t="s">
        <v>13</v>
      </c>
    </row>
    <row r="314" spans="1:10" x14ac:dyDescent="0.2">
      <c r="A314" s="1">
        <v>46070</v>
      </c>
      <c r="B314" t="s">
        <v>15</v>
      </c>
      <c r="C314" t="s">
        <v>16</v>
      </c>
      <c r="D314" t="s">
        <v>12</v>
      </c>
      <c r="E314">
        <v>97637</v>
      </c>
      <c r="F314">
        <v>4218</v>
      </c>
      <c r="G314">
        <v>655.75</v>
      </c>
      <c r="H314">
        <v>79805</v>
      </c>
      <c r="I314">
        <v>147</v>
      </c>
      <c r="J314" t="s">
        <v>13</v>
      </c>
    </row>
    <row r="315" spans="1:10" x14ac:dyDescent="0.2">
      <c r="A315" s="1">
        <v>46070</v>
      </c>
      <c r="B315" t="s">
        <v>15</v>
      </c>
      <c r="C315" t="s">
        <v>17</v>
      </c>
      <c r="D315" t="s">
        <v>12</v>
      </c>
      <c r="E315">
        <v>105211</v>
      </c>
      <c r="F315">
        <v>3602</v>
      </c>
      <c r="G315">
        <v>619.15</v>
      </c>
      <c r="H315">
        <v>78558</v>
      </c>
      <c r="I315">
        <v>86</v>
      </c>
      <c r="J315" t="s">
        <v>13</v>
      </c>
    </row>
    <row r="316" spans="1:10" x14ac:dyDescent="0.2">
      <c r="A316" s="1">
        <v>46071</v>
      </c>
      <c r="B316" t="s">
        <v>10</v>
      </c>
      <c r="C316" t="s">
        <v>11</v>
      </c>
      <c r="D316" t="s">
        <v>12</v>
      </c>
      <c r="E316">
        <v>95640</v>
      </c>
      <c r="F316">
        <v>2806</v>
      </c>
      <c r="G316">
        <v>460.46</v>
      </c>
      <c r="H316">
        <v>76725</v>
      </c>
      <c r="I316">
        <v>101</v>
      </c>
      <c r="J316" t="s">
        <v>13</v>
      </c>
    </row>
    <row r="317" spans="1:10" x14ac:dyDescent="0.2">
      <c r="A317" s="1">
        <v>46071</v>
      </c>
      <c r="B317" t="s">
        <v>10</v>
      </c>
      <c r="C317" t="s">
        <v>14</v>
      </c>
      <c r="D317" t="s">
        <v>12</v>
      </c>
      <c r="E317">
        <v>82101</v>
      </c>
      <c r="F317">
        <v>2442</v>
      </c>
      <c r="G317">
        <v>373.91</v>
      </c>
      <c r="H317">
        <v>61539</v>
      </c>
      <c r="I317">
        <v>82</v>
      </c>
      <c r="J317" t="s">
        <v>13</v>
      </c>
    </row>
    <row r="318" spans="1:10" x14ac:dyDescent="0.2">
      <c r="A318" s="1">
        <v>46071</v>
      </c>
      <c r="B318" t="s">
        <v>15</v>
      </c>
      <c r="C318" t="s">
        <v>16</v>
      </c>
      <c r="D318" t="s">
        <v>12</v>
      </c>
      <c r="E318">
        <v>95851</v>
      </c>
      <c r="F318">
        <v>2955</v>
      </c>
      <c r="G318">
        <v>466.17</v>
      </c>
      <c r="H318">
        <v>73298</v>
      </c>
      <c r="I318">
        <v>120</v>
      </c>
      <c r="J318" t="s">
        <v>13</v>
      </c>
    </row>
    <row r="319" spans="1:10" x14ac:dyDescent="0.2">
      <c r="A319" s="1">
        <v>46071</v>
      </c>
      <c r="B319" t="s">
        <v>15</v>
      </c>
      <c r="C319" t="s">
        <v>17</v>
      </c>
      <c r="D319" t="s">
        <v>12</v>
      </c>
      <c r="E319">
        <v>86210</v>
      </c>
      <c r="F319">
        <v>3314</v>
      </c>
      <c r="G319">
        <v>521.62</v>
      </c>
      <c r="H319">
        <v>67584</v>
      </c>
      <c r="I319">
        <v>141</v>
      </c>
      <c r="J319" t="s">
        <v>13</v>
      </c>
    </row>
    <row r="320" spans="1:10" x14ac:dyDescent="0.2">
      <c r="A320" s="1">
        <v>46072</v>
      </c>
      <c r="B320" t="s">
        <v>10</v>
      </c>
      <c r="C320" t="s">
        <v>11</v>
      </c>
      <c r="D320" t="s">
        <v>12</v>
      </c>
      <c r="E320">
        <v>47518</v>
      </c>
      <c r="F320">
        <v>1391</v>
      </c>
      <c r="G320">
        <v>230.21</v>
      </c>
      <c r="H320">
        <v>35939</v>
      </c>
      <c r="I320">
        <v>59</v>
      </c>
      <c r="J320" t="s">
        <v>13</v>
      </c>
    </row>
    <row r="321" spans="1:10" x14ac:dyDescent="0.2">
      <c r="A321" s="1">
        <v>46072</v>
      </c>
      <c r="B321" t="s">
        <v>10</v>
      </c>
      <c r="C321" t="s">
        <v>14</v>
      </c>
      <c r="D321" t="s">
        <v>12</v>
      </c>
      <c r="E321">
        <v>129051</v>
      </c>
      <c r="F321">
        <v>3964</v>
      </c>
      <c r="G321">
        <v>559.9</v>
      </c>
      <c r="H321">
        <v>103868</v>
      </c>
      <c r="I321">
        <v>157</v>
      </c>
      <c r="J321" t="s">
        <v>13</v>
      </c>
    </row>
    <row r="322" spans="1:10" x14ac:dyDescent="0.2">
      <c r="A322" s="1">
        <v>46072</v>
      </c>
      <c r="B322" t="s">
        <v>15</v>
      </c>
      <c r="C322" t="s">
        <v>16</v>
      </c>
      <c r="D322" t="s">
        <v>12</v>
      </c>
      <c r="E322">
        <v>97432</v>
      </c>
      <c r="F322">
        <v>2785</v>
      </c>
      <c r="G322">
        <v>397.39</v>
      </c>
      <c r="H322">
        <v>77736</v>
      </c>
      <c r="I322">
        <v>87</v>
      </c>
      <c r="J322" t="s">
        <v>13</v>
      </c>
    </row>
    <row r="323" spans="1:10" x14ac:dyDescent="0.2">
      <c r="A323" s="1">
        <v>46072</v>
      </c>
      <c r="B323" t="s">
        <v>15</v>
      </c>
      <c r="C323" t="s">
        <v>17</v>
      </c>
      <c r="D323" t="s">
        <v>12</v>
      </c>
      <c r="E323">
        <v>90181</v>
      </c>
      <c r="F323">
        <v>3980</v>
      </c>
      <c r="G323">
        <v>562.36</v>
      </c>
      <c r="H323">
        <v>66314</v>
      </c>
      <c r="I323">
        <v>134</v>
      </c>
      <c r="J323" t="s">
        <v>13</v>
      </c>
    </row>
    <row r="324" spans="1:10" x14ac:dyDescent="0.2">
      <c r="A324" s="1">
        <v>46073</v>
      </c>
      <c r="B324" t="s">
        <v>10</v>
      </c>
      <c r="C324" t="s">
        <v>11</v>
      </c>
      <c r="D324" t="s">
        <v>12</v>
      </c>
      <c r="E324">
        <v>88623</v>
      </c>
      <c r="F324">
        <v>3041</v>
      </c>
      <c r="G324">
        <v>518.55999999999995</v>
      </c>
      <c r="H324">
        <v>68894</v>
      </c>
      <c r="I324">
        <v>108</v>
      </c>
      <c r="J324" t="s">
        <v>13</v>
      </c>
    </row>
    <row r="325" spans="1:10" x14ac:dyDescent="0.2">
      <c r="A325" s="1">
        <v>46073</v>
      </c>
      <c r="B325" t="s">
        <v>10</v>
      </c>
      <c r="C325" t="s">
        <v>14</v>
      </c>
      <c r="D325" t="s">
        <v>12</v>
      </c>
      <c r="E325">
        <v>92171</v>
      </c>
      <c r="F325">
        <v>3073</v>
      </c>
      <c r="G325">
        <v>464.48</v>
      </c>
      <c r="H325">
        <v>75216</v>
      </c>
      <c r="I325">
        <v>69</v>
      </c>
      <c r="J325" t="s">
        <v>13</v>
      </c>
    </row>
    <row r="326" spans="1:10" x14ac:dyDescent="0.2">
      <c r="A326" s="1">
        <v>46073</v>
      </c>
      <c r="B326" t="s">
        <v>15</v>
      </c>
      <c r="C326" t="s">
        <v>16</v>
      </c>
      <c r="D326" t="s">
        <v>12</v>
      </c>
      <c r="E326">
        <v>64385</v>
      </c>
      <c r="F326">
        <v>2349</v>
      </c>
      <c r="G326">
        <v>365.22</v>
      </c>
      <c r="H326">
        <v>49973</v>
      </c>
      <c r="I326">
        <v>67</v>
      </c>
      <c r="J326" t="s">
        <v>13</v>
      </c>
    </row>
    <row r="327" spans="1:10" x14ac:dyDescent="0.2">
      <c r="A327" s="1">
        <v>46073</v>
      </c>
      <c r="B327" t="s">
        <v>15</v>
      </c>
      <c r="C327" t="s">
        <v>17</v>
      </c>
      <c r="D327" t="s">
        <v>12</v>
      </c>
      <c r="E327">
        <v>74116</v>
      </c>
      <c r="F327">
        <v>2962</v>
      </c>
      <c r="G327">
        <v>440.1</v>
      </c>
      <c r="H327">
        <v>57898</v>
      </c>
      <c r="I327">
        <v>118</v>
      </c>
      <c r="J327" t="s">
        <v>13</v>
      </c>
    </row>
    <row r="328" spans="1:10" x14ac:dyDescent="0.2">
      <c r="A328" s="1">
        <v>46074</v>
      </c>
      <c r="B328" t="s">
        <v>10</v>
      </c>
      <c r="C328" t="s">
        <v>11</v>
      </c>
      <c r="D328" t="s">
        <v>12</v>
      </c>
      <c r="E328">
        <v>146134</v>
      </c>
      <c r="F328">
        <v>4589</v>
      </c>
      <c r="G328">
        <v>667.37</v>
      </c>
      <c r="H328">
        <v>106298</v>
      </c>
      <c r="I328">
        <v>121</v>
      </c>
      <c r="J328" t="s">
        <v>13</v>
      </c>
    </row>
    <row r="329" spans="1:10" x14ac:dyDescent="0.2">
      <c r="A329" s="1">
        <v>46074</v>
      </c>
      <c r="B329" t="s">
        <v>10</v>
      </c>
      <c r="C329" t="s">
        <v>14</v>
      </c>
      <c r="D329" t="s">
        <v>12</v>
      </c>
      <c r="E329">
        <v>137677</v>
      </c>
      <c r="F329">
        <v>6189</v>
      </c>
      <c r="G329">
        <v>1067.1099999999999</v>
      </c>
      <c r="H329">
        <v>112448</v>
      </c>
      <c r="I329">
        <v>294</v>
      </c>
      <c r="J329" t="s">
        <v>13</v>
      </c>
    </row>
    <row r="330" spans="1:10" x14ac:dyDescent="0.2">
      <c r="A330" s="1">
        <v>46074</v>
      </c>
      <c r="B330" t="s">
        <v>15</v>
      </c>
      <c r="C330" t="s">
        <v>16</v>
      </c>
      <c r="D330" t="s">
        <v>12</v>
      </c>
      <c r="E330">
        <v>178549</v>
      </c>
      <c r="F330">
        <v>6053</v>
      </c>
      <c r="G330">
        <v>863.14</v>
      </c>
      <c r="H330">
        <v>138235</v>
      </c>
      <c r="I330">
        <v>273</v>
      </c>
      <c r="J330" t="s">
        <v>13</v>
      </c>
    </row>
    <row r="331" spans="1:10" x14ac:dyDescent="0.2">
      <c r="A331" s="1">
        <v>46074</v>
      </c>
      <c r="B331" t="s">
        <v>15</v>
      </c>
      <c r="C331" t="s">
        <v>17</v>
      </c>
      <c r="D331" t="s">
        <v>12</v>
      </c>
      <c r="E331">
        <v>84901</v>
      </c>
      <c r="F331">
        <v>3404</v>
      </c>
      <c r="G331">
        <v>602.82000000000005</v>
      </c>
      <c r="H331">
        <v>66542</v>
      </c>
      <c r="I331">
        <v>145</v>
      </c>
      <c r="J331" t="s">
        <v>13</v>
      </c>
    </row>
    <row r="332" spans="1:10" x14ac:dyDescent="0.2">
      <c r="A332" s="1">
        <v>46074</v>
      </c>
      <c r="B332" t="s">
        <v>19</v>
      </c>
      <c r="C332" t="s">
        <v>11</v>
      </c>
      <c r="D332" t="s">
        <v>12</v>
      </c>
      <c r="E332">
        <v>149356</v>
      </c>
      <c r="F332">
        <v>4751</v>
      </c>
      <c r="G332">
        <v>852.35</v>
      </c>
      <c r="H332">
        <v>119366</v>
      </c>
      <c r="I332">
        <v>133</v>
      </c>
      <c r="J332" t="s">
        <v>13</v>
      </c>
    </row>
    <row r="333" spans="1:10" x14ac:dyDescent="0.2">
      <c r="A333" s="1">
        <v>46074</v>
      </c>
      <c r="B333" t="s">
        <v>19</v>
      </c>
      <c r="C333" t="s">
        <v>14</v>
      </c>
      <c r="D333" t="s">
        <v>12</v>
      </c>
      <c r="E333">
        <v>146652</v>
      </c>
      <c r="F333">
        <v>4171</v>
      </c>
      <c r="G333">
        <v>676.37</v>
      </c>
      <c r="H333">
        <v>110999</v>
      </c>
      <c r="I333">
        <v>178</v>
      </c>
      <c r="J333" t="s">
        <v>13</v>
      </c>
    </row>
    <row r="334" spans="1:10" x14ac:dyDescent="0.2">
      <c r="A334" s="1">
        <v>46075</v>
      </c>
      <c r="B334" t="s">
        <v>10</v>
      </c>
      <c r="C334" t="s">
        <v>11</v>
      </c>
      <c r="D334" t="s">
        <v>12</v>
      </c>
      <c r="E334">
        <v>157227</v>
      </c>
      <c r="F334">
        <v>4749</v>
      </c>
      <c r="G334">
        <v>832.83</v>
      </c>
      <c r="H334">
        <v>114237</v>
      </c>
      <c r="I334">
        <v>153</v>
      </c>
      <c r="J334" t="s">
        <v>13</v>
      </c>
    </row>
    <row r="335" spans="1:10" x14ac:dyDescent="0.2">
      <c r="A335" s="1">
        <v>46075</v>
      </c>
      <c r="B335" t="s">
        <v>10</v>
      </c>
      <c r="C335" t="s">
        <v>14</v>
      </c>
      <c r="D335" t="s">
        <v>12</v>
      </c>
      <c r="E335">
        <v>143834</v>
      </c>
      <c r="F335">
        <v>5312</v>
      </c>
      <c r="G335">
        <v>907.11</v>
      </c>
      <c r="H335">
        <v>115402</v>
      </c>
      <c r="I335">
        <v>127</v>
      </c>
      <c r="J335" t="s">
        <v>13</v>
      </c>
    </row>
    <row r="336" spans="1:10" x14ac:dyDescent="0.2">
      <c r="A336" s="1">
        <v>46075</v>
      </c>
      <c r="B336" t="s">
        <v>15</v>
      </c>
      <c r="C336" t="s">
        <v>16</v>
      </c>
      <c r="D336" t="s">
        <v>12</v>
      </c>
      <c r="E336">
        <v>114174</v>
      </c>
      <c r="F336">
        <v>4443</v>
      </c>
      <c r="G336">
        <v>701.99</v>
      </c>
      <c r="H336">
        <v>89970</v>
      </c>
      <c r="I336">
        <v>137</v>
      </c>
      <c r="J336" t="s">
        <v>13</v>
      </c>
    </row>
    <row r="337" spans="1:10" x14ac:dyDescent="0.2">
      <c r="A337" s="1">
        <v>46075</v>
      </c>
      <c r="B337" t="s">
        <v>15</v>
      </c>
      <c r="C337" t="s">
        <v>17</v>
      </c>
      <c r="D337" t="s">
        <v>12</v>
      </c>
      <c r="E337">
        <v>157164</v>
      </c>
      <c r="F337">
        <v>6109</v>
      </c>
      <c r="G337">
        <v>899.72</v>
      </c>
      <c r="H337">
        <v>128344</v>
      </c>
      <c r="I337">
        <v>203</v>
      </c>
      <c r="J337" t="s">
        <v>13</v>
      </c>
    </row>
    <row r="338" spans="1:10" x14ac:dyDescent="0.2">
      <c r="A338" s="1">
        <v>46075</v>
      </c>
      <c r="B338" t="s">
        <v>19</v>
      </c>
      <c r="C338" t="s">
        <v>11</v>
      </c>
      <c r="D338" t="s">
        <v>12</v>
      </c>
      <c r="E338">
        <v>66168</v>
      </c>
      <c r="F338">
        <v>2787</v>
      </c>
      <c r="G338">
        <v>447.94</v>
      </c>
      <c r="H338">
        <v>49653</v>
      </c>
      <c r="I338">
        <v>73</v>
      </c>
      <c r="J338" t="s">
        <v>13</v>
      </c>
    </row>
    <row r="339" spans="1:10" x14ac:dyDescent="0.2">
      <c r="A339" s="1">
        <v>46075</v>
      </c>
      <c r="B339" t="s">
        <v>19</v>
      </c>
      <c r="C339" t="s">
        <v>14</v>
      </c>
      <c r="D339" t="s">
        <v>12</v>
      </c>
      <c r="E339">
        <v>97372</v>
      </c>
      <c r="F339">
        <v>3299</v>
      </c>
      <c r="G339">
        <v>586.02</v>
      </c>
      <c r="H339">
        <v>78821</v>
      </c>
      <c r="I339">
        <v>145</v>
      </c>
      <c r="J339" t="s">
        <v>13</v>
      </c>
    </row>
    <row r="340" spans="1:10" x14ac:dyDescent="0.2">
      <c r="A340" s="1">
        <v>46076</v>
      </c>
      <c r="B340" t="s">
        <v>10</v>
      </c>
      <c r="C340" t="s">
        <v>11</v>
      </c>
      <c r="D340" t="s">
        <v>12</v>
      </c>
      <c r="E340">
        <v>72847</v>
      </c>
      <c r="F340">
        <v>2282</v>
      </c>
      <c r="G340">
        <v>406.78</v>
      </c>
      <c r="H340">
        <v>54449</v>
      </c>
      <c r="I340">
        <v>87</v>
      </c>
      <c r="J340" t="s">
        <v>13</v>
      </c>
    </row>
    <row r="341" spans="1:10" x14ac:dyDescent="0.2">
      <c r="A341" s="1">
        <v>46076</v>
      </c>
      <c r="B341" t="s">
        <v>10</v>
      </c>
      <c r="C341" t="s">
        <v>14</v>
      </c>
      <c r="D341" t="s">
        <v>12</v>
      </c>
      <c r="E341">
        <v>120534</v>
      </c>
      <c r="F341">
        <v>4468</v>
      </c>
      <c r="G341">
        <v>715.34</v>
      </c>
      <c r="H341">
        <v>88817</v>
      </c>
      <c r="I341">
        <v>207</v>
      </c>
      <c r="J341" t="s">
        <v>13</v>
      </c>
    </row>
    <row r="342" spans="1:10" x14ac:dyDescent="0.2">
      <c r="A342" s="1">
        <v>46076</v>
      </c>
      <c r="B342" t="s">
        <v>15</v>
      </c>
      <c r="C342" t="s">
        <v>16</v>
      </c>
      <c r="D342" t="s">
        <v>12</v>
      </c>
      <c r="E342">
        <v>60210</v>
      </c>
      <c r="F342">
        <v>1861</v>
      </c>
      <c r="G342">
        <v>307.02999999999997</v>
      </c>
      <c r="H342">
        <v>48782</v>
      </c>
      <c r="I342">
        <v>57</v>
      </c>
      <c r="J342" t="s">
        <v>13</v>
      </c>
    </row>
    <row r="343" spans="1:10" x14ac:dyDescent="0.2">
      <c r="A343" s="1">
        <v>46076</v>
      </c>
      <c r="B343" t="s">
        <v>15</v>
      </c>
      <c r="C343" t="s">
        <v>17</v>
      </c>
      <c r="D343" t="s">
        <v>12</v>
      </c>
      <c r="E343">
        <v>113874</v>
      </c>
      <c r="F343">
        <v>3268</v>
      </c>
      <c r="G343">
        <v>570.42999999999995</v>
      </c>
      <c r="H343">
        <v>82914</v>
      </c>
      <c r="I343">
        <v>152</v>
      </c>
      <c r="J343" t="s">
        <v>13</v>
      </c>
    </row>
    <row r="344" spans="1:10" x14ac:dyDescent="0.2">
      <c r="A344" s="1">
        <v>46077</v>
      </c>
      <c r="B344" t="s">
        <v>10</v>
      </c>
      <c r="C344" t="s">
        <v>11</v>
      </c>
      <c r="D344" t="s">
        <v>12</v>
      </c>
      <c r="E344">
        <v>115598</v>
      </c>
      <c r="F344">
        <v>3756</v>
      </c>
      <c r="G344">
        <v>557.51</v>
      </c>
      <c r="H344">
        <v>89844</v>
      </c>
      <c r="I344">
        <v>142</v>
      </c>
      <c r="J344" t="s">
        <v>13</v>
      </c>
    </row>
    <row r="345" spans="1:10" x14ac:dyDescent="0.2">
      <c r="A345" s="1">
        <v>46077</v>
      </c>
      <c r="B345" t="s">
        <v>10</v>
      </c>
      <c r="C345" t="s">
        <v>14</v>
      </c>
      <c r="D345" t="s">
        <v>12</v>
      </c>
      <c r="E345">
        <v>43969</v>
      </c>
      <c r="F345">
        <v>1603</v>
      </c>
      <c r="G345">
        <v>264.63</v>
      </c>
      <c r="H345">
        <v>32931</v>
      </c>
      <c r="I345">
        <v>75</v>
      </c>
      <c r="J345" t="s">
        <v>13</v>
      </c>
    </row>
    <row r="346" spans="1:10" x14ac:dyDescent="0.2">
      <c r="A346" s="1">
        <v>46077</v>
      </c>
      <c r="B346" t="s">
        <v>15</v>
      </c>
      <c r="C346" t="s">
        <v>16</v>
      </c>
      <c r="D346" t="s">
        <v>12</v>
      </c>
      <c r="E346">
        <v>103300</v>
      </c>
      <c r="F346">
        <v>3322</v>
      </c>
      <c r="G346">
        <v>572.36</v>
      </c>
      <c r="H346">
        <v>78570</v>
      </c>
      <c r="I346">
        <v>112</v>
      </c>
      <c r="J346" t="s">
        <v>13</v>
      </c>
    </row>
    <row r="347" spans="1:10" x14ac:dyDescent="0.2">
      <c r="A347" s="1">
        <v>46077</v>
      </c>
      <c r="B347" t="s">
        <v>15</v>
      </c>
      <c r="C347" t="s">
        <v>17</v>
      </c>
      <c r="D347" t="s">
        <v>12</v>
      </c>
      <c r="E347">
        <v>47852</v>
      </c>
      <c r="F347">
        <v>1468</v>
      </c>
      <c r="G347">
        <v>229.93</v>
      </c>
      <c r="H347">
        <v>36675</v>
      </c>
      <c r="I347">
        <v>45</v>
      </c>
      <c r="J347" t="s">
        <v>13</v>
      </c>
    </row>
    <row r="348" spans="1:10" x14ac:dyDescent="0.2">
      <c r="A348" s="1">
        <v>46078</v>
      </c>
      <c r="B348" t="s">
        <v>10</v>
      </c>
      <c r="C348" t="s">
        <v>11</v>
      </c>
      <c r="D348" t="s">
        <v>12</v>
      </c>
      <c r="E348">
        <v>58830</v>
      </c>
      <c r="F348">
        <v>1959</v>
      </c>
      <c r="G348">
        <v>330.55</v>
      </c>
      <c r="H348">
        <v>46676</v>
      </c>
      <c r="I348">
        <v>86</v>
      </c>
      <c r="J348" t="s">
        <v>13</v>
      </c>
    </row>
    <row r="349" spans="1:10" x14ac:dyDescent="0.2">
      <c r="A349" s="1">
        <v>46078</v>
      </c>
      <c r="B349" t="s">
        <v>10</v>
      </c>
      <c r="C349" t="s">
        <v>14</v>
      </c>
      <c r="D349" t="s">
        <v>12</v>
      </c>
      <c r="E349">
        <v>92260</v>
      </c>
      <c r="F349">
        <v>2788</v>
      </c>
      <c r="G349">
        <v>431.64</v>
      </c>
      <c r="H349">
        <v>71608</v>
      </c>
      <c r="I349">
        <v>84</v>
      </c>
      <c r="J349" t="s">
        <v>13</v>
      </c>
    </row>
    <row r="350" spans="1:10" x14ac:dyDescent="0.2">
      <c r="A350" s="1">
        <v>46078</v>
      </c>
      <c r="B350" t="s">
        <v>15</v>
      </c>
      <c r="C350" t="s">
        <v>16</v>
      </c>
      <c r="D350" t="s">
        <v>12</v>
      </c>
      <c r="E350">
        <v>101141</v>
      </c>
      <c r="F350">
        <v>3042</v>
      </c>
      <c r="G350">
        <v>480.59</v>
      </c>
      <c r="H350">
        <v>74246</v>
      </c>
      <c r="I350">
        <v>70</v>
      </c>
      <c r="J350" t="s">
        <v>13</v>
      </c>
    </row>
    <row r="351" spans="1:10" x14ac:dyDescent="0.2">
      <c r="A351" s="1">
        <v>46078</v>
      </c>
      <c r="B351" t="s">
        <v>15</v>
      </c>
      <c r="C351" t="s">
        <v>17</v>
      </c>
      <c r="D351" t="s">
        <v>12</v>
      </c>
      <c r="E351">
        <v>90351</v>
      </c>
      <c r="F351">
        <v>3857</v>
      </c>
      <c r="G351">
        <v>604.49</v>
      </c>
      <c r="H351">
        <v>73750</v>
      </c>
      <c r="I351">
        <v>175</v>
      </c>
      <c r="J351" t="s">
        <v>13</v>
      </c>
    </row>
    <row r="352" spans="1:10" x14ac:dyDescent="0.2">
      <c r="A352" s="1">
        <v>46079</v>
      </c>
      <c r="B352" t="s">
        <v>10</v>
      </c>
      <c r="C352" t="s">
        <v>11</v>
      </c>
      <c r="D352" t="s">
        <v>12</v>
      </c>
      <c r="E352">
        <v>82917</v>
      </c>
      <c r="F352">
        <v>3637</v>
      </c>
      <c r="G352">
        <v>614.09</v>
      </c>
      <c r="H352">
        <v>61274</v>
      </c>
      <c r="I352">
        <v>95</v>
      </c>
      <c r="J352" t="s">
        <v>13</v>
      </c>
    </row>
    <row r="353" spans="1:10" x14ac:dyDescent="0.2">
      <c r="A353" s="1">
        <v>46079</v>
      </c>
      <c r="B353" t="s">
        <v>10</v>
      </c>
      <c r="C353" t="s">
        <v>14</v>
      </c>
      <c r="D353" t="s">
        <v>12</v>
      </c>
      <c r="E353">
        <v>107466</v>
      </c>
      <c r="F353">
        <v>3861</v>
      </c>
      <c r="G353">
        <v>676.3</v>
      </c>
      <c r="H353">
        <v>82720</v>
      </c>
      <c r="I353">
        <v>93</v>
      </c>
      <c r="J353" t="s">
        <v>13</v>
      </c>
    </row>
    <row r="354" spans="1:10" x14ac:dyDescent="0.2">
      <c r="A354" s="1">
        <v>46079</v>
      </c>
      <c r="B354" t="s">
        <v>15</v>
      </c>
      <c r="C354" t="s">
        <v>16</v>
      </c>
      <c r="D354" t="s">
        <v>12</v>
      </c>
      <c r="E354">
        <v>91543</v>
      </c>
      <c r="F354">
        <v>3349</v>
      </c>
      <c r="G354">
        <v>598.36</v>
      </c>
      <c r="H354">
        <v>67880</v>
      </c>
      <c r="I354">
        <v>104</v>
      </c>
      <c r="J354" t="s">
        <v>13</v>
      </c>
    </row>
    <row r="355" spans="1:10" x14ac:dyDescent="0.2">
      <c r="A355" s="1">
        <v>46079</v>
      </c>
      <c r="B355" t="s">
        <v>15</v>
      </c>
      <c r="C355" t="s">
        <v>17</v>
      </c>
      <c r="D355" t="s">
        <v>12</v>
      </c>
      <c r="E355">
        <v>46624</v>
      </c>
      <c r="F355">
        <v>1528</v>
      </c>
      <c r="G355">
        <v>250.44</v>
      </c>
      <c r="H355">
        <v>37498</v>
      </c>
      <c r="I355">
        <v>60</v>
      </c>
      <c r="J355" t="s">
        <v>13</v>
      </c>
    </row>
    <row r="356" spans="1:10" x14ac:dyDescent="0.2">
      <c r="A356" s="1">
        <v>46080</v>
      </c>
      <c r="B356" t="s">
        <v>10</v>
      </c>
      <c r="C356" t="s">
        <v>11</v>
      </c>
      <c r="D356" t="s">
        <v>12</v>
      </c>
      <c r="E356">
        <v>77453</v>
      </c>
      <c r="F356">
        <v>2875</v>
      </c>
      <c r="G356">
        <v>499.92</v>
      </c>
      <c r="H356">
        <v>59103</v>
      </c>
      <c r="I356">
        <v>129</v>
      </c>
      <c r="J356" t="s">
        <v>13</v>
      </c>
    </row>
    <row r="357" spans="1:10" x14ac:dyDescent="0.2">
      <c r="A357" s="1">
        <v>46080</v>
      </c>
      <c r="B357" t="s">
        <v>10</v>
      </c>
      <c r="C357" t="s">
        <v>14</v>
      </c>
      <c r="D357" t="s">
        <v>12</v>
      </c>
      <c r="E357">
        <v>87943</v>
      </c>
      <c r="F357">
        <v>3604</v>
      </c>
      <c r="G357">
        <v>557.30999999999995</v>
      </c>
      <c r="H357">
        <v>66841</v>
      </c>
      <c r="I357">
        <v>132</v>
      </c>
      <c r="J357" t="s">
        <v>13</v>
      </c>
    </row>
    <row r="358" spans="1:10" x14ac:dyDescent="0.2">
      <c r="A358" s="1">
        <v>46080</v>
      </c>
      <c r="B358" t="s">
        <v>15</v>
      </c>
      <c r="C358" t="s">
        <v>16</v>
      </c>
      <c r="D358" t="s">
        <v>12</v>
      </c>
      <c r="E358">
        <v>65513</v>
      </c>
      <c r="F358">
        <v>2238</v>
      </c>
      <c r="G358">
        <v>339.16</v>
      </c>
      <c r="H358">
        <v>49700</v>
      </c>
      <c r="I358">
        <v>75</v>
      </c>
      <c r="J358" t="s">
        <v>13</v>
      </c>
    </row>
    <row r="359" spans="1:10" x14ac:dyDescent="0.2">
      <c r="A359" s="1">
        <v>46080</v>
      </c>
      <c r="B359" t="s">
        <v>15</v>
      </c>
      <c r="C359" t="s">
        <v>17</v>
      </c>
      <c r="D359" t="s">
        <v>12</v>
      </c>
      <c r="E359">
        <v>112070</v>
      </c>
      <c r="F359">
        <v>3670</v>
      </c>
      <c r="G359">
        <v>659</v>
      </c>
      <c r="H359">
        <v>88315</v>
      </c>
      <c r="I359">
        <v>92</v>
      </c>
      <c r="J359" t="s">
        <v>13</v>
      </c>
    </row>
    <row r="360" spans="1:10" x14ac:dyDescent="0.2">
      <c r="A360" s="1">
        <v>46081</v>
      </c>
      <c r="B360" t="s">
        <v>10</v>
      </c>
      <c r="C360" t="s">
        <v>11</v>
      </c>
      <c r="D360" t="s">
        <v>12</v>
      </c>
      <c r="E360">
        <v>73740</v>
      </c>
      <c r="F360">
        <v>2558</v>
      </c>
      <c r="G360">
        <v>439.45</v>
      </c>
      <c r="H360">
        <v>55593</v>
      </c>
      <c r="I360">
        <v>118</v>
      </c>
      <c r="J360" t="s">
        <v>13</v>
      </c>
    </row>
    <row r="361" spans="1:10" x14ac:dyDescent="0.2">
      <c r="A361" s="1">
        <v>46081</v>
      </c>
      <c r="B361" t="s">
        <v>10</v>
      </c>
      <c r="C361" t="s">
        <v>14</v>
      </c>
      <c r="D361" t="s">
        <v>12</v>
      </c>
      <c r="E361">
        <v>82472</v>
      </c>
      <c r="F361">
        <v>2588</v>
      </c>
      <c r="G361">
        <v>415.02</v>
      </c>
      <c r="H361">
        <v>63504</v>
      </c>
      <c r="I361">
        <v>59</v>
      </c>
      <c r="J361" t="s">
        <v>13</v>
      </c>
    </row>
    <row r="362" spans="1:10" x14ac:dyDescent="0.2">
      <c r="A362" s="1">
        <v>46081</v>
      </c>
      <c r="B362" t="s">
        <v>15</v>
      </c>
      <c r="C362" t="s">
        <v>16</v>
      </c>
      <c r="D362" t="s">
        <v>12</v>
      </c>
      <c r="E362">
        <v>81145</v>
      </c>
      <c r="F362">
        <v>3256</v>
      </c>
      <c r="G362">
        <v>560.54999999999995</v>
      </c>
      <c r="H362">
        <v>62638</v>
      </c>
      <c r="I362">
        <v>84</v>
      </c>
      <c r="J362" t="s">
        <v>13</v>
      </c>
    </row>
    <row r="363" spans="1:10" x14ac:dyDescent="0.2">
      <c r="A363" s="1">
        <v>46081</v>
      </c>
      <c r="B363" t="s">
        <v>15</v>
      </c>
      <c r="C363" t="s">
        <v>17</v>
      </c>
      <c r="D363" t="s">
        <v>12</v>
      </c>
      <c r="E363">
        <v>150595</v>
      </c>
      <c r="F363">
        <v>4574</v>
      </c>
      <c r="G363">
        <v>810.76</v>
      </c>
      <c r="H363">
        <v>113225</v>
      </c>
      <c r="I363">
        <v>147</v>
      </c>
      <c r="J363" t="s">
        <v>13</v>
      </c>
    </row>
    <row r="364" spans="1:10" x14ac:dyDescent="0.2">
      <c r="A364" s="1">
        <v>46081</v>
      </c>
      <c r="B364" t="s">
        <v>19</v>
      </c>
      <c r="C364" t="s">
        <v>11</v>
      </c>
      <c r="D364" t="s">
        <v>12</v>
      </c>
      <c r="E364">
        <v>169127</v>
      </c>
      <c r="F364">
        <v>6861</v>
      </c>
      <c r="G364">
        <v>1042.6600000000001</v>
      </c>
      <c r="H364">
        <v>127460</v>
      </c>
      <c r="I364">
        <v>298</v>
      </c>
      <c r="J364" t="s">
        <v>13</v>
      </c>
    </row>
    <row r="365" spans="1:10" x14ac:dyDescent="0.2">
      <c r="A365" s="1">
        <v>46081</v>
      </c>
      <c r="B365" t="s">
        <v>19</v>
      </c>
      <c r="C365" t="s">
        <v>14</v>
      </c>
      <c r="D365" t="s">
        <v>12</v>
      </c>
      <c r="E365">
        <v>153683</v>
      </c>
      <c r="F365">
        <v>5582</v>
      </c>
      <c r="G365">
        <v>907.17</v>
      </c>
      <c r="H365">
        <v>117950</v>
      </c>
      <c r="I365">
        <v>125</v>
      </c>
      <c r="J365" t="s">
        <v>13</v>
      </c>
    </row>
    <row r="366" spans="1:10" x14ac:dyDescent="0.2">
      <c r="A366" s="1">
        <v>46082</v>
      </c>
      <c r="B366" t="s">
        <v>10</v>
      </c>
      <c r="C366" t="s">
        <v>11</v>
      </c>
      <c r="D366" t="s">
        <v>12</v>
      </c>
      <c r="E366">
        <v>108440</v>
      </c>
      <c r="F366">
        <v>4278</v>
      </c>
      <c r="G366">
        <v>766.6</v>
      </c>
      <c r="H366">
        <v>84406</v>
      </c>
      <c r="I366">
        <v>182</v>
      </c>
      <c r="J366" t="s">
        <v>13</v>
      </c>
    </row>
    <row r="367" spans="1:10" x14ac:dyDescent="0.2">
      <c r="A367" s="1">
        <v>46082</v>
      </c>
      <c r="B367" t="s">
        <v>10</v>
      </c>
      <c r="C367" t="s">
        <v>14</v>
      </c>
      <c r="D367" t="s">
        <v>12</v>
      </c>
      <c r="E367">
        <v>159221</v>
      </c>
      <c r="F367">
        <v>4530</v>
      </c>
      <c r="G367">
        <v>720.2</v>
      </c>
      <c r="H367">
        <v>130036</v>
      </c>
      <c r="I367">
        <v>191</v>
      </c>
      <c r="J367" t="s">
        <v>13</v>
      </c>
    </row>
    <row r="368" spans="1:10" x14ac:dyDescent="0.2">
      <c r="A368" s="1">
        <v>46082</v>
      </c>
      <c r="B368" t="s">
        <v>15</v>
      </c>
      <c r="C368" t="s">
        <v>16</v>
      </c>
      <c r="D368" t="s">
        <v>12</v>
      </c>
      <c r="E368">
        <v>150567</v>
      </c>
      <c r="F368">
        <v>5694</v>
      </c>
      <c r="G368">
        <v>961.47</v>
      </c>
      <c r="H368">
        <v>117194</v>
      </c>
      <c r="I368">
        <v>150</v>
      </c>
      <c r="J368" t="s">
        <v>13</v>
      </c>
    </row>
    <row r="369" spans="1:10" x14ac:dyDescent="0.2">
      <c r="A369" s="1">
        <v>46082</v>
      </c>
      <c r="B369" t="s">
        <v>15</v>
      </c>
      <c r="C369" t="s">
        <v>17</v>
      </c>
      <c r="D369" t="s">
        <v>12</v>
      </c>
      <c r="E369">
        <v>159181</v>
      </c>
      <c r="F369">
        <v>6408</v>
      </c>
      <c r="G369">
        <v>1095.67</v>
      </c>
      <c r="H369">
        <v>120662</v>
      </c>
      <c r="I369">
        <v>277</v>
      </c>
      <c r="J369" t="s">
        <v>13</v>
      </c>
    </row>
    <row r="370" spans="1:10" x14ac:dyDescent="0.2">
      <c r="A370" s="1">
        <v>46082</v>
      </c>
      <c r="B370" t="s">
        <v>19</v>
      </c>
      <c r="C370" t="s">
        <v>11</v>
      </c>
      <c r="D370" t="s">
        <v>12</v>
      </c>
      <c r="E370">
        <v>93268</v>
      </c>
      <c r="F370">
        <v>2661</v>
      </c>
      <c r="G370">
        <v>473.47</v>
      </c>
      <c r="H370">
        <v>68177</v>
      </c>
      <c r="I370">
        <v>59</v>
      </c>
      <c r="J370" t="s">
        <v>13</v>
      </c>
    </row>
    <row r="371" spans="1:10" x14ac:dyDescent="0.2">
      <c r="A371" s="1">
        <v>46082</v>
      </c>
      <c r="B371" t="s">
        <v>19</v>
      </c>
      <c r="C371" t="s">
        <v>14</v>
      </c>
      <c r="D371" t="s">
        <v>12</v>
      </c>
      <c r="E371">
        <v>105450</v>
      </c>
      <c r="F371">
        <v>3703</v>
      </c>
      <c r="G371">
        <v>579.59</v>
      </c>
      <c r="H371">
        <v>78074</v>
      </c>
      <c r="I371">
        <v>129</v>
      </c>
      <c r="J371" t="s">
        <v>13</v>
      </c>
    </row>
    <row r="372" spans="1:10" x14ac:dyDescent="0.2">
      <c r="A372" s="1">
        <v>46083</v>
      </c>
      <c r="B372" t="s">
        <v>10</v>
      </c>
      <c r="C372" t="s">
        <v>11</v>
      </c>
      <c r="D372" t="s">
        <v>12</v>
      </c>
      <c r="E372">
        <v>156191</v>
      </c>
      <c r="F372">
        <v>6817</v>
      </c>
      <c r="G372">
        <v>1192.3800000000001</v>
      </c>
      <c r="H372">
        <v>123950</v>
      </c>
      <c r="I372">
        <v>161</v>
      </c>
      <c r="J372" t="s">
        <v>13</v>
      </c>
    </row>
    <row r="373" spans="1:10" x14ac:dyDescent="0.2">
      <c r="A373" s="1">
        <v>46083</v>
      </c>
      <c r="B373" t="s">
        <v>10</v>
      </c>
      <c r="C373" t="s">
        <v>14</v>
      </c>
      <c r="D373" t="s">
        <v>12</v>
      </c>
      <c r="E373">
        <v>75527</v>
      </c>
      <c r="F373">
        <v>2780</v>
      </c>
      <c r="G373">
        <v>451.57</v>
      </c>
      <c r="H373">
        <v>61917</v>
      </c>
      <c r="I373">
        <v>95</v>
      </c>
      <c r="J373" t="s">
        <v>13</v>
      </c>
    </row>
    <row r="374" spans="1:10" x14ac:dyDescent="0.2">
      <c r="A374" s="1">
        <v>46083</v>
      </c>
      <c r="B374" t="s">
        <v>15</v>
      </c>
      <c r="C374" t="s">
        <v>16</v>
      </c>
      <c r="D374" t="s">
        <v>12</v>
      </c>
      <c r="E374">
        <v>116208</v>
      </c>
      <c r="F374">
        <v>3873</v>
      </c>
      <c r="G374">
        <v>569.04999999999995</v>
      </c>
      <c r="H374">
        <v>94269</v>
      </c>
      <c r="I374">
        <v>119</v>
      </c>
      <c r="J374" t="s">
        <v>13</v>
      </c>
    </row>
    <row r="375" spans="1:10" x14ac:dyDescent="0.2">
      <c r="A375" s="1">
        <v>46083</v>
      </c>
      <c r="B375" t="s">
        <v>15</v>
      </c>
      <c r="C375" t="s">
        <v>17</v>
      </c>
      <c r="D375" t="s">
        <v>12</v>
      </c>
      <c r="E375">
        <v>112368</v>
      </c>
      <c r="F375">
        <v>4437</v>
      </c>
      <c r="G375">
        <v>775.17</v>
      </c>
      <c r="H375">
        <v>88554</v>
      </c>
      <c r="I375">
        <v>190</v>
      </c>
      <c r="J375" t="s">
        <v>13</v>
      </c>
    </row>
    <row r="376" spans="1:10" x14ac:dyDescent="0.2">
      <c r="A376" s="1">
        <v>46084</v>
      </c>
      <c r="B376" t="s">
        <v>10</v>
      </c>
      <c r="C376" t="s">
        <v>11</v>
      </c>
      <c r="D376" t="s">
        <v>12</v>
      </c>
      <c r="E376">
        <v>97045</v>
      </c>
      <c r="F376">
        <v>3723</v>
      </c>
      <c r="G376">
        <v>549.85</v>
      </c>
      <c r="H376">
        <v>72264</v>
      </c>
      <c r="I376">
        <v>135</v>
      </c>
      <c r="J376" t="s">
        <v>13</v>
      </c>
    </row>
    <row r="377" spans="1:10" x14ac:dyDescent="0.2">
      <c r="A377" s="1">
        <v>46084</v>
      </c>
      <c r="B377" t="s">
        <v>10</v>
      </c>
      <c r="C377" t="s">
        <v>14</v>
      </c>
      <c r="D377" t="s">
        <v>12</v>
      </c>
      <c r="E377">
        <v>90314</v>
      </c>
      <c r="F377">
        <v>3974</v>
      </c>
      <c r="G377">
        <v>712.5</v>
      </c>
      <c r="H377">
        <v>71990</v>
      </c>
      <c r="I377">
        <v>160</v>
      </c>
      <c r="J377" t="s">
        <v>13</v>
      </c>
    </row>
    <row r="378" spans="1:10" x14ac:dyDescent="0.2">
      <c r="A378" s="1">
        <v>46084</v>
      </c>
      <c r="B378" t="s">
        <v>15</v>
      </c>
      <c r="C378" t="s">
        <v>16</v>
      </c>
      <c r="D378" t="s">
        <v>12</v>
      </c>
      <c r="E378">
        <v>135322</v>
      </c>
      <c r="F378">
        <v>4518</v>
      </c>
      <c r="G378">
        <v>695.56</v>
      </c>
      <c r="H378">
        <v>110066</v>
      </c>
      <c r="I378">
        <v>192</v>
      </c>
      <c r="J378" t="s">
        <v>13</v>
      </c>
    </row>
    <row r="379" spans="1:10" x14ac:dyDescent="0.2">
      <c r="A379" s="1">
        <v>46084</v>
      </c>
      <c r="B379" t="s">
        <v>15</v>
      </c>
      <c r="C379" t="s">
        <v>17</v>
      </c>
      <c r="D379" t="s">
        <v>12</v>
      </c>
      <c r="E379">
        <v>98594</v>
      </c>
      <c r="F379">
        <v>3242</v>
      </c>
      <c r="G379">
        <v>528.25</v>
      </c>
      <c r="H379">
        <v>76343</v>
      </c>
      <c r="I379">
        <v>146</v>
      </c>
      <c r="J379" t="s">
        <v>13</v>
      </c>
    </row>
    <row r="380" spans="1:10" x14ac:dyDescent="0.2">
      <c r="A380" s="1">
        <v>46085</v>
      </c>
      <c r="B380" t="s">
        <v>10</v>
      </c>
      <c r="C380" t="s">
        <v>11</v>
      </c>
      <c r="D380" t="s">
        <v>12</v>
      </c>
      <c r="E380">
        <v>119225</v>
      </c>
      <c r="F380">
        <v>4997</v>
      </c>
      <c r="G380">
        <v>890.39</v>
      </c>
      <c r="H380">
        <v>95435</v>
      </c>
      <c r="I380">
        <v>147</v>
      </c>
      <c r="J380" t="s">
        <v>13</v>
      </c>
    </row>
    <row r="381" spans="1:10" x14ac:dyDescent="0.2">
      <c r="A381" s="1">
        <v>46085</v>
      </c>
      <c r="B381" t="s">
        <v>10</v>
      </c>
      <c r="C381" t="s">
        <v>14</v>
      </c>
      <c r="D381" t="s">
        <v>12</v>
      </c>
      <c r="E381">
        <v>101010</v>
      </c>
      <c r="F381">
        <v>4468</v>
      </c>
      <c r="G381">
        <v>639.64</v>
      </c>
      <c r="H381">
        <v>82060</v>
      </c>
      <c r="I381">
        <v>174</v>
      </c>
      <c r="J381" t="s">
        <v>13</v>
      </c>
    </row>
    <row r="382" spans="1:10" x14ac:dyDescent="0.2">
      <c r="A382" s="1">
        <v>46085</v>
      </c>
      <c r="B382" t="s">
        <v>15</v>
      </c>
      <c r="C382" t="s">
        <v>16</v>
      </c>
      <c r="D382" t="s">
        <v>12</v>
      </c>
      <c r="E382">
        <v>133630</v>
      </c>
      <c r="F382">
        <v>4227</v>
      </c>
      <c r="G382">
        <v>731.77</v>
      </c>
      <c r="H382">
        <v>99836</v>
      </c>
      <c r="I382">
        <v>154</v>
      </c>
      <c r="J382" t="s">
        <v>13</v>
      </c>
    </row>
    <row r="383" spans="1:10" x14ac:dyDescent="0.2">
      <c r="A383" s="1">
        <v>46085</v>
      </c>
      <c r="B383" t="s">
        <v>15</v>
      </c>
      <c r="C383" t="s">
        <v>17</v>
      </c>
      <c r="D383" t="s">
        <v>12</v>
      </c>
      <c r="E383">
        <v>98281</v>
      </c>
      <c r="F383">
        <v>2981</v>
      </c>
      <c r="G383">
        <v>490.75</v>
      </c>
      <c r="H383">
        <v>76529</v>
      </c>
      <c r="I383">
        <v>84</v>
      </c>
      <c r="J383" t="s">
        <v>13</v>
      </c>
    </row>
    <row r="384" spans="1:10" x14ac:dyDescent="0.2">
      <c r="A384" s="1">
        <v>46086</v>
      </c>
      <c r="B384" t="s">
        <v>10</v>
      </c>
      <c r="C384" t="s">
        <v>11</v>
      </c>
      <c r="D384" t="s">
        <v>12</v>
      </c>
      <c r="E384">
        <v>166134</v>
      </c>
      <c r="F384">
        <v>7208</v>
      </c>
      <c r="G384">
        <v>1074.19</v>
      </c>
      <c r="H384">
        <v>123484</v>
      </c>
      <c r="I384">
        <v>177</v>
      </c>
      <c r="J384" t="s">
        <v>13</v>
      </c>
    </row>
    <row r="385" spans="1:10" x14ac:dyDescent="0.2">
      <c r="A385" s="1">
        <v>46086</v>
      </c>
      <c r="B385" t="s">
        <v>10</v>
      </c>
      <c r="C385" t="s">
        <v>14</v>
      </c>
      <c r="D385" t="s">
        <v>12</v>
      </c>
      <c r="E385">
        <v>108279</v>
      </c>
      <c r="F385">
        <v>4352</v>
      </c>
      <c r="G385">
        <v>626.78</v>
      </c>
      <c r="H385">
        <v>86306</v>
      </c>
      <c r="I385">
        <v>96</v>
      </c>
      <c r="J385" t="s">
        <v>13</v>
      </c>
    </row>
    <row r="386" spans="1:10" x14ac:dyDescent="0.2">
      <c r="A386" s="1">
        <v>46086</v>
      </c>
      <c r="B386" t="s">
        <v>15</v>
      </c>
      <c r="C386" t="s">
        <v>16</v>
      </c>
      <c r="D386" t="s">
        <v>12</v>
      </c>
      <c r="E386">
        <v>145775</v>
      </c>
      <c r="F386">
        <v>6505</v>
      </c>
      <c r="G386">
        <v>951.8</v>
      </c>
      <c r="H386">
        <v>114475</v>
      </c>
      <c r="I386">
        <v>292</v>
      </c>
      <c r="J386" t="s">
        <v>13</v>
      </c>
    </row>
    <row r="387" spans="1:10" x14ac:dyDescent="0.2">
      <c r="A387" s="1">
        <v>46086</v>
      </c>
      <c r="B387" t="s">
        <v>15</v>
      </c>
      <c r="C387" t="s">
        <v>17</v>
      </c>
      <c r="D387" t="s">
        <v>12</v>
      </c>
      <c r="E387">
        <v>133055</v>
      </c>
      <c r="F387">
        <v>4805</v>
      </c>
      <c r="G387">
        <v>711.04</v>
      </c>
      <c r="H387">
        <v>108624</v>
      </c>
      <c r="I387">
        <v>145</v>
      </c>
      <c r="J387" t="s">
        <v>13</v>
      </c>
    </row>
    <row r="388" spans="1:10" x14ac:dyDescent="0.2">
      <c r="A388" s="1">
        <v>46087</v>
      </c>
      <c r="B388" t="s">
        <v>10</v>
      </c>
      <c r="C388" t="s">
        <v>11</v>
      </c>
      <c r="D388" t="s">
        <v>12</v>
      </c>
      <c r="E388">
        <v>162056</v>
      </c>
      <c r="F388">
        <v>4700</v>
      </c>
      <c r="G388">
        <v>802.52</v>
      </c>
      <c r="H388">
        <v>127251</v>
      </c>
      <c r="I388">
        <v>131</v>
      </c>
      <c r="J388" t="s">
        <v>13</v>
      </c>
    </row>
    <row r="389" spans="1:10" x14ac:dyDescent="0.2">
      <c r="A389" s="1">
        <v>46087</v>
      </c>
      <c r="B389" t="s">
        <v>10</v>
      </c>
      <c r="C389" t="s">
        <v>14</v>
      </c>
      <c r="D389" t="s">
        <v>12</v>
      </c>
      <c r="E389">
        <v>58354</v>
      </c>
      <c r="F389">
        <v>2539</v>
      </c>
      <c r="G389">
        <v>373.24</v>
      </c>
      <c r="H389">
        <v>47163</v>
      </c>
      <c r="I389">
        <v>67</v>
      </c>
      <c r="J389" t="s">
        <v>13</v>
      </c>
    </row>
    <row r="390" spans="1:10" x14ac:dyDescent="0.2">
      <c r="A390" s="1">
        <v>46087</v>
      </c>
      <c r="B390" t="s">
        <v>15</v>
      </c>
      <c r="C390" t="s">
        <v>16</v>
      </c>
      <c r="D390" t="s">
        <v>12</v>
      </c>
      <c r="E390">
        <v>58191</v>
      </c>
      <c r="F390">
        <v>2615</v>
      </c>
      <c r="G390">
        <v>407.63</v>
      </c>
      <c r="H390">
        <v>44780</v>
      </c>
      <c r="I390">
        <v>121</v>
      </c>
      <c r="J390" t="s">
        <v>13</v>
      </c>
    </row>
    <row r="391" spans="1:10" x14ac:dyDescent="0.2">
      <c r="A391" s="1">
        <v>46087</v>
      </c>
      <c r="B391" t="s">
        <v>15</v>
      </c>
      <c r="C391" t="s">
        <v>17</v>
      </c>
      <c r="D391" t="s">
        <v>12</v>
      </c>
      <c r="E391">
        <v>101323</v>
      </c>
      <c r="F391">
        <v>4347</v>
      </c>
      <c r="G391">
        <v>610.19000000000005</v>
      </c>
      <c r="H391">
        <v>78707</v>
      </c>
      <c r="I391">
        <v>107</v>
      </c>
      <c r="J391" t="s">
        <v>13</v>
      </c>
    </row>
    <row r="392" spans="1:10" x14ac:dyDescent="0.2">
      <c r="A392" s="1">
        <v>46088</v>
      </c>
      <c r="B392" t="s">
        <v>10</v>
      </c>
      <c r="C392" t="s">
        <v>11</v>
      </c>
      <c r="D392" t="s">
        <v>12</v>
      </c>
      <c r="E392">
        <v>109088</v>
      </c>
      <c r="F392">
        <v>3582</v>
      </c>
      <c r="G392">
        <v>643.20000000000005</v>
      </c>
      <c r="H392">
        <v>84470</v>
      </c>
      <c r="I392">
        <v>124</v>
      </c>
      <c r="J392" t="s">
        <v>13</v>
      </c>
    </row>
    <row r="393" spans="1:10" x14ac:dyDescent="0.2">
      <c r="A393" s="1">
        <v>46088</v>
      </c>
      <c r="B393" t="s">
        <v>10</v>
      </c>
      <c r="C393" t="s">
        <v>14</v>
      </c>
      <c r="D393" t="s">
        <v>12</v>
      </c>
      <c r="E393">
        <v>74865</v>
      </c>
      <c r="F393">
        <v>3179</v>
      </c>
      <c r="G393">
        <v>504.57</v>
      </c>
      <c r="H393">
        <v>55346</v>
      </c>
      <c r="I393">
        <v>79</v>
      </c>
      <c r="J393" t="s">
        <v>13</v>
      </c>
    </row>
    <row r="394" spans="1:10" x14ac:dyDescent="0.2">
      <c r="A394" s="1">
        <v>46088</v>
      </c>
      <c r="B394" t="s">
        <v>15</v>
      </c>
      <c r="C394" t="s">
        <v>16</v>
      </c>
      <c r="D394" t="s">
        <v>12</v>
      </c>
      <c r="E394">
        <v>79687</v>
      </c>
      <c r="F394">
        <v>3221</v>
      </c>
      <c r="G394">
        <v>534.47</v>
      </c>
      <c r="H394">
        <v>63100</v>
      </c>
      <c r="I394">
        <v>72</v>
      </c>
      <c r="J394" t="s">
        <v>13</v>
      </c>
    </row>
    <row r="395" spans="1:10" x14ac:dyDescent="0.2">
      <c r="A395" s="1">
        <v>46088</v>
      </c>
      <c r="B395" t="s">
        <v>15</v>
      </c>
      <c r="C395" t="s">
        <v>17</v>
      </c>
      <c r="D395" t="s">
        <v>12</v>
      </c>
      <c r="E395">
        <v>109440</v>
      </c>
      <c r="F395">
        <v>4535</v>
      </c>
      <c r="G395">
        <v>737.9</v>
      </c>
      <c r="H395">
        <v>87084</v>
      </c>
      <c r="I395">
        <v>120</v>
      </c>
      <c r="J395" t="s">
        <v>13</v>
      </c>
    </row>
    <row r="396" spans="1:10" x14ac:dyDescent="0.2">
      <c r="A396" s="1">
        <v>46088</v>
      </c>
      <c r="B396" t="s">
        <v>19</v>
      </c>
      <c r="C396" t="s">
        <v>11</v>
      </c>
      <c r="D396" t="s">
        <v>12</v>
      </c>
      <c r="E396">
        <v>160834</v>
      </c>
      <c r="F396">
        <v>6956</v>
      </c>
      <c r="G396">
        <v>1203.94</v>
      </c>
      <c r="H396">
        <v>124087</v>
      </c>
      <c r="I396">
        <v>168</v>
      </c>
      <c r="J396" t="s">
        <v>13</v>
      </c>
    </row>
    <row r="397" spans="1:10" x14ac:dyDescent="0.2">
      <c r="A397" s="1">
        <v>46088</v>
      </c>
      <c r="B397" t="s">
        <v>19</v>
      </c>
      <c r="C397" t="s">
        <v>14</v>
      </c>
      <c r="D397" t="s">
        <v>12</v>
      </c>
      <c r="E397">
        <v>166036</v>
      </c>
      <c r="F397">
        <v>4918</v>
      </c>
      <c r="G397">
        <v>881.64</v>
      </c>
      <c r="H397">
        <v>127473</v>
      </c>
      <c r="I397">
        <v>227</v>
      </c>
      <c r="J397" t="s">
        <v>13</v>
      </c>
    </row>
    <row r="398" spans="1:10" x14ac:dyDescent="0.2">
      <c r="A398" s="1">
        <v>46089</v>
      </c>
      <c r="B398" t="s">
        <v>10</v>
      </c>
      <c r="C398" t="s">
        <v>11</v>
      </c>
      <c r="D398" t="s">
        <v>12</v>
      </c>
      <c r="E398">
        <v>53163</v>
      </c>
      <c r="F398">
        <v>1724</v>
      </c>
      <c r="G398">
        <v>257.60000000000002</v>
      </c>
      <c r="H398">
        <v>42284</v>
      </c>
      <c r="I398">
        <v>80</v>
      </c>
      <c r="J398" t="s">
        <v>13</v>
      </c>
    </row>
    <row r="399" spans="1:10" x14ac:dyDescent="0.2">
      <c r="A399" s="1">
        <v>46089</v>
      </c>
      <c r="B399" t="s">
        <v>10</v>
      </c>
      <c r="C399" t="s">
        <v>14</v>
      </c>
      <c r="D399" t="s">
        <v>12</v>
      </c>
      <c r="E399">
        <v>103448</v>
      </c>
      <c r="F399">
        <v>3920</v>
      </c>
      <c r="G399">
        <v>638.63</v>
      </c>
      <c r="H399">
        <v>77188</v>
      </c>
      <c r="I399">
        <v>122</v>
      </c>
      <c r="J399" t="s">
        <v>13</v>
      </c>
    </row>
    <row r="400" spans="1:10" x14ac:dyDescent="0.2">
      <c r="A400" s="1">
        <v>46089</v>
      </c>
      <c r="B400" t="s">
        <v>15</v>
      </c>
      <c r="C400" t="s">
        <v>16</v>
      </c>
      <c r="D400" t="s">
        <v>12</v>
      </c>
      <c r="E400">
        <v>92263</v>
      </c>
      <c r="F400">
        <v>2680</v>
      </c>
      <c r="G400">
        <v>387.87</v>
      </c>
      <c r="H400">
        <v>69260</v>
      </c>
      <c r="I400">
        <v>87</v>
      </c>
      <c r="J400" t="s">
        <v>13</v>
      </c>
    </row>
    <row r="401" spans="1:10" x14ac:dyDescent="0.2">
      <c r="A401" s="1">
        <v>46089</v>
      </c>
      <c r="B401" t="s">
        <v>15</v>
      </c>
      <c r="C401" t="s">
        <v>17</v>
      </c>
      <c r="D401" t="s">
        <v>12</v>
      </c>
      <c r="E401">
        <v>137625</v>
      </c>
      <c r="F401">
        <v>6013</v>
      </c>
      <c r="G401">
        <v>1055.3499999999999</v>
      </c>
      <c r="H401">
        <v>109684</v>
      </c>
      <c r="I401">
        <v>240</v>
      </c>
      <c r="J401" t="s">
        <v>13</v>
      </c>
    </row>
    <row r="402" spans="1:10" x14ac:dyDescent="0.2">
      <c r="A402" s="1">
        <v>46089</v>
      </c>
      <c r="B402" t="s">
        <v>19</v>
      </c>
      <c r="C402" t="s">
        <v>11</v>
      </c>
      <c r="D402" t="s">
        <v>12</v>
      </c>
      <c r="E402">
        <v>160832</v>
      </c>
      <c r="F402">
        <v>7008</v>
      </c>
      <c r="G402">
        <v>1063.82</v>
      </c>
      <c r="H402">
        <v>125684</v>
      </c>
      <c r="I402">
        <v>194</v>
      </c>
      <c r="J402" t="s">
        <v>13</v>
      </c>
    </row>
    <row r="403" spans="1:10" x14ac:dyDescent="0.2">
      <c r="A403" s="1">
        <v>46089</v>
      </c>
      <c r="B403" t="s">
        <v>19</v>
      </c>
      <c r="C403" t="s">
        <v>14</v>
      </c>
      <c r="D403" t="s">
        <v>12</v>
      </c>
      <c r="E403">
        <v>74759</v>
      </c>
      <c r="F403">
        <v>2700</v>
      </c>
      <c r="G403">
        <v>427.14</v>
      </c>
      <c r="H403">
        <v>61218</v>
      </c>
      <c r="I403">
        <v>85</v>
      </c>
      <c r="J403" t="s">
        <v>13</v>
      </c>
    </row>
    <row r="404" spans="1:10" x14ac:dyDescent="0.2">
      <c r="A404" s="1">
        <v>46090</v>
      </c>
      <c r="B404" t="s">
        <v>10</v>
      </c>
      <c r="C404" t="s">
        <v>11</v>
      </c>
      <c r="D404" t="s">
        <v>12</v>
      </c>
      <c r="E404">
        <v>145585</v>
      </c>
      <c r="F404">
        <v>6335</v>
      </c>
      <c r="G404">
        <v>1078.81</v>
      </c>
      <c r="H404">
        <v>116497</v>
      </c>
      <c r="I404">
        <v>275</v>
      </c>
      <c r="J404" t="s">
        <v>13</v>
      </c>
    </row>
    <row r="405" spans="1:10" x14ac:dyDescent="0.2">
      <c r="A405" s="1">
        <v>46090</v>
      </c>
      <c r="B405" t="s">
        <v>10</v>
      </c>
      <c r="C405" t="s">
        <v>14</v>
      </c>
      <c r="D405" t="s">
        <v>12</v>
      </c>
      <c r="E405">
        <v>94165</v>
      </c>
      <c r="F405">
        <v>3725</v>
      </c>
      <c r="G405">
        <v>610.28</v>
      </c>
      <c r="H405">
        <v>75213</v>
      </c>
      <c r="I405">
        <v>132</v>
      </c>
      <c r="J405" t="s">
        <v>13</v>
      </c>
    </row>
    <row r="406" spans="1:10" x14ac:dyDescent="0.2">
      <c r="A406" s="1">
        <v>46090</v>
      </c>
      <c r="B406" t="s">
        <v>15</v>
      </c>
      <c r="C406" t="s">
        <v>16</v>
      </c>
      <c r="D406" t="s">
        <v>12</v>
      </c>
      <c r="E406">
        <v>141996</v>
      </c>
      <c r="F406">
        <v>5674</v>
      </c>
      <c r="G406">
        <v>812.09</v>
      </c>
      <c r="H406">
        <v>110248</v>
      </c>
      <c r="I406">
        <v>133</v>
      </c>
      <c r="J406" t="s">
        <v>13</v>
      </c>
    </row>
    <row r="407" spans="1:10" x14ac:dyDescent="0.2">
      <c r="A407" s="1">
        <v>46090</v>
      </c>
      <c r="B407" t="s">
        <v>15</v>
      </c>
      <c r="C407" t="s">
        <v>17</v>
      </c>
      <c r="D407" t="s">
        <v>12</v>
      </c>
      <c r="E407">
        <v>145315</v>
      </c>
      <c r="F407">
        <v>6299</v>
      </c>
      <c r="G407">
        <v>932.8</v>
      </c>
      <c r="H407">
        <v>112425</v>
      </c>
      <c r="I407">
        <v>165</v>
      </c>
      <c r="J407" t="s">
        <v>13</v>
      </c>
    </row>
    <row r="408" spans="1:10" x14ac:dyDescent="0.2">
      <c r="A408" s="1">
        <v>46091</v>
      </c>
      <c r="B408" t="s">
        <v>10</v>
      </c>
      <c r="C408" t="s">
        <v>11</v>
      </c>
      <c r="D408" t="s">
        <v>12</v>
      </c>
      <c r="E408">
        <v>140662</v>
      </c>
      <c r="F408">
        <v>4995</v>
      </c>
      <c r="G408">
        <v>835.22</v>
      </c>
      <c r="H408">
        <v>111360</v>
      </c>
      <c r="I408">
        <v>173</v>
      </c>
      <c r="J408" t="s">
        <v>13</v>
      </c>
    </row>
    <row r="409" spans="1:10" x14ac:dyDescent="0.2">
      <c r="A409" s="1">
        <v>46091</v>
      </c>
      <c r="B409" t="s">
        <v>10</v>
      </c>
      <c r="C409" t="s">
        <v>14</v>
      </c>
      <c r="D409" t="s">
        <v>12</v>
      </c>
      <c r="E409">
        <v>138963</v>
      </c>
      <c r="F409">
        <v>4943</v>
      </c>
      <c r="G409">
        <v>703.02</v>
      </c>
      <c r="H409">
        <v>101886</v>
      </c>
      <c r="I409">
        <v>162</v>
      </c>
      <c r="J409" t="s">
        <v>13</v>
      </c>
    </row>
    <row r="410" spans="1:10" x14ac:dyDescent="0.2">
      <c r="A410" s="1">
        <v>46091</v>
      </c>
      <c r="B410" t="s">
        <v>15</v>
      </c>
      <c r="C410" t="s">
        <v>16</v>
      </c>
      <c r="D410" t="s">
        <v>12</v>
      </c>
      <c r="E410">
        <v>148085</v>
      </c>
      <c r="F410">
        <v>4291</v>
      </c>
      <c r="G410">
        <v>680.1</v>
      </c>
      <c r="H410">
        <v>118570</v>
      </c>
      <c r="I410">
        <v>175</v>
      </c>
      <c r="J410" t="s">
        <v>13</v>
      </c>
    </row>
    <row r="411" spans="1:10" x14ac:dyDescent="0.2">
      <c r="A411" s="1">
        <v>46091</v>
      </c>
      <c r="B411" t="s">
        <v>15</v>
      </c>
      <c r="C411" t="s">
        <v>17</v>
      </c>
      <c r="D411" t="s">
        <v>12</v>
      </c>
      <c r="E411">
        <v>119466</v>
      </c>
      <c r="F411">
        <v>3861</v>
      </c>
      <c r="G411">
        <v>541.01</v>
      </c>
      <c r="H411">
        <v>88618</v>
      </c>
      <c r="I411">
        <v>92</v>
      </c>
      <c r="J411" t="s">
        <v>13</v>
      </c>
    </row>
    <row r="412" spans="1:10" x14ac:dyDescent="0.2">
      <c r="A412" s="1">
        <v>46092</v>
      </c>
      <c r="B412" t="s">
        <v>10</v>
      </c>
      <c r="C412" t="s">
        <v>11</v>
      </c>
      <c r="D412" t="s">
        <v>12</v>
      </c>
      <c r="E412">
        <v>124194</v>
      </c>
      <c r="F412">
        <v>4204</v>
      </c>
      <c r="G412">
        <v>599.28</v>
      </c>
      <c r="H412">
        <v>101766</v>
      </c>
      <c r="I412">
        <v>194</v>
      </c>
      <c r="J412" t="s">
        <v>13</v>
      </c>
    </row>
    <row r="413" spans="1:10" x14ac:dyDescent="0.2">
      <c r="A413" s="1">
        <v>46092</v>
      </c>
      <c r="B413" t="s">
        <v>10</v>
      </c>
      <c r="C413" t="s">
        <v>14</v>
      </c>
      <c r="D413" t="s">
        <v>12</v>
      </c>
      <c r="E413">
        <v>63759</v>
      </c>
      <c r="F413">
        <v>2854</v>
      </c>
      <c r="G413">
        <v>453.45</v>
      </c>
      <c r="H413">
        <v>47736</v>
      </c>
      <c r="I413">
        <v>76</v>
      </c>
      <c r="J413" t="s">
        <v>13</v>
      </c>
    </row>
    <row r="414" spans="1:10" x14ac:dyDescent="0.2">
      <c r="A414" s="1">
        <v>46092</v>
      </c>
      <c r="B414" t="s">
        <v>15</v>
      </c>
      <c r="C414" t="s">
        <v>16</v>
      </c>
      <c r="D414" t="s">
        <v>12</v>
      </c>
      <c r="E414">
        <v>75075</v>
      </c>
      <c r="F414">
        <v>3079</v>
      </c>
      <c r="G414">
        <v>551.54999999999995</v>
      </c>
      <c r="H414">
        <v>58902</v>
      </c>
      <c r="I414">
        <v>101</v>
      </c>
      <c r="J414" t="s">
        <v>13</v>
      </c>
    </row>
    <row r="415" spans="1:10" x14ac:dyDescent="0.2">
      <c r="A415" s="1">
        <v>46092</v>
      </c>
      <c r="B415" t="s">
        <v>15</v>
      </c>
      <c r="C415" t="s">
        <v>17</v>
      </c>
      <c r="D415" t="s">
        <v>12</v>
      </c>
      <c r="E415">
        <v>117171</v>
      </c>
      <c r="F415">
        <v>4174</v>
      </c>
      <c r="G415">
        <v>737.48</v>
      </c>
      <c r="H415">
        <v>88786</v>
      </c>
      <c r="I415">
        <v>100</v>
      </c>
      <c r="J415" t="s">
        <v>13</v>
      </c>
    </row>
    <row r="416" spans="1:10" x14ac:dyDescent="0.2">
      <c r="A416" s="1">
        <v>46093</v>
      </c>
      <c r="B416" t="s">
        <v>10</v>
      </c>
      <c r="C416" t="s">
        <v>11</v>
      </c>
      <c r="D416" t="s">
        <v>12</v>
      </c>
      <c r="E416">
        <v>164764</v>
      </c>
      <c r="F416">
        <v>7063</v>
      </c>
      <c r="G416">
        <v>1026.3900000000001</v>
      </c>
      <c r="H416">
        <v>132804</v>
      </c>
      <c r="I416">
        <v>177</v>
      </c>
      <c r="J416" t="s">
        <v>13</v>
      </c>
    </row>
    <row r="417" spans="1:10" x14ac:dyDescent="0.2">
      <c r="A417" s="1">
        <v>46093</v>
      </c>
      <c r="B417" t="s">
        <v>10</v>
      </c>
      <c r="C417" t="s">
        <v>14</v>
      </c>
      <c r="D417" t="s">
        <v>12</v>
      </c>
      <c r="E417">
        <v>143544</v>
      </c>
      <c r="F417">
        <v>4978</v>
      </c>
      <c r="G417">
        <v>722.28</v>
      </c>
      <c r="H417">
        <v>117400</v>
      </c>
      <c r="I417">
        <v>217</v>
      </c>
      <c r="J417" t="s">
        <v>13</v>
      </c>
    </row>
    <row r="418" spans="1:10" x14ac:dyDescent="0.2">
      <c r="A418" s="1">
        <v>46093</v>
      </c>
      <c r="B418" t="s">
        <v>15</v>
      </c>
      <c r="C418" t="s">
        <v>16</v>
      </c>
      <c r="D418" t="s">
        <v>12</v>
      </c>
      <c r="E418">
        <v>55872</v>
      </c>
      <c r="F418">
        <v>2493</v>
      </c>
      <c r="G418">
        <v>395.19</v>
      </c>
      <c r="H418">
        <v>44245</v>
      </c>
      <c r="I418">
        <v>82</v>
      </c>
      <c r="J418" t="s">
        <v>13</v>
      </c>
    </row>
    <row r="419" spans="1:10" x14ac:dyDescent="0.2">
      <c r="A419" s="1">
        <v>46093</v>
      </c>
      <c r="B419" t="s">
        <v>15</v>
      </c>
      <c r="C419" t="s">
        <v>17</v>
      </c>
      <c r="D419" t="s">
        <v>12</v>
      </c>
      <c r="E419">
        <v>116625</v>
      </c>
      <c r="F419">
        <v>4897</v>
      </c>
      <c r="G419">
        <v>734.06</v>
      </c>
      <c r="H419">
        <v>88007</v>
      </c>
      <c r="I419">
        <v>142</v>
      </c>
      <c r="J419" t="s">
        <v>13</v>
      </c>
    </row>
    <row r="420" spans="1:10" x14ac:dyDescent="0.2">
      <c r="A420" s="1">
        <v>46094</v>
      </c>
      <c r="B420" t="s">
        <v>10</v>
      </c>
      <c r="C420" t="s">
        <v>11</v>
      </c>
      <c r="D420" t="s">
        <v>12</v>
      </c>
      <c r="E420">
        <v>71227</v>
      </c>
      <c r="F420">
        <v>2033</v>
      </c>
      <c r="G420">
        <v>338.31</v>
      </c>
      <c r="H420">
        <v>55663</v>
      </c>
      <c r="I420">
        <v>94</v>
      </c>
      <c r="J420" t="s">
        <v>13</v>
      </c>
    </row>
    <row r="421" spans="1:10" x14ac:dyDescent="0.2">
      <c r="A421" s="1">
        <v>46094</v>
      </c>
      <c r="B421" t="s">
        <v>10</v>
      </c>
      <c r="C421" t="s">
        <v>14</v>
      </c>
      <c r="D421" t="s">
        <v>12</v>
      </c>
      <c r="E421">
        <v>54665</v>
      </c>
      <c r="F421">
        <v>1754</v>
      </c>
      <c r="G421">
        <v>250.28</v>
      </c>
      <c r="H421">
        <v>42605</v>
      </c>
      <c r="I421">
        <v>58</v>
      </c>
      <c r="J421" t="s">
        <v>13</v>
      </c>
    </row>
    <row r="422" spans="1:10" x14ac:dyDescent="0.2">
      <c r="A422" s="1">
        <v>46094</v>
      </c>
      <c r="B422" t="s">
        <v>15</v>
      </c>
      <c r="C422" t="s">
        <v>16</v>
      </c>
      <c r="D422" t="s">
        <v>12</v>
      </c>
      <c r="E422">
        <v>166507</v>
      </c>
      <c r="F422">
        <v>6652</v>
      </c>
      <c r="G422">
        <v>944.23</v>
      </c>
      <c r="H422">
        <v>132215</v>
      </c>
      <c r="I422">
        <v>215</v>
      </c>
      <c r="J422" t="s">
        <v>13</v>
      </c>
    </row>
    <row r="423" spans="1:10" x14ac:dyDescent="0.2">
      <c r="A423" s="1">
        <v>46094</v>
      </c>
      <c r="B423" t="s">
        <v>15</v>
      </c>
      <c r="C423" t="s">
        <v>17</v>
      </c>
      <c r="D423" t="s">
        <v>12</v>
      </c>
      <c r="E423">
        <v>91929</v>
      </c>
      <c r="F423">
        <v>3417</v>
      </c>
      <c r="G423">
        <v>581.49</v>
      </c>
      <c r="H423">
        <v>73323</v>
      </c>
      <c r="I423">
        <v>87</v>
      </c>
      <c r="J423" t="s">
        <v>13</v>
      </c>
    </row>
    <row r="424" spans="1:10" x14ac:dyDescent="0.2">
      <c r="A424" s="1">
        <v>46095</v>
      </c>
      <c r="B424" t="s">
        <v>10</v>
      </c>
      <c r="C424" t="s">
        <v>11</v>
      </c>
      <c r="D424" t="s">
        <v>12</v>
      </c>
      <c r="E424">
        <v>101288</v>
      </c>
      <c r="F424">
        <v>3239</v>
      </c>
      <c r="G424">
        <v>572.19000000000005</v>
      </c>
      <c r="H424">
        <v>78762</v>
      </c>
      <c r="I424">
        <v>119</v>
      </c>
      <c r="J424" t="s">
        <v>13</v>
      </c>
    </row>
    <row r="425" spans="1:10" x14ac:dyDescent="0.2">
      <c r="A425" s="1">
        <v>46095</v>
      </c>
      <c r="B425" t="s">
        <v>10</v>
      </c>
      <c r="C425" t="s">
        <v>14</v>
      </c>
      <c r="D425" t="s">
        <v>12</v>
      </c>
      <c r="E425">
        <v>166595</v>
      </c>
      <c r="F425">
        <v>6982</v>
      </c>
      <c r="G425">
        <v>1043.6400000000001</v>
      </c>
      <c r="H425">
        <v>134546</v>
      </c>
      <c r="I425">
        <v>332</v>
      </c>
      <c r="J425" t="s">
        <v>13</v>
      </c>
    </row>
    <row r="426" spans="1:10" x14ac:dyDescent="0.2">
      <c r="A426" s="1">
        <v>46095</v>
      </c>
      <c r="B426" t="s">
        <v>15</v>
      </c>
      <c r="C426" t="s">
        <v>16</v>
      </c>
      <c r="D426" t="s">
        <v>12</v>
      </c>
      <c r="E426">
        <v>140817</v>
      </c>
      <c r="F426">
        <v>4472</v>
      </c>
      <c r="G426">
        <v>679.83</v>
      </c>
      <c r="H426">
        <v>102246</v>
      </c>
      <c r="I426">
        <v>208</v>
      </c>
      <c r="J426" t="s">
        <v>13</v>
      </c>
    </row>
    <row r="427" spans="1:10" x14ac:dyDescent="0.2">
      <c r="A427" s="1">
        <v>46095</v>
      </c>
      <c r="B427" t="s">
        <v>15</v>
      </c>
      <c r="C427" t="s">
        <v>17</v>
      </c>
      <c r="D427" t="s">
        <v>12</v>
      </c>
      <c r="E427">
        <v>81841</v>
      </c>
      <c r="F427">
        <v>3162</v>
      </c>
      <c r="G427">
        <v>496.71</v>
      </c>
      <c r="H427">
        <v>62981</v>
      </c>
      <c r="I427">
        <v>149</v>
      </c>
      <c r="J427" t="s">
        <v>13</v>
      </c>
    </row>
    <row r="428" spans="1:10" x14ac:dyDescent="0.2">
      <c r="A428" s="1">
        <v>46095</v>
      </c>
      <c r="B428" t="s">
        <v>19</v>
      </c>
      <c r="C428" t="s">
        <v>11</v>
      </c>
      <c r="D428" t="s">
        <v>12</v>
      </c>
      <c r="E428">
        <v>161616</v>
      </c>
      <c r="F428">
        <v>6369</v>
      </c>
      <c r="G428">
        <v>1091.8499999999999</v>
      </c>
      <c r="H428">
        <v>121514</v>
      </c>
      <c r="I428">
        <v>209</v>
      </c>
      <c r="J428" t="s">
        <v>13</v>
      </c>
    </row>
    <row r="429" spans="1:10" x14ac:dyDescent="0.2">
      <c r="A429" s="1">
        <v>46095</v>
      </c>
      <c r="B429" t="s">
        <v>19</v>
      </c>
      <c r="C429" t="s">
        <v>14</v>
      </c>
      <c r="D429" t="s">
        <v>12</v>
      </c>
      <c r="E429">
        <v>77425</v>
      </c>
      <c r="F429">
        <v>2562</v>
      </c>
      <c r="G429">
        <v>377.52</v>
      </c>
      <c r="H429">
        <v>59910</v>
      </c>
      <c r="I429">
        <v>72</v>
      </c>
      <c r="J429" t="s">
        <v>13</v>
      </c>
    </row>
    <row r="430" spans="1:10" x14ac:dyDescent="0.2">
      <c r="A430" s="1">
        <v>46096</v>
      </c>
      <c r="B430" t="s">
        <v>10</v>
      </c>
      <c r="C430" t="s">
        <v>11</v>
      </c>
      <c r="D430" t="s">
        <v>12</v>
      </c>
      <c r="E430">
        <v>90396</v>
      </c>
      <c r="F430">
        <v>2993</v>
      </c>
      <c r="G430">
        <v>503.73</v>
      </c>
      <c r="H430">
        <v>72369</v>
      </c>
      <c r="I430">
        <v>137</v>
      </c>
      <c r="J430" t="s">
        <v>13</v>
      </c>
    </row>
    <row r="431" spans="1:10" x14ac:dyDescent="0.2">
      <c r="A431" s="1">
        <v>46096</v>
      </c>
      <c r="B431" t="s">
        <v>10</v>
      </c>
      <c r="C431" t="s">
        <v>14</v>
      </c>
      <c r="D431" t="s">
        <v>12</v>
      </c>
      <c r="E431">
        <v>147826</v>
      </c>
      <c r="F431">
        <v>5176</v>
      </c>
      <c r="G431">
        <v>810.87</v>
      </c>
      <c r="H431">
        <v>114269</v>
      </c>
      <c r="I431">
        <v>166</v>
      </c>
      <c r="J431" t="s">
        <v>13</v>
      </c>
    </row>
    <row r="432" spans="1:10" x14ac:dyDescent="0.2">
      <c r="A432" s="1">
        <v>46096</v>
      </c>
      <c r="B432" t="s">
        <v>15</v>
      </c>
      <c r="C432" t="s">
        <v>16</v>
      </c>
      <c r="D432" t="s">
        <v>12</v>
      </c>
      <c r="E432">
        <v>95448</v>
      </c>
      <c r="F432">
        <v>3002</v>
      </c>
      <c r="G432">
        <v>497.94</v>
      </c>
      <c r="H432">
        <v>77525</v>
      </c>
      <c r="I432">
        <v>132</v>
      </c>
      <c r="J432" t="s">
        <v>13</v>
      </c>
    </row>
    <row r="433" spans="1:10" x14ac:dyDescent="0.2">
      <c r="A433" s="1">
        <v>46096</v>
      </c>
      <c r="B433" t="s">
        <v>15</v>
      </c>
      <c r="C433" t="s">
        <v>17</v>
      </c>
      <c r="D433" t="s">
        <v>12</v>
      </c>
      <c r="E433">
        <v>67754</v>
      </c>
      <c r="F433">
        <v>2514</v>
      </c>
      <c r="G433">
        <v>435.37</v>
      </c>
      <c r="H433">
        <v>49132</v>
      </c>
      <c r="I433">
        <v>79</v>
      </c>
      <c r="J433" t="s">
        <v>13</v>
      </c>
    </row>
    <row r="434" spans="1:10" x14ac:dyDescent="0.2">
      <c r="A434" s="1">
        <v>46096</v>
      </c>
      <c r="B434" t="s">
        <v>19</v>
      </c>
      <c r="C434" t="s">
        <v>11</v>
      </c>
      <c r="D434" t="s">
        <v>12</v>
      </c>
      <c r="E434">
        <v>155082</v>
      </c>
      <c r="F434">
        <v>5931</v>
      </c>
      <c r="G434">
        <v>1037.5999999999999</v>
      </c>
      <c r="H434">
        <v>114577</v>
      </c>
      <c r="I434">
        <v>247</v>
      </c>
      <c r="J434" t="s">
        <v>13</v>
      </c>
    </row>
    <row r="435" spans="1:10" x14ac:dyDescent="0.2">
      <c r="A435" s="1">
        <v>46096</v>
      </c>
      <c r="B435" t="s">
        <v>19</v>
      </c>
      <c r="C435" t="s">
        <v>14</v>
      </c>
      <c r="D435" t="s">
        <v>12</v>
      </c>
      <c r="E435">
        <v>166410</v>
      </c>
      <c r="F435">
        <v>6240</v>
      </c>
      <c r="G435">
        <v>993.26</v>
      </c>
      <c r="H435">
        <v>134284</v>
      </c>
      <c r="I435">
        <v>191</v>
      </c>
      <c r="J435" t="s">
        <v>13</v>
      </c>
    </row>
    <row r="436" spans="1:10" x14ac:dyDescent="0.2">
      <c r="A436" s="1">
        <v>46096</v>
      </c>
      <c r="B436" t="s">
        <v>21</v>
      </c>
      <c r="C436" t="s">
        <v>11</v>
      </c>
      <c r="D436" t="s">
        <v>12</v>
      </c>
      <c r="E436">
        <v>54611</v>
      </c>
      <c r="F436">
        <v>1725</v>
      </c>
      <c r="G436">
        <v>254.61</v>
      </c>
      <c r="H436">
        <v>43369</v>
      </c>
      <c r="I436">
        <v>71</v>
      </c>
      <c r="J436" t="s">
        <v>13</v>
      </c>
    </row>
    <row r="437" spans="1:10" x14ac:dyDescent="0.2">
      <c r="A437" s="1">
        <v>46096</v>
      </c>
      <c r="B437" t="s">
        <v>21</v>
      </c>
      <c r="C437" t="s">
        <v>14</v>
      </c>
      <c r="D437" t="s">
        <v>12</v>
      </c>
      <c r="E437">
        <v>133604</v>
      </c>
      <c r="F437">
        <v>5817</v>
      </c>
      <c r="G437">
        <v>976.24</v>
      </c>
      <c r="H437">
        <v>105597</v>
      </c>
      <c r="I437">
        <v>187</v>
      </c>
      <c r="J437" t="s">
        <v>13</v>
      </c>
    </row>
    <row r="438" spans="1:10" x14ac:dyDescent="0.2">
      <c r="A438" s="1">
        <v>46097</v>
      </c>
      <c r="B438" t="s">
        <v>10</v>
      </c>
      <c r="C438" t="s">
        <v>11</v>
      </c>
      <c r="D438" t="s">
        <v>12</v>
      </c>
      <c r="E438">
        <v>92779</v>
      </c>
      <c r="F438">
        <v>3468</v>
      </c>
      <c r="G438">
        <v>593.1</v>
      </c>
      <c r="H438">
        <v>70332</v>
      </c>
      <c r="I438">
        <v>124</v>
      </c>
      <c r="J438" t="s">
        <v>13</v>
      </c>
    </row>
    <row r="439" spans="1:10" x14ac:dyDescent="0.2">
      <c r="A439" s="1">
        <v>46097</v>
      </c>
      <c r="B439" t="s">
        <v>10</v>
      </c>
      <c r="C439" t="s">
        <v>14</v>
      </c>
      <c r="D439" t="s">
        <v>12</v>
      </c>
      <c r="E439">
        <v>113214</v>
      </c>
      <c r="F439">
        <v>3763</v>
      </c>
      <c r="G439">
        <v>580.95000000000005</v>
      </c>
      <c r="H439">
        <v>91508</v>
      </c>
      <c r="I439">
        <v>128</v>
      </c>
      <c r="J439" t="s">
        <v>13</v>
      </c>
    </row>
    <row r="440" spans="1:10" x14ac:dyDescent="0.2">
      <c r="A440" s="1">
        <v>46097</v>
      </c>
      <c r="B440" t="s">
        <v>15</v>
      </c>
      <c r="C440" t="s">
        <v>16</v>
      </c>
      <c r="D440" t="s">
        <v>12</v>
      </c>
      <c r="E440">
        <v>131998</v>
      </c>
      <c r="F440">
        <v>5405</v>
      </c>
      <c r="G440">
        <v>825.93</v>
      </c>
      <c r="H440">
        <v>97719</v>
      </c>
      <c r="I440">
        <v>162</v>
      </c>
      <c r="J440" t="s">
        <v>13</v>
      </c>
    </row>
    <row r="441" spans="1:10" x14ac:dyDescent="0.2">
      <c r="A441" s="1">
        <v>46097</v>
      </c>
      <c r="B441" t="s">
        <v>15</v>
      </c>
      <c r="C441" t="s">
        <v>17</v>
      </c>
      <c r="D441" t="s">
        <v>12</v>
      </c>
      <c r="E441">
        <v>59789</v>
      </c>
      <c r="F441">
        <v>2245</v>
      </c>
      <c r="G441">
        <v>334.17</v>
      </c>
      <c r="H441">
        <v>43920</v>
      </c>
      <c r="I441">
        <v>64</v>
      </c>
      <c r="J441" t="s">
        <v>13</v>
      </c>
    </row>
    <row r="442" spans="1:10" x14ac:dyDescent="0.2">
      <c r="A442" s="1">
        <v>46097</v>
      </c>
      <c r="B442" t="s">
        <v>21</v>
      </c>
      <c r="C442" t="s">
        <v>11</v>
      </c>
      <c r="D442" t="s">
        <v>12</v>
      </c>
      <c r="E442">
        <v>151515</v>
      </c>
      <c r="F442">
        <v>5734</v>
      </c>
      <c r="G442">
        <v>898.54</v>
      </c>
      <c r="H442">
        <v>111400</v>
      </c>
      <c r="I442">
        <v>175</v>
      </c>
      <c r="J442" t="s">
        <v>13</v>
      </c>
    </row>
    <row r="443" spans="1:10" x14ac:dyDescent="0.2">
      <c r="A443" s="1">
        <v>46097</v>
      </c>
      <c r="B443" t="s">
        <v>21</v>
      </c>
      <c r="C443" t="s">
        <v>14</v>
      </c>
      <c r="D443" t="s">
        <v>12</v>
      </c>
      <c r="E443">
        <v>116721</v>
      </c>
      <c r="F443">
        <v>4398</v>
      </c>
      <c r="G443">
        <v>658.95</v>
      </c>
      <c r="H443">
        <v>90466</v>
      </c>
      <c r="I443">
        <v>204</v>
      </c>
      <c r="J443" t="s">
        <v>13</v>
      </c>
    </row>
    <row r="444" spans="1:10" x14ac:dyDescent="0.2">
      <c r="A444" s="1">
        <v>46098</v>
      </c>
      <c r="B444" t="s">
        <v>10</v>
      </c>
      <c r="C444" t="s">
        <v>11</v>
      </c>
      <c r="D444" t="s">
        <v>12</v>
      </c>
      <c r="E444">
        <v>109518</v>
      </c>
      <c r="F444">
        <v>3545</v>
      </c>
      <c r="G444">
        <v>612.79999999999995</v>
      </c>
      <c r="H444">
        <v>89437</v>
      </c>
      <c r="I444">
        <v>137</v>
      </c>
      <c r="J444" t="s">
        <v>13</v>
      </c>
    </row>
    <row r="445" spans="1:10" x14ac:dyDescent="0.2">
      <c r="A445" s="1">
        <v>46098</v>
      </c>
      <c r="B445" t="s">
        <v>10</v>
      </c>
      <c r="C445" t="s">
        <v>14</v>
      </c>
      <c r="D445" t="s">
        <v>12</v>
      </c>
      <c r="E445">
        <v>135593</v>
      </c>
      <c r="F445">
        <v>4858</v>
      </c>
      <c r="G445">
        <v>822.51</v>
      </c>
      <c r="H445">
        <v>102402</v>
      </c>
      <c r="I445">
        <v>124</v>
      </c>
      <c r="J445" t="s">
        <v>13</v>
      </c>
    </row>
    <row r="446" spans="1:10" x14ac:dyDescent="0.2">
      <c r="A446" s="1">
        <v>46098</v>
      </c>
      <c r="B446" t="s">
        <v>15</v>
      </c>
      <c r="C446" t="s">
        <v>16</v>
      </c>
      <c r="D446" t="s">
        <v>12</v>
      </c>
      <c r="E446">
        <v>145126</v>
      </c>
      <c r="F446">
        <v>5268</v>
      </c>
      <c r="G446">
        <v>930.73</v>
      </c>
      <c r="H446">
        <v>112358</v>
      </c>
      <c r="I446">
        <v>203</v>
      </c>
      <c r="J446" t="s">
        <v>13</v>
      </c>
    </row>
    <row r="447" spans="1:10" x14ac:dyDescent="0.2">
      <c r="A447" s="1">
        <v>46098</v>
      </c>
      <c r="B447" t="s">
        <v>15</v>
      </c>
      <c r="C447" t="s">
        <v>17</v>
      </c>
      <c r="D447" t="s">
        <v>12</v>
      </c>
      <c r="E447">
        <v>62007</v>
      </c>
      <c r="F447">
        <v>2288</v>
      </c>
      <c r="G447">
        <v>397.11</v>
      </c>
      <c r="H447">
        <v>45105</v>
      </c>
      <c r="I447">
        <v>98</v>
      </c>
      <c r="J447" t="s">
        <v>13</v>
      </c>
    </row>
    <row r="448" spans="1:10" x14ac:dyDescent="0.2">
      <c r="A448" s="1">
        <v>46098</v>
      </c>
      <c r="B448" t="s">
        <v>21</v>
      </c>
      <c r="C448" t="s">
        <v>11</v>
      </c>
      <c r="D448" t="s">
        <v>12</v>
      </c>
      <c r="E448">
        <v>60265</v>
      </c>
      <c r="F448">
        <v>2470</v>
      </c>
      <c r="G448">
        <v>386.54</v>
      </c>
      <c r="H448">
        <v>48468</v>
      </c>
      <c r="I448">
        <v>69</v>
      </c>
      <c r="J448" t="s">
        <v>13</v>
      </c>
    </row>
    <row r="449" spans="1:10" x14ac:dyDescent="0.2">
      <c r="A449" s="1">
        <v>46098</v>
      </c>
      <c r="B449" t="s">
        <v>21</v>
      </c>
      <c r="C449" t="s">
        <v>14</v>
      </c>
      <c r="D449" t="s">
        <v>12</v>
      </c>
      <c r="E449">
        <v>77733</v>
      </c>
      <c r="F449">
        <v>2188</v>
      </c>
      <c r="G449">
        <v>350.58</v>
      </c>
      <c r="H449">
        <v>58868</v>
      </c>
      <c r="I449">
        <v>83</v>
      </c>
      <c r="J449" t="s">
        <v>13</v>
      </c>
    </row>
    <row r="450" spans="1:10" x14ac:dyDescent="0.2">
      <c r="A450" s="1">
        <v>46099</v>
      </c>
      <c r="B450" t="s">
        <v>10</v>
      </c>
      <c r="C450" t="s">
        <v>11</v>
      </c>
      <c r="D450" t="s">
        <v>12</v>
      </c>
      <c r="E450">
        <v>165609</v>
      </c>
      <c r="F450">
        <v>7266</v>
      </c>
      <c r="G450">
        <v>1282.52</v>
      </c>
      <c r="H450">
        <v>130156</v>
      </c>
      <c r="I450">
        <v>162</v>
      </c>
      <c r="J450" t="s">
        <v>13</v>
      </c>
    </row>
    <row r="451" spans="1:10" x14ac:dyDescent="0.2">
      <c r="A451" s="1">
        <v>46099</v>
      </c>
      <c r="B451" t="s">
        <v>10</v>
      </c>
      <c r="C451" t="s">
        <v>14</v>
      </c>
      <c r="D451" t="s">
        <v>12</v>
      </c>
      <c r="E451">
        <v>142685</v>
      </c>
      <c r="F451">
        <v>5333</v>
      </c>
      <c r="G451">
        <v>749.15</v>
      </c>
      <c r="H451">
        <v>110287</v>
      </c>
      <c r="I451">
        <v>155</v>
      </c>
      <c r="J451" t="s">
        <v>13</v>
      </c>
    </row>
    <row r="452" spans="1:10" x14ac:dyDescent="0.2">
      <c r="A452" s="1">
        <v>46099</v>
      </c>
      <c r="B452" t="s">
        <v>15</v>
      </c>
      <c r="C452" t="s">
        <v>16</v>
      </c>
      <c r="D452" t="s">
        <v>12</v>
      </c>
      <c r="E452">
        <v>100848</v>
      </c>
      <c r="F452">
        <v>2853</v>
      </c>
      <c r="G452">
        <v>492.22</v>
      </c>
      <c r="H452">
        <v>79408</v>
      </c>
      <c r="I452">
        <v>122</v>
      </c>
      <c r="J452" t="s">
        <v>13</v>
      </c>
    </row>
    <row r="453" spans="1:10" x14ac:dyDescent="0.2">
      <c r="A453" s="1">
        <v>46099</v>
      </c>
      <c r="B453" t="s">
        <v>15</v>
      </c>
      <c r="C453" t="s">
        <v>17</v>
      </c>
      <c r="D453" t="s">
        <v>12</v>
      </c>
      <c r="E453">
        <v>82544</v>
      </c>
      <c r="F453">
        <v>2461</v>
      </c>
      <c r="G453">
        <v>354.02</v>
      </c>
      <c r="H453">
        <v>60660</v>
      </c>
      <c r="I453">
        <v>66</v>
      </c>
      <c r="J453" t="s">
        <v>13</v>
      </c>
    </row>
    <row r="454" spans="1:10" x14ac:dyDescent="0.2">
      <c r="A454" s="1">
        <v>46099</v>
      </c>
      <c r="B454" t="s">
        <v>21</v>
      </c>
      <c r="C454" t="s">
        <v>11</v>
      </c>
      <c r="D454" t="s">
        <v>12</v>
      </c>
      <c r="E454">
        <v>141703</v>
      </c>
      <c r="F454">
        <v>4575</v>
      </c>
      <c r="G454">
        <v>705.36</v>
      </c>
      <c r="H454">
        <v>113290</v>
      </c>
      <c r="I454">
        <v>110</v>
      </c>
      <c r="J454" t="s">
        <v>13</v>
      </c>
    </row>
    <row r="455" spans="1:10" x14ac:dyDescent="0.2">
      <c r="A455" s="1">
        <v>46099</v>
      </c>
      <c r="B455" t="s">
        <v>21</v>
      </c>
      <c r="C455" t="s">
        <v>14</v>
      </c>
      <c r="D455" t="s">
        <v>12</v>
      </c>
      <c r="E455">
        <v>121183</v>
      </c>
      <c r="F455">
        <v>4338</v>
      </c>
      <c r="G455">
        <v>649.52</v>
      </c>
      <c r="H455">
        <v>95701</v>
      </c>
      <c r="I455">
        <v>129</v>
      </c>
      <c r="J455" t="s">
        <v>13</v>
      </c>
    </row>
    <row r="456" spans="1:10" x14ac:dyDescent="0.2">
      <c r="A456" s="1">
        <v>46100</v>
      </c>
      <c r="B456" t="s">
        <v>10</v>
      </c>
      <c r="C456" t="s">
        <v>11</v>
      </c>
      <c r="D456" t="s">
        <v>12</v>
      </c>
      <c r="E456">
        <v>65735</v>
      </c>
      <c r="F456">
        <v>2571</v>
      </c>
      <c r="G456">
        <v>448.2</v>
      </c>
      <c r="H456">
        <v>52322</v>
      </c>
      <c r="I456">
        <v>62</v>
      </c>
      <c r="J456" t="s">
        <v>13</v>
      </c>
    </row>
    <row r="457" spans="1:10" x14ac:dyDescent="0.2">
      <c r="A457" s="1">
        <v>46100</v>
      </c>
      <c r="B457" t="s">
        <v>10</v>
      </c>
      <c r="C457" t="s">
        <v>14</v>
      </c>
      <c r="D457" t="s">
        <v>12</v>
      </c>
      <c r="E457">
        <v>116623</v>
      </c>
      <c r="F457">
        <v>4013</v>
      </c>
      <c r="G457">
        <v>638.23</v>
      </c>
      <c r="H457">
        <v>91394</v>
      </c>
      <c r="I457">
        <v>161</v>
      </c>
      <c r="J457" t="s">
        <v>13</v>
      </c>
    </row>
    <row r="458" spans="1:10" x14ac:dyDescent="0.2">
      <c r="A458" s="1">
        <v>46100</v>
      </c>
      <c r="B458" t="s">
        <v>15</v>
      </c>
      <c r="C458" t="s">
        <v>16</v>
      </c>
      <c r="D458" t="s">
        <v>12</v>
      </c>
      <c r="E458">
        <v>66088</v>
      </c>
      <c r="F458">
        <v>2412</v>
      </c>
      <c r="G458">
        <v>379.54</v>
      </c>
      <c r="H458">
        <v>52767</v>
      </c>
      <c r="I458">
        <v>88</v>
      </c>
      <c r="J458" t="s">
        <v>13</v>
      </c>
    </row>
    <row r="459" spans="1:10" x14ac:dyDescent="0.2">
      <c r="A459" s="1">
        <v>46100</v>
      </c>
      <c r="B459" t="s">
        <v>15</v>
      </c>
      <c r="C459" t="s">
        <v>17</v>
      </c>
      <c r="D459" t="s">
        <v>12</v>
      </c>
      <c r="E459">
        <v>68248</v>
      </c>
      <c r="F459">
        <v>2949</v>
      </c>
      <c r="G459">
        <v>521.28</v>
      </c>
      <c r="H459">
        <v>50706</v>
      </c>
      <c r="I459">
        <v>133</v>
      </c>
      <c r="J459" t="s">
        <v>13</v>
      </c>
    </row>
    <row r="460" spans="1:10" x14ac:dyDescent="0.2">
      <c r="A460" s="1">
        <v>46100</v>
      </c>
      <c r="B460" t="s">
        <v>21</v>
      </c>
      <c r="C460" t="s">
        <v>11</v>
      </c>
      <c r="D460" t="s">
        <v>12</v>
      </c>
      <c r="E460">
        <v>148575</v>
      </c>
      <c r="F460">
        <v>5361</v>
      </c>
      <c r="G460">
        <v>760.52</v>
      </c>
      <c r="H460">
        <v>108078</v>
      </c>
      <c r="I460">
        <v>246</v>
      </c>
      <c r="J460" t="s">
        <v>13</v>
      </c>
    </row>
    <row r="461" spans="1:10" x14ac:dyDescent="0.2">
      <c r="A461" s="1">
        <v>46100</v>
      </c>
      <c r="B461" t="s">
        <v>21</v>
      </c>
      <c r="C461" t="s">
        <v>14</v>
      </c>
      <c r="D461" t="s">
        <v>12</v>
      </c>
      <c r="E461">
        <v>144528</v>
      </c>
      <c r="F461">
        <v>5431</v>
      </c>
      <c r="G461">
        <v>767.49</v>
      </c>
      <c r="H461">
        <v>117483</v>
      </c>
      <c r="I461">
        <v>163</v>
      </c>
      <c r="J461" t="s">
        <v>13</v>
      </c>
    </row>
    <row r="462" spans="1:10" x14ac:dyDescent="0.2">
      <c r="A462" s="1">
        <v>46101</v>
      </c>
      <c r="B462" t="s">
        <v>10</v>
      </c>
      <c r="C462" t="s">
        <v>11</v>
      </c>
      <c r="D462" t="s">
        <v>12</v>
      </c>
      <c r="E462">
        <v>87297</v>
      </c>
      <c r="F462">
        <v>3315</v>
      </c>
      <c r="G462">
        <v>563.85</v>
      </c>
      <c r="H462">
        <v>69075</v>
      </c>
      <c r="I462">
        <v>107</v>
      </c>
      <c r="J462" t="s">
        <v>13</v>
      </c>
    </row>
    <row r="463" spans="1:10" x14ac:dyDescent="0.2">
      <c r="A463" s="1">
        <v>46101</v>
      </c>
      <c r="B463" t="s">
        <v>10</v>
      </c>
      <c r="C463" t="s">
        <v>14</v>
      </c>
      <c r="D463" t="s">
        <v>12</v>
      </c>
      <c r="E463">
        <v>65109</v>
      </c>
      <c r="F463">
        <v>2154</v>
      </c>
      <c r="G463">
        <v>350.15</v>
      </c>
      <c r="H463">
        <v>50568</v>
      </c>
      <c r="I463">
        <v>94</v>
      </c>
      <c r="J463" t="s">
        <v>13</v>
      </c>
    </row>
    <row r="464" spans="1:10" x14ac:dyDescent="0.2">
      <c r="A464" s="1">
        <v>46101</v>
      </c>
      <c r="B464" t="s">
        <v>15</v>
      </c>
      <c r="C464" t="s">
        <v>16</v>
      </c>
      <c r="D464" t="s">
        <v>12</v>
      </c>
      <c r="E464">
        <v>167362</v>
      </c>
      <c r="F464">
        <v>7236</v>
      </c>
      <c r="G464">
        <v>1109.06</v>
      </c>
      <c r="H464">
        <v>133146</v>
      </c>
      <c r="I464">
        <v>185</v>
      </c>
      <c r="J464" t="s">
        <v>13</v>
      </c>
    </row>
    <row r="465" spans="1:10" x14ac:dyDescent="0.2">
      <c r="A465" s="1">
        <v>46101</v>
      </c>
      <c r="B465" t="s">
        <v>15</v>
      </c>
      <c r="C465" t="s">
        <v>17</v>
      </c>
      <c r="D465" t="s">
        <v>12</v>
      </c>
      <c r="E465">
        <v>65362</v>
      </c>
      <c r="F465">
        <v>2386</v>
      </c>
      <c r="G465">
        <v>427.03</v>
      </c>
      <c r="H465">
        <v>47411</v>
      </c>
      <c r="I465">
        <v>79</v>
      </c>
      <c r="J465" t="s">
        <v>13</v>
      </c>
    </row>
    <row r="466" spans="1:10" x14ac:dyDescent="0.2">
      <c r="A466" s="1">
        <v>46101</v>
      </c>
      <c r="B466" t="s">
        <v>21</v>
      </c>
      <c r="C466" t="s">
        <v>11</v>
      </c>
      <c r="D466" t="s">
        <v>12</v>
      </c>
      <c r="E466">
        <v>64951</v>
      </c>
      <c r="F466">
        <v>2194</v>
      </c>
      <c r="G466">
        <v>374.65</v>
      </c>
      <c r="H466">
        <v>52966</v>
      </c>
      <c r="I466">
        <v>70</v>
      </c>
      <c r="J466" t="s">
        <v>13</v>
      </c>
    </row>
    <row r="467" spans="1:10" x14ac:dyDescent="0.2">
      <c r="A467" s="1">
        <v>46101</v>
      </c>
      <c r="B467" t="s">
        <v>21</v>
      </c>
      <c r="C467" t="s">
        <v>14</v>
      </c>
      <c r="D467" t="s">
        <v>12</v>
      </c>
      <c r="E467">
        <v>107611</v>
      </c>
      <c r="F467">
        <v>3067</v>
      </c>
      <c r="G467">
        <v>462.91</v>
      </c>
      <c r="H467">
        <v>88161</v>
      </c>
      <c r="I467">
        <v>106</v>
      </c>
      <c r="J467" t="s">
        <v>13</v>
      </c>
    </row>
    <row r="468" spans="1:10" x14ac:dyDescent="0.2">
      <c r="A468" s="1">
        <v>46102</v>
      </c>
      <c r="B468" t="s">
        <v>10</v>
      </c>
      <c r="C468" t="s">
        <v>11</v>
      </c>
      <c r="D468" t="s">
        <v>12</v>
      </c>
      <c r="E468">
        <v>112626</v>
      </c>
      <c r="F468">
        <v>4212</v>
      </c>
      <c r="G468">
        <v>652.92999999999995</v>
      </c>
      <c r="H468">
        <v>83182</v>
      </c>
      <c r="I468">
        <v>156</v>
      </c>
      <c r="J468" t="s">
        <v>13</v>
      </c>
    </row>
    <row r="469" spans="1:10" x14ac:dyDescent="0.2">
      <c r="A469" s="1">
        <v>46102</v>
      </c>
      <c r="B469" t="s">
        <v>10</v>
      </c>
      <c r="C469" t="s">
        <v>14</v>
      </c>
      <c r="D469" t="s">
        <v>12</v>
      </c>
      <c r="E469">
        <v>116760</v>
      </c>
      <c r="F469">
        <v>3439</v>
      </c>
      <c r="G469">
        <v>566.55999999999995</v>
      </c>
      <c r="H469">
        <v>93385</v>
      </c>
      <c r="I469">
        <v>139</v>
      </c>
      <c r="J469" t="s">
        <v>13</v>
      </c>
    </row>
    <row r="470" spans="1:10" x14ac:dyDescent="0.2">
      <c r="A470" s="1">
        <v>46102</v>
      </c>
      <c r="B470" t="s">
        <v>15</v>
      </c>
      <c r="C470" t="s">
        <v>16</v>
      </c>
      <c r="D470" t="s">
        <v>12</v>
      </c>
      <c r="E470">
        <v>65977</v>
      </c>
      <c r="F470">
        <v>2147</v>
      </c>
      <c r="G470">
        <v>333.21</v>
      </c>
      <c r="H470">
        <v>52675</v>
      </c>
      <c r="I470">
        <v>55</v>
      </c>
      <c r="J470" t="s">
        <v>13</v>
      </c>
    </row>
    <row r="471" spans="1:10" x14ac:dyDescent="0.2">
      <c r="A471" s="1">
        <v>46102</v>
      </c>
      <c r="B471" t="s">
        <v>15</v>
      </c>
      <c r="C471" t="s">
        <v>17</v>
      </c>
      <c r="D471" t="s">
        <v>12</v>
      </c>
      <c r="E471">
        <v>118388</v>
      </c>
      <c r="F471">
        <v>3952</v>
      </c>
      <c r="G471">
        <v>570.12</v>
      </c>
      <c r="H471">
        <v>85300</v>
      </c>
      <c r="I471">
        <v>118</v>
      </c>
      <c r="J471" t="s">
        <v>13</v>
      </c>
    </row>
    <row r="472" spans="1:10" x14ac:dyDescent="0.2">
      <c r="A472" s="1">
        <v>46102</v>
      </c>
      <c r="B472" t="s">
        <v>19</v>
      </c>
      <c r="C472" t="s">
        <v>11</v>
      </c>
      <c r="D472" t="s">
        <v>12</v>
      </c>
      <c r="E472">
        <v>113327</v>
      </c>
      <c r="F472">
        <v>4639</v>
      </c>
      <c r="G472">
        <v>668.43</v>
      </c>
      <c r="H472">
        <v>82584</v>
      </c>
      <c r="I472">
        <v>154</v>
      </c>
      <c r="J472" t="s">
        <v>13</v>
      </c>
    </row>
    <row r="473" spans="1:10" x14ac:dyDescent="0.2">
      <c r="A473" s="1">
        <v>46102</v>
      </c>
      <c r="B473" t="s">
        <v>19</v>
      </c>
      <c r="C473" t="s">
        <v>14</v>
      </c>
      <c r="D473" t="s">
        <v>12</v>
      </c>
      <c r="E473">
        <v>146906</v>
      </c>
      <c r="F473">
        <v>5498</v>
      </c>
      <c r="G473">
        <v>859.46</v>
      </c>
      <c r="H473">
        <v>106158</v>
      </c>
      <c r="I473">
        <v>171</v>
      </c>
      <c r="J473" t="s">
        <v>13</v>
      </c>
    </row>
    <row r="474" spans="1:10" x14ac:dyDescent="0.2">
      <c r="A474" s="1">
        <v>46102</v>
      </c>
      <c r="B474" t="s">
        <v>21</v>
      </c>
      <c r="C474" t="s">
        <v>11</v>
      </c>
      <c r="D474" t="s">
        <v>12</v>
      </c>
      <c r="E474">
        <v>67857</v>
      </c>
      <c r="F474">
        <v>2588</v>
      </c>
      <c r="G474">
        <v>443.53</v>
      </c>
      <c r="H474">
        <v>54717</v>
      </c>
      <c r="I474">
        <v>57</v>
      </c>
      <c r="J474" t="s">
        <v>13</v>
      </c>
    </row>
    <row r="475" spans="1:10" x14ac:dyDescent="0.2">
      <c r="A475" s="1">
        <v>46102</v>
      </c>
      <c r="B475" t="s">
        <v>21</v>
      </c>
      <c r="C475" t="s">
        <v>14</v>
      </c>
      <c r="D475" t="s">
        <v>12</v>
      </c>
      <c r="E475">
        <v>122509</v>
      </c>
      <c r="F475">
        <v>4237</v>
      </c>
      <c r="G475">
        <v>607.53</v>
      </c>
      <c r="H475">
        <v>99246</v>
      </c>
      <c r="I475">
        <v>192</v>
      </c>
      <c r="J475" t="s">
        <v>13</v>
      </c>
    </row>
    <row r="476" spans="1:10" x14ac:dyDescent="0.2">
      <c r="A476" s="1">
        <v>46103</v>
      </c>
      <c r="B476" t="s">
        <v>10</v>
      </c>
      <c r="C476" t="s">
        <v>11</v>
      </c>
      <c r="D476" t="s">
        <v>12</v>
      </c>
      <c r="E476">
        <v>93360</v>
      </c>
      <c r="F476">
        <v>3521</v>
      </c>
      <c r="G476">
        <v>516.82000000000005</v>
      </c>
      <c r="H476">
        <v>70773</v>
      </c>
      <c r="I476">
        <v>90</v>
      </c>
      <c r="J476" t="s">
        <v>13</v>
      </c>
    </row>
    <row r="477" spans="1:10" x14ac:dyDescent="0.2">
      <c r="A477" s="1">
        <v>46103</v>
      </c>
      <c r="B477" t="s">
        <v>10</v>
      </c>
      <c r="C477" t="s">
        <v>14</v>
      </c>
      <c r="D477" t="s">
        <v>12</v>
      </c>
      <c r="E477">
        <v>103309</v>
      </c>
      <c r="F477">
        <v>3364</v>
      </c>
      <c r="G477">
        <v>490.6</v>
      </c>
      <c r="H477">
        <v>76109</v>
      </c>
      <c r="I477">
        <v>98</v>
      </c>
      <c r="J477" t="s">
        <v>13</v>
      </c>
    </row>
    <row r="478" spans="1:10" x14ac:dyDescent="0.2">
      <c r="A478" s="1">
        <v>46103</v>
      </c>
      <c r="B478" t="s">
        <v>15</v>
      </c>
      <c r="C478" t="s">
        <v>16</v>
      </c>
      <c r="D478" t="s">
        <v>12</v>
      </c>
      <c r="E478">
        <v>103075</v>
      </c>
      <c r="F478">
        <v>3734</v>
      </c>
      <c r="G478">
        <v>534.25</v>
      </c>
      <c r="H478">
        <v>76808</v>
      </c>
      <c r="I478">
        <v>106</v>
      </c>
      <c r="J478" t="s">
        <v>13</v>
      </c>
    </row>
    <row r="479" spans="1:10" x14ac:dyDescent="0.2">
      <c r="A479" s="1">
        <v>46103</v>
      </c>
      <c r="B479" t="s">
        <v>15</v>
      </c>
      <c r="C479" t="s">
        <v>17</v>
      </c>
      <c r="D479" t="s">
        <v>12</v>
      </c>
      <c r="E479">
        <v>158501</v>
      </c>
      <c r="F479">
        <v>5773</v>
      </c>
      <c r="G479">
        <v>950.62</v>
      </c>
      <c r="H479">
        <v>121377</v>
      </c>
      <c r="I479">
        <v>147</v>
      </c>
      <c r="J479" t="s">
        <v>13</v>
      </c>
    </row>
    <row r="480" spans="1:10" x14ac:dyDescent="0.2">
      <c r="A480" s="1">
        <v>46103</v>
      </c>
      <c r="B480" t="s">
        <v>19</v>
      </c>
      <c r="C480" t="s">
        <v>11</v>
      </c>
      <c r="D480" t="s">
        <v>12</v>
      </c>
      <c r="E480">
        <v>53153</v>
      </c>
      <c r="F480">
        <v>2345</v>
      </c>
      <c r="G480">
        <v>359.46</v>
      </c>
      <c r="H480">
        <v>41566</v>
      </c>
      <c r="I480">
        <v>100</v>
      </c>
      <c r="J480" t="s">
        <v>13</v>
      </c>
    </row>
    <row r="481" spans="1:10" x14ac:dyDescent="0.2">
      <c r="A481" s="1">
        <v>46103</v>
      </c>
      <c r="B481" t="s">
        <v>19</v>
      </c>
      <c r="C481" t="s">
        <v>14</v>
      </c>
      <c r="D481" t="s">
        <v>12</v>
      </c>
      <c r="E481">
        <v>108150</v>
      </c>
      <c r="F481">
        <v>3837</v>
      </c>
      <c r="G481">
        <v>603.27</v>
      </c>
      <c r="H481">
        <v>86774</v>
      </c>
      <c r="I481">
        <v>149</v>
      </c>
      <c r="J481" t="s">
        <v>13</v>
      </c>
    </row>
    <row r="482" spans="1:10" x14ac:dyDescent="0.2">
      <c r="A482" s="1">
        <v>46103</v>
      </c>
      <c r="B482" t="s">
        <v>21</v>
      </c>
      <c r="C482" t="s">
        <v>11</v>
      </c>
      <c r="D482" t="s">
        <v>12</v>
      </c>
      <c r="E482">
        <v>153280</v>
      </c>
      <c r="F482">
        <v>4646</v>
      </c>
      <c r="G482">
        <v>710.03</v>
      </c>
      <c r="H482">
        <v>124881</v>
      </c>
      <c r="I482">
        <v>126</v>
      </c>
      <c r="J482" t="s">
        <v>13</v>
      </c>
    </row>
    <row r="483" spans="1:10" x14ac:dyDescent="0.2">
      <c r="A483" s="1">
        <v>46103</v>
      </c>
      <c r="B483" t="s">
        <v>21</v>
      </c>
      <c r="C483" t="s">
        <v>14</v>
      </c>
      <c r="D483" t="s">
        <v>12</v>
      </c>
      <c r="E483">
        <v>105534</v>
      </c>
      <c r="F483">
        <v>3273</v>
      </c>
      <c r="G483">
        <v>510.36</v>
      </c>
      <c r="H483">
        <v>79352</v>
      </c>
      <c r="I483">
        <v>134</v>
      </c>
      <c r="J483" t="s">
        <v>13</v>
      </c>
    </row>
    <row r="484" spans="1:10" x14ac:dyDescent="0.2">
      <c r="A484" s="1">
        <v>46104</v>
      </c>
      <c r="B484" t="s">
        <v>10</v>
      </c>
      <c r="C484" t="s">
        <v>11</v>
      </c>
      <c r="D484" t="s">
        <v>12</v>
      </c>
      <c r="E484">
        <v>159841</v>
      </c>
      <c r="F484">
        <v>5809</v>
      </c>
      <c r="G484">
        <v>947.07</v>
      </c>
      <c r="H484">
        <v>118960</v>
      </c>
      <c r="I484">
        <v>184</v>
      </c>
      <c r="J484" t="s">
        <v>13</v>
      </c>
    </row>
    <row r="485" spans="1:10" x14ac:dyDescent="0.2">
      <c r="A485" s="1">
        <v>46104</v>
      </c>
      <c r="B485" t="s">
        <v>10</v>
      </c>
      <c r="C485" t="s">
        <v>14</v>
      </c>
      <c r="D485" t="s">
        <v>12</v>
      </c>
      <c r="E485">
        <v>118952</v>
      </c>
      <c r="F485">
        <v>4068</v>
      </c>
      <c r="G485">
        <v>721.19</v>
      </c>
      <c r="H485">
        <v>88022</v>
      </c>
      <c r="I485">
        <v>194</v>
      </c>
      <c r="J485" t="s">
        <v>13</v>
      </c>
    </row>
    <row r="486" spans="1:10" x14ac:dyDescent="0.2">
      <c r="A486" s="1">
        <v>46104</v>
      </c>
      <c r="B486" t="s">
        <v>15</v>
      </c>
      <c r="C486" t="s">
        <v>16</v>
      </c>
      <c r="D486" t="s">
        <v>12</v>
      </c>
      <c r="E486">
        <v>82657</v>
      </c>
      <c r="F486">
        <v>3272</v>
      </c>
      <c r="G486">
        <v>530.08000000000004</v>
      </c>
      <c r="H486">
        <v>67390</v>
      </c>
      <c r="I486">
        <v>111</v>
      </c>
      <c r="J486" t="s">
        <v>13</v>
      </c>
    </row>
    <row r="487" spans="1:10" x14ac:dyDescent="0.2">
      <c r="A487" s="1">
        <v>46104</v>
      </c>
      <c r="B487" t="s">
        <v>15</v>
      </c>
      <c r="C487" t="s">
        <v>17</v>
      </c>
      <c r="D487" t="s">
        <v>12</v>
      </c>
      <c r="E487">
        <v>87722</v>
      </c>
      <c r="F487">
        <v>3110</v>
      </c>
      <c r="G487">
        <v>471.64</v>
      </c>
      <c r="H487">
        <v>69237</v>
      </c>
      <c r="I487">
        <v>134</v>
      </c>
      <c r="J487" t="s">
        <v>13</v>
      </c>
    </row>
    <row r="488" spans="1:10" x14ac:dyDescent="0.2">
      <c r="A488" s="1">
        <v>46104</v>
      </c>
      <c r="B488" t="s">
        <v>21</v>
      </c>
      <c r="C488" t="s">
        <v>11</v>
      </c>
      <c r="D488" t="s">
        <v>12</v>
      </c>
      <c r="E488">
        <v>121715</v>
      </c>
      <c r="F488">
        <v>4800</v>
      </c>
      <c r="G488">
        <v>698.72</v>
      </c>
      <c r="H488">
        <v>91320</v>
      </c>
      <c r="I488">
        <v>137</v>
      </c>
      <c r="J488" t="s">
        <v>13</v>
      </c>
    </row>
    <row r="489" spans="1:10" x14ac:dyDescent="0.2">
      <c r="A489" s="1">
        <v>46104</v>
      </c>
      <c r="B489" t="s">
        <v>21</v>
      </c>
      <c r="C489" t="s">
        <v>14</v>
      </c>
      <c r="D489" t="s">
        <v>12</v>
      </c>
      <c r="E489">
        <v>78263</v>
      </c>
      <c r="F489">
        <v>3142</v>
      </c>
      <c r="G489">
        <v>539.04999999999995</v>
      </c>
      <c r="H489">
        <v>56928</v>
      </c>
      <c r="I489">
        <v>150</v>
      </c>
      <c r="J489" t="s">
        <v>13</v>
      </c>
    </row>
    <row r="490" spans="1:10" x14ac:dyDescent="0.2">
      <c r="A490" s="1">
        <v>46105</v>
      </c>
      <c r="B490" t="s">
        <v>10</v>
      </c>
      <c r="C490" t="s">
        <v>11</v>
      </c>
      <c r="D490" t="s">
        <v>12</v>
      </c>
      <c r="E490">
        <v>133658</v>
      </c>
      <c r="F490">
        <v>5065</v>
      </c>
      <c r="G490">
        <v>817.36</v>
      </c>
      <c r="H490">
        <v>108577</v>
      </c>
      <c r="I490">
        <v>225</v>
      </c>
      <c r="J490" t="s">
        <v>13</v>
      </c>
    </row>
    <row r="491" spans="1:10" x14ac:dyDescent="0.2">
      <c r="A491" s="1">
        <v>46105</v>
      </c>
      <c r="B491" t="s">
        <v>10</v>
      </c>
      <c r="C491" t="s">
        <v>14</v>
      </c>
      <c r="D491" t="s">
        <v>12</v>
      </c>
      <c r="E491">
        <v>123275</v>
      </c>
      <c r="F491">
        <v>4591</v>
      </c>
      <c r="G491">
        <v>787.95</v>
      </c>
      <c r="H491">
        <v>93190</v>
      </c>
      <c r="I491">
        <v>207</v>
      </c>
      <c r="J491" t="s">
        <v>13</v>
      </c>
    </row>
    <row r="492" spans="1:10" x14ac:dyDescent="0.2">
      <c r="A492" s="1">
        <v>46105</v>
      </c>
      <c r="B492" t="s">
        <v>15</v>
      </c>
      <c r="C492" t="s">
        <v>16</v>
      </c>
      <c r="D492" t="s">
        <v>12</v>
      </c>
      <c r="E492">
        <v>143484</v>
      </c>
      <c r="F492">
        <v>5466</v>
      </c>
      <c r="G492">
        <v>965.16</v>
      </c>
      <c r="H492">
        <v>104877</v>
      </c>
      <c r="I492">
        <v>155</v>
      </c>
      <c r="J492" t="s">
        <v>13</v>
      </c>
    </row>
    <row r="493" spans="1:10" x14ac:dyDescent="0.2">
      <c r="A493" s="1">
        <v>46105</v>
      </c>
      <c r="B493" t="s">
        <v>15</v>
      </c>
      <c r="C493" t="s">
        <v>17</v>
      </c>
      <c r="D493" t="s">
        <v>12</v>
      </c>
      <c r="E493">
        <v>165258</v>
      </c>
      <c r="F493">
        <v>5624</v>
      </c>
      <c r="G493">
        <v>932.91</v>
      </c>
      <c r="H493">
        <v>119717</v>
      </c>
      <c r="I493">
        <v>267</v>
      </c>
      <c r="J493" t="s">
        <v>13</v>
      </c>
    </row>
    <row r="494" spans="1:10" x14ac:dyDescent="0.2">
      <c r="A494" s="1">
        <v>46105</v>
      </c>
      <c r="B494" t="s">
        <v>21</v>
      </c>
      <c r="C494" t="s">
        <v>11</v>
      </c>
      <c r="D494" t="s">
        <v>12</v>
      </c>
      <c r="E494">
        <v>167436</v>
      </c>
      <c r="F494">
        <v>6529</v>
      </c>
      <c r="G494">
        <v>1166.55</v>
      </c>
      <c r="H494">
        <v>126106</v>
      </c>
      <c r="I494">
        <v>278</v>
      </c>
      <c r="J494" t="s">
        <v>13</v>
      </c>
    </row>
    <row r="495" spans="1:10" x14ac:dyDescent="0.2">
      <c r="A495" s="1">
        <v>46105</v>
      </c>
      <c r="B495" t="s">
        <v>21</v>
      </c>
      <c r="C495" t="s">
        <v>14</v>
      </c>
      <c r="D495" t="s">
        <v>12</v>
      </c>
      <c r="E495">
        <v>70051</v>
      </c>
      <c r="F495">
        <v>1973</v>
      </c>
      <c r="G495">
        <v>296.64</v>
      </c>
      <c r="H495">
        <v>54014</v>
      </c>
      <c r="I495">
        <v>70</v>
      </c>
      <c r="J495" t="s">
        <v>13</v>
      </c>
    </row>
    <row r="496" spans="1:10" x14ac:dyDescent="0.2">
      <c r="A496" s="1">
        <v>46106</v>
      </c>
      <c r="B496" t="s">
        <v>10</v>
      </c>
      <c r="C496" t="s">
        <v>11</v>
      </c>
      <c r="D496" t="s">
        <v>12</v>
      </c>
      <c r="E496">
        <v>150915</v>
      </c>
      <c r="F496">
        <v>5989</v>
      </c>
      <c r="G496">
        <v>891.41</v>
      </c>
      <c r="H496">
        <v>114304</v>
      </c>
      <c r="I496">
        <v>203</v>
      </c>
      <c r="J496" t="s">
        <v>13</v>
      </c>
    </row>
    <row r="497" spans="1:10" x14ac:dyDescent="0.2">
      <c r="A497" s="1">
        <v>46106</v>
      </c>
      <c r="B497" t="s">
        <v>10</v>
      </c>
      <c r="C497" t="s">
        <v>14</v>
      </c>
      <c r="D497" t="s">
        <v>12</v>
      </c>
      <c r="E497">
        <v>167791</v>
      </c>
      <c r="F497">
        <v>6377</v>
      </c>
      <c r="G497">
        <v>1020.44</v>
      </c>
      <c r="H497">
        <v>126597</v>
      </c>
      <c r="I497">
        <v>144</v>
      </c>
      <c r="J497" t="s">
        <v>13</v>
      </c>
    </row>
    <row r="498" spans="1:10" x14ac:dyDescent="0.2">
      <c r="A498" s="1">
        <v>46106</v>
      </c>
      <c r="B498" t="s">
        <v>15</v>
      </c>
      <c r="C498" t="s">
        <v>16</v>
      </c>
      <c r="D498" t="s">
        <v>12</v>
      </c>
      <c r="E498">
        <v>69813</v>
      </c>
      <c r="F498">
        <v>2305</v>
      </c>
      <c r="G498">
        <v>407.57</v>
      </c>
      <c r="H498">
        <v>50864</v>
      </c>
      <c r="I498">
        <v>100</v>
      </c>
      <c r="J498" t="s">
        <v>13</v>
      </c>
    </row>
    <row r="499" spans="1:10" x14ac:dyDescent="0.2">
      <c r="A499" s="1">
        <v>46106</v>
      </c>
      <c r="B499" t="s">
        <v>15</v>
      </c>
      <c r="C499" t="s">
        <v>17</v>
      </c>
      <c r="D499" t="s">
        <v>12</v>
      </c>
      <c r="E499">
        <v>76139</v>
      </c>
      <c r="F499">
        <v>2582</v>
      </c>
      <c r="G499">
        <v>396.91</v>
      </c>
      <c r="H499">
        <v>60791</v>
      </c>
      <c r="I499">
        <v>91</v>
      </c>
      <c r="J499" t="s">
        <v>13</v>
      </c>
    </row>
    <row r="500" spans="1:10" x14ac:dyDescent="0.2">
      <c r="A500" s="1">
        <v>46106</v>
      </c>
      <c r="B500" t="s">
        <v>21</v>
      </c>
      <c r="C500" t="s">
        <v>11</v>
      </c>
      <c r="D500" t="s">
        <v>12</v>
      </c>
      <c r="E500">
        <v>111347</v>
      </c>
      <c r="F500">
        <v>4019</v>
      </c>
      <c r="G500">
        <v>633.1</v>
      </c>
      <c r="H500">
        <v>87928</v>
      </c>
      <c r="I500">
        <v>121</v>
      </c>
      <c r="J500" t="s">
        <v>13</v>
      </c>
    </row>
    <row r="501" spans="1:10" x14ac:dyDescent="0.2">
      <c r="A501" s="1">
        <v>46106</v>
      </c>
      <c r="B501" t="s">
        <v>21</v>
      </c>
      <c r="C501" t="s">
        <v>14</v>
      </c>
      <c r="D501" t="s">
        <v>12</v>
      </c>
      <c r="E501">
        <v>103162</v>
      </c>
      <c r="F501">
        <v>2966</v>
      </c>
      <c r="G501">
        <v>499.57</v>
      </c>
      <c r="H501">
        <v>74509</v>
      </c>
      <c r="I501">
        <v>91</v>
      </c>
      <c r="J501" t="s">
        <v>13</v>
      </c>
    </row>
    <row r="502" spans="1:10" x14ac:dyDescent="0.2">
      <c r="A502" s="1">
        <v>46107</v>
      </c>
      <c r="B502" t="s">
        <v>10</v>
      </c>
      <c r="C502" t="s">
        <v>11</v>
      </c>
      <c r="D502" t="s">
        <v>12</v>
      </c>
      <c r="E502">
        <v>70634</v>
      </c>
      <c r="F502">
        <v>2790</v>
      </c>
      <c r="G502">
        <v>408.94</v>
      </c>
      <c r="H502">
        <v>57806</v>
      </c>
      <c r="I502">
        <v>79</v>
      </c>
      <c r="J502" t="s">
        <v>13</v>
      </c>
    </row>
    <row r="503" spans="1:10" x14ac:dyDescent="0.2">
      <c r="A503" s="1">
        <v>46107</v>
      </c>
      <c r="B503" t="s">
        <v>10</v>
      </c>
      <c r="C503" t="s">
        <v>14</v>
      </c>
      <c r="D503" t="s">
        <v>12</v>
      </c>
      <c r="E503">
        <v>81724</v>
      </c>
      <c r="F503">
        <v>3055</v>
      </c>
      <c r="G503">
        <v>468.15</v>
      </c>
      <c r="H503">
        <v>62325</v>
      </c>
      <c r="I503">
        <v>103</v>
      </c>
      <c r="J503" t="s">
        <v>13</v>
      </c>
    </row>
    <row r="504" spans="1:10" x14ac:dyDescent="0.2">
      <c r="A504" s="1">
        <v>46107</v>
      </c>
      <c r="B504" t="s">
        <v>15</v>
      </c>
      <c r="C504" t="s">
        <v>16</v>
      </c>
      <c r="D504" t="s">
        <v>12</v>
      </c>
      <c r="E504">
        <v>121017</v>
      </c>
      <c r="F504">
        <v>4684</v>
      </c>
      <c r="G504">
        <v>690.68</v>
      </c>
      <c r="H504">
        <v>95086</v>
      </c>
      <c r="I504">
        <v>151</v>
      </c>
      <c r="J504" t="s">
        <v>13</v>
      </c>
    </row>
    <row r="505" spans="1:10" x14ac:dyDescent="0.2">
      <c r="A505" s="1">
        <v>46107</v>
      </c>
      <c r="B505" t="s">
        <v>15</v>
      </c>
      <c r="C505" t="s">
        <v>17</v>
      </c>
      <c r="D505" t="s">
        <v>12</v>
      </c>
      <c r="E505">
        <v>156639</v>
      </c>
      <c r="F505">
        <v>6737</v>
      </c>
      <c r="G505">
        <v>1064.33</v>
      </c>
      <c r="H505">
        <v>119508</v>
      </c>
      <c r="I505">
        <v>148</v>
      </c>
      <c r="J505" t="s">
        <v>13</v>
      </c>
    </row>
    <row r="506" spans="1:10" x14ac:dyDescent="0.2">
      <c r="A506" s="1">
        <v>46107</v>
      </c>
      <c r="B506" t="s">
        <v>21</v>
      </c>
      <c r="C506" t="s">
        <v>11</v>
      </c>
      <c r="D506" t="s">
        <v>12</v>
      </c>
      <c r="E506">
        <v>88598</v>
      </c>
      <c r="F506">
        <v>2790</v>
      </c>
      <c r="G506">
        <v>474.56</v>
      </c>
      <c r="H506">
        <v>70955</v>
      </c>
      <c r="I506">
        <v>65</v>
      </c>
      <c r="J506" t="s">
        <v>13</v>
      </c>
    </row>
    <row r="507" spans="1:10" x14ac:dyDescent="0.2">
      <c r="A507" s="1">
        <v>46107</v>
      </c>
      <c r="B507" t="s">
        <v>21</v>
      </c>
      <c r="C507" t="s">
        <v>14</v>
      </c>
      <c r="D507" t="s">
        <v>12</v>
      </c>
      <c r="E507">
        <v>69336</v>
      </c>
      <c r="F507">
        <v>2883</v>
      </c>
      <c r="G507">
        <v>465.53</v>
      </c>
      <c r="H507">
        <v>52458</v>
      </c>
      <c r="I507">
        <v>78</v>
      </c>
      <c r="J507" t="s">
        <v>13</v>
      </c>
    </row>
    <row r="508" spans="1:10" x14ac:dyDescent="0.2">
      <c r="A508" s="1">
        <v>46108</v>
      </c>
      <c r="B508" t="s">
        <v>10</v>
      </c>
      <c r="C508" t="s">
        <v>11</v>
      </c>
      <c r="D508" t="s">
        <v>12</v>
      </c>
      <c r="E508">
        <v>71416</v>
      </c>
      <c r="F508">
        <v>2318</v>
      </c>
      <c r="G508">
        <v>404.5</v>
      </c>
      <c r="H508">
        <v>55188</v>
      </c>
      <c r="I508">
        <v>89</v>
      </c>
      <c r="J508" t="s">
        <v>13</v>
      </c>
    </row>
    <row r="509" spans="1:10" x14ac:dyDescent="0.2">
      <c r="A509" s="1">
        <v>46108</v>
      </c>
      <c r="B509" t="s">
        <v>10</v>
      </c>
      <c r="C509" t="s">
        <v>14</v>
      </c>
      <c r="D509" t="s">
        <v>12</v>
      </c>
      <c r="E509">
        <v>153719</v>
      </c>
      <c r="F509">
        <v>5319</v>
      </c>
      <c r="G509">
        <v>828.18</v>
      </c>
      <c r="H509">
        <v>112433</v>
      </c>
      <c r="I509">
        <v>165</v>
      </c>
      <c r="J509" t="s">
        <v>13</v>
      </c>
    </row>
    <row r="510" spans="1:10" x14ac:dyDescent="0.2">
      <c r="A510" s="1">
        <v>46108</v>
      </c>
      <c r="B510" t="s">
        <v>15</v>
      </c>
      <c r="C510" t="s">
        <v>16</v>
      </c>
      <c r="D510" t="s">
        <v>12</v>
      </c>
      <c r="E510">
        <v>130015</v>
      </c>
      <c r="F510">
        <v>5004</v>
      </c>
      <c r="G510">
        <v>863.44</v>
      </c>
      <c r="H510">
        <v>102789</v>
      </c>
      <c r="I510">
        <v>148</v>
      </c>
      <c r="J510" t="s">
        <v>13</v>
      </c>
    </row>
    <row r="511" spans="1:10" x14ac:dyDescent="0.2">
      <c r="A511" s="1">
        <v>46108</v>
      </c>
      <c r="B511" t="s">
        <v>15</v>
      </c>
      <c r="C511" t="s">
        <v>17</v>
      </c>
      <c r="D511" t="s">
        <v>12</v>
      </c>
      <c r="E511">
        <v>156703</v>
      </c>
      <c r="F511">
        <v>5959</v>
      </c>
      <c r="G511">
        <v>994.46</v>
      </c>
      <c r="H511">
        <v>117733</v>
      </c>
      <c r="I511">
        <v>168</v>
      </c>
      <c r="J511" t="s">
        <v>13</v>
      </c>
    </row>
    <row r="512" spans="1:10" x14ac:dyDescent="0.2">
      <c r="A512" s="1">
        <v>46108</v>
      </c>
      <c r="B512" t="s">
        <v>21</v>
      </c>
      <c r="C512" t="s">
        <v>11</v>
      </c>
      <c r="D512" t="s">
        <v>12</v>
      </c>
      <c r="E512">
        <v>71926</v>
      </c>
      <c r="F512">
        <v>2237</v>
      </c>
      <c r="G512">
        <v>375.23</v>
      </c>
      <c r="H512">
        <v>55460</v>
      </c>
      <c r="I512">
        <v>73</v>
      </c>
      <c r="J512" t="s">
        <v>13</v>
      </c>
    </row>
    <row r="513" spans="1:10" x14ac:dyDescent="0.2">
      <c r="A513" s="1">
        <v>46108</v>
      </c>
      <c r="B513" t="s">
        <v>21</v>
      </c>
      <c r="C513" t="s">
        <v>14</v>
      </c>
      <c r="D513" t="s">
        <v>12</v>
      </c>
      <c r="E513">
        <v>75491</v>
      </c>
      <c r="F513">
        <v>2851</v>
      </c>
      <c r="G513">
        <v>447.38</v>
      </c>
      <c r="H513">
        <v>58027</v>
      </c>
      <c r="I513">
        <v>102</v>
      </c>
      <c r="J513" t="s">
        <v>13</v>
      </c>
    </row>
    <row r="514" spans="1:10" x14ac:dyDescent="0.2">
      <c r="A514" s="1">
        <v>46109</v>
      </c>
      <c r="B514" t="s">
        <v>10</v>
      </c>
      <c r="C514" t="s">
        <v>11</v>
      </c>
      <c r="D514" t="s">
        <v>12</v>
      </c>
      <c r="E514">
        <v>161947</v>
      </c>
      <c r="F514">
        <v>7096</v>
      </c>
      <c r="G514">
        <v>1042.6099999999999</v>
      </c>
      <c r="H514">
        <v>119304</v>
      </c>
      <c r="I514">
        <v>209</v>
      </c>
      <c r="J514" t="s">
        <v>13</v>
      </c>
    </row>
    <row r="515" spans="1:10" x14ac:dyDescent="0.2">
      <c r="A515" s="1">
        <v>46109</v>
      </c>
      <c r="B515" t="s">
        <v>10</v>
      </c>
      <c r="C515" t="s">
        <v>14</v>
      </c>
      <c r="D515" t="s">
        <v>12</v>
      </c>
      <c r="E515">
        <v>83879</v>
      </c>
      <c r="F515">
        <v>2797</v>
      </c>
      <c r="G515">
        <v>442.04</v>
      </c>
      <c r="H515">
        <v>60842</v>
      </c>
      <c r="I515">
        <v>87</v>
      </c>
      <c r="J515" t="s">
        <v>13</v>
      </c>
    </row>
    <row r="516" spans="1:10" x14ac:dyDescent="0.2">
      <c r="A516" s="1">
        <v>46109</v>
      </c>
      <c r="B516" t="s">
        <v>15</v>
      </c>
      <c r="C516" t="s">
        <v>16</v>
      </c>
      <c r="D516" t="s">
        <v>12</v>
      </c>
      <c r="E516">
        <v>53632</v>
      </c>
      <c r="F516">
        <v>1943</v>
      </c>
      <c r="G516">
        <v>287.19</v>
      </c>
      <c r="H516">
        <v>40674</v>
      </c>
      <c r="I516">
        <v>71</v>
      </c>
      <c r="J516" t="s">
        <v>13</v>
      </c>
    </row>
    <row r="517" spans="1:10" x14ac:dyDescent="0.2">
      <c r="A517" s="1">
        <v>46109</v>
      </c>
      <c r="B517" t="s">
        <v>15</v>
      </c>
      <c r="C517" t="s">
        <v>17</v>
      </c>
      <c r="D517" t="s">
        <v>12</v>
      </c>
      <c r="E517">
        <v>163278</v>
      </c>
      <c r="F517">
        <v>5945</v>
      </c>
      <c r="G517">
        <v>995.12</v>
      </c>
      <c r="H517">
        <v>124346</v>
      </c>
      <c r="I517">
        <v>260</v>
      </c>
      <c r="J517" t="s">
        <v>13</v>
      </c>
    </row>
    <row r="518" spans="1:10" x14ac:dyDescent="0.2">
      <c r="A518" s="1">
        <v>46109</v>
      </c>
      <c r="B518" t="s">
        <v>19</v>
      </c>
      <c r="C518" t="s">
        <v>11</v>
      </c>
      <c r="D518" t="s">
        <v>12</v>
      </c>
      <c r="E518">
        <v>135270</v>
      </c>
      <c r="F518">
        <v>4172</v>
      </c>
      <c r="G518">
        <v>678.43</v>
      </c>
      <c r="H518">
        <v>108160</v>
      </c>
      <c r="I518">
        <v>115</v>
      </c>
      <c r="J518" t="s">
        <v>13</v>
      </c>
    </row>
    <row r="519" spans="1:10" x14ac:dyDescent="0.2">
      <c r="A519" s="1">
        <v>46109</v>
      </c>
      <c r="B519" t="s">
        <v>19</v>
      </c>
      <c r="C519" t="s">
        <v>14</v>
      </c>
      <c r="D519" t="s">
        <v>12</v>
      </c>
      <c r="E519">
        <v>57570</v>
      </c>
      <c r="F519">
        <v>1880</v>
      </c>
      <c r="G519">
        <v>303.63</v>
      </c>
      <c r="H519">
        <v>42418</v>
      </c>
      <c r="I519">
        <v>63</v>
      </c>
      <c r="J519" t="s">
        <v>13</v>
      </c>
    </row>
    <row r="520" spans="1:10" x14ac:dyDescent="0.2">
      <c r="A520" s="1">
        <v>46109</v>
      </c>
      <c r="B520" t="s">
        <v>21</v>
      </c>
      <c r="C520" t="s">
        <v>11</v>
      </c>
      <c r="D520" t="s">
        <v>12</v>
      </c>
      <c r="E520">
        <v>136397</v>
      </c>
      <c r="F520">
        <v>5093</v>
      </c>
      <c r="G520">
        <v>736.08</v>
      </c>
      <c r="H520">
        <v>99763</v>
      </c>
      <c r="I520">
        <v>214</v>
      </c>
      <c r="J520" t="s">
        <v>13</v>
      </c>
    </row>
    <row r="521" spans="1:10" x14ac:dyDescent="0.2">
      <c r="A521" s="1">
        <v>46109</v>
      </c>
      <c r="B521" t="s">
        <v>21</v>
      </c>
      <c r="C521" t="s">
        <v>14</v>
      </c>
      <c r="D521" t="s">
        <v>12</v>
      </c>
      <c r="E521">
        <v>114510</v>
      </c>
      <c r="F521">
        <v>4261</v>
      </c>
      <c r="G521">
        <v>725.53</v>
      </c>
      <c r="H521">
        <v>91150</v>
      </c>
      <c r="I521">
        <v>142</v>
      </c>
      <c r="J521" t="s">
        <v>13</v>
      </c>
    </row>
    <row r="522" spans="1:10" x14ac:dyDescent="0.2">
      <c r="A522" s="1">
        <v>46110</v>
      </c>
      <c r="B522" t="s">
        <v>10</v>
      </c>
      <c r="C522" t="s">
        <v>11</v>
      </c>
      <c r="D522" t="s">
        <v>12</v>
      </c>
      <c r="E522">
        <v>89237</v>
      </c>
      <c r="F522">
        <v>4000</v>
      </c>
      <c r="G522">
        <v>576.39</v>
      </c>
      <c r="H522">
        <v>71657</v>
      </c>
      <c r="I522">
        <v>166</v>
      </c>
      <c r="J522" t="s">
        <v>13</v>
      </c>
    </row>
    <row r="523" spans="1:10" x14ac:dyDescent="0.2">
      <c r="A523" s="1">
        <v>46110</v>
      </c>
      <c r="B523" t="s">
        <v>10</v>
      </c>
      <c r="C523" t="s">
        <v>14</v>
      </c>
      <c r="D523" t="s">
        <v>12</v>
      </c>
      <c r="E523">
        <v>102727</v>
      </c>
      <c r="F523">
        <v>4404</v>
      </c>
      <c r="G523">
        <v>622.24</v>
      </c>
      <c r="H523">
        <v>76663</v>
      </c>
      <c r="I523">
        <v>195</v>
      </c>
      <c r="J523" t="s">
        <v>13</v>
      </c>
    </row>
    <row r="524" spans="1:10" x14ac:dyDescent="0.2">
      <c r="A524" s="1">
        <v>46110</v>
      </c>
      <c r="B524" t="s">
        <v>15</v>
      </c>
      <c r="C524" t="s">
        <v>16</v>
      </c>
      <c r="D524" t="s">
        <v>12</v>
      </c>
      <c r="E524">
        <v>66821</v>
      </c>
      <c r="F524">
        <v>2369</v>
      </c>
      <c r="G524">
        <v>425.85</v>
      </c>
      <c r="H524">
        <v>53293</v>
      </c>
      <c r="I524">
        <v>66</v>
      </c>
      <c r="J524" t="s">
        <v>13</v>
      </c>
    </row>
    <row r="525" spans="1:10" x14ac:dyDescent="0.2">
      <c r="A525" s="1">
        <v>46110</v>
      </c>
      <c r="B525" t="s">
        <v>15</v>
      </c>
      <c r="C525" t="s">
        <v>17</v>
      </c>
      <c r="D525" t="s">
        <v>12</v>
      </c>
      <c r="E525">
        <v>152178</v>
      </c>
      <c r="F525">
        <v>6043</v>
      </c>
      <c r="G525">
        <v>1054.1500000000001</v>
      </c>
      <c r="H525">
        <v>118855</v>
      </c>
      <c r="I525">
        <v>200</v>
      </c>
      <c r="J525" t="s">
        <v>13</v>
      </c>
    </row>
    <row r="526" spans="1:10" x14ac:dyDescent="0.2">
      <c r="A526" s="1">
        <v>46110</v>
      </c>
      <c r="B526" t="s">
        <v>19</v>
      </c>
      <c r="C526" t="s">
        <v>11</v>
      </c>
      <c r="D526" t="s">
        <v>12</v>
      </c>
      <c r="E526">
        <v>156988</v>
      </c>
      <c r="F526">
        <v>4767</v>
      </c>
      <c r="G526">
        <v>706.78</v>
      </c>
      <c r="H526">
        <v>116280</v>
      </c>
      <c r="I526">
        <v>112</v>
      </c>
      <c r="J526" t="s">
        <v>13</v>
      </c>
    </row>
    <row r="527" spans="1:10" x14ac:dyDescent="0.2">
      <c r="A527" s="1">
        <v>46110</v>
      </c>
      <c r="B527" t="s">
        <v>19</v>
      </c>
      <c r="C527" t="s">
        <v>14</v>
      </c>
      <c r="D527" t="s">
        <v>12</v>
      </c>
      <c r="E527">
        <v>111776</v>
      </c>
      <c r="F527">
        <v>4141</v>
      </c>
      <c r="G527">
        <v>678.6</v>
      </c>
      <c r="H527">
        <v>82360</v>
      </c>
      <c r="I527">
        <v>196</v>
      </c>
      <c r="J527" t="s">
        <v>13</v>
      </c>
    </row>
    <row r="528" spans="1:10" x14ac:dyDescent="0.2">
      <c r="A528" s="1">
        <v>46110</v>
      </c>
      <c r="B528" t="s">
        <v>21</v>
      </c>
      <c r="C528" t="s">
        <v>11</v>
      </c>
      <c r="D528" t="s">
        <v>12</v>
      </c>
      <c r="E528">
        <v>101862</v>
      </c>
      <c r="F528">
        <v>3353</v>
      </c>
      <c r="G528">
        <v>505.28</v>
      </c>
      <c r="H528">
        <v>82080</v>
      </c>
      <c r="I528">
        <v>159</v>
      </c>
      <c r="J528" t="s">
        <v>13</v>
      </c>
    </row>
    <row r="529" spans="1:10" x14ac:dyDescent="0.2">
      <c r="A529" s="1">
        <v>46110</v>
      </c>
      <c r="B529" t="s">
        <v>21</v>
      </c>
      <c r="C529" t="s">
        <v>14</v>
      </c>
      <c r="D529" t="s">
        <v>12</v>
      </c>
      <c r="E529">
        <v>167748</v>
      </c>
      <c r="F529">
        <v>7021</v>
      </c>
      <c r="G529">
        <v>1021.02</v>
      </c>
      <c r="H529">
        <v>133361</v>
      </c>
      <c r="I529">
        <v>229</v>
      </c>
      <c r="J529" t="s">
        <v>13</v>
      </c>
    </row>
    <row r="530" spans="1:10" x14ac:dyDescent="0.2">
      <c r="A530" s="1">
        <v>46111</v>
      </c>
      <c r="B530" t="s">
        <v>10</v>
      </c>
      <c r="C530" t="s">
        <v>11</v>
      </c>
      <c r="D530" t="s">
        <v>12</v>
      </c>
      <c r="E530">
        <v>62101</v>
      </c>
      <c r="F530">
        <v>2786</v>
      </c>
      <c r="G530">
        <v>486.66</v>
      </c>
      <c r="H530">
        <v>45500</v>
      </c>
      <c r="I530">
        <v>124</v>
      </c>
      <c r="J530" t="s">
        <v>13</v>
      </c>
    </row>
    <row r="531" spans="1:10" x14ac:dyDescent="0.2">
      <c r="A531" s="1">
        <v>46111</v>
      </c>
      <c r="B531" t="s">
        <v>10</v>
      </c>
      <c r="C531" t="s">
        <v>14</v>
      </c>
      <c r="D531" t="s">
        <v>12</v>
      </c>
      <c r="E531">
        <v>94542</v>
      </c>
      <c r="F531">
        <v>2882</v>
      </c>
      <c r="G531">
        <v>440.61</v>
      </c>
      <c r="H531">
        <v>70410</v>
      </c>
      <c r="I531">
        <v>126</v>
      </c>
      <c r="J531" t="s">
        <v>13</v>
      </c>
    </row>
    <row r="532" spans="1:10" x14ac:dyDescent="0.2">
      <c r="A532" s="1">
        <v>46111</v>
      </c>
      <c r="B532" t="s">
        <v>15</v>
      </c>
      <c r="C532" t="s">
        <v>16</v>
      </c>
      <c r="D532" t="s">
        <v>12</v>
      </c>
      <c r="E532">
        <v>118913</v>
      </c>
      <c r="F532">
        <v>4319</v>
      </c>
      <c r="G532">
        <v>704.42</v>
      </c>
      <c r="H532">
        <v>88812</v>
      </c>
      <c r="I532">
        <v>141</v>
      </c>
      <c r="J532" t="s">
        <v>13</v>
      </c>
    </row>
    <row r="533" spans="1:10" x14ac:dyDescent="0.2">
      <c r="A533" s="1">
        <v>46111</v>
      </c>
      <c r="B533" t="s">
        <v>15</v>
      </c>
      <c r="C533" t="s">
        <v>17</v>
      </c>
      <c r="D533" t="s">
        <v>12</v>
      </c>
      <c r="E533">
        <v>129015</v>
      </c>
      <c r="F533">
        <v>3778</v>
      </c>
      <c r="G533">
        <v>649</v>
      </c>
      <c r="H533">
        <v>102810</v>
      </c>
      <c r="I533">
        <v>122</v>
      </c>
      <c r="J533" t="s">
        <v>13</v>
      </c>
    </row>
    <row r="534" spans="1:10" x14ac:dyDescent="0.2">
      <c r="A534" s="1">
        <v>46111</v>
      </c>
      <c r="B534" t="s">
        <v>21</v>
      </c>
      <c r="C534" t="s">
        <v>11</v>
      </c>
      <c r="D534" t="s">
        <v>12</v>
      </c>
      <c r="E534">
        <v>99407</v>
      </c>
      <c r="F534">
        <v>3957</v>
      </c>
      <c r="G534">
        <v>692.84</v>
      </c>
      <c r="H534">
        <v>76093</v>
      </c>
      <c r="I534">
        <v>137</v>
      </c>
      <c r="J534" t="s">
        <v>13</v>
      </c>
    </row>
    <row r="535" spans="1:10" x14ac:dyDescent="0.2">
      <c r="A535" s="1">
        <v>46111</v>
      </c>
      <c r="B535" t="s">
        <v>21</v>
      </c>
      <c r="C535" t="s">
        <v>14</v>
      </c>
      <c r="D535" t="s">
        <v>12</v>
      </c>
      <c r="E535">
        <v>151161</v>
      </c>
      <c r="F535">
        <v>4238</v>
      </c>
      <c r="G535">
        <v>724.55</v>
      </c>
      <c r="H535">
        <v>119911</v>
      </c>
      <c r="I535">
        <v>173</v>
      </c>
      <c r="J535" t="s">
        <v>13</v>
      </c>
    </row>
    <row r="536" spans="1:10" x14ac:dyDescent="0.2">
      <c r="A536" s="1">
        <v>46112</v>
      </c>
      <c r="B536" t="s">
        <v>10</v>
      </c>
      <c r="C536" t="s">
        <v>11</v>
      </c>
      <c r="D536" t="s">
        <v>12</v>
      </c>
      <c r="E536">
        <v>130115</v>
      </c>
      <c r="F536">
        <v>5047</v>
      </c>
      <c r="G536">
        <v>847.35</v>
      </c>
      <c r="H536">
        <v>104743</v>
      </c>
      <c r="I536">
        <v>215</v>
      </c>
      <c r="J536" t="s">
        <v>13</v>
      </c>
    </row>
    <row r="537" spans="1:10" x14ac:dyDescent="0.2">
      <c r="A537" s="1">
        <v>46112</v>
      </c>
      <c r="B537" t="s">
        <v>10</v>
      </c>
      <c r="C537" t="s">
        <v>14</v>
      </c>
      <c r="D537" t="s">
        <v>12</v>
      </c>
      <c r="E537">
        <v>119767</v>
      </c>
      <c r="F537">
        <v>3796</v>
      </c>
      <c r="G537">
        <v>596.67999999999995</v>
      </c>
      <c r="H537">
        <v>88769</v>
      </c>
      <c r="I537">
        <v>110</v>
      </c>
      <c r="J537" t="s">
        <v>13</v>
      </c>
    </row>
    <row r="538" spans="1:10" x14ac:dyDescent="0.2">
      <c r="A538" s="1">
        <v>46112</v>
      </c>
      <c r="B538" t="s">
        <v>15</v>
      </c>
      <c r="C538" t="s">
        <v>16</v>
      </c>
      <c r="D538" t="s">
        <v>12</v>
      </c>
      <c r="E538">
        <v>100322</v>
      </c>
      <c r="F538">
        <v>3385</v>
      </c>
      <c r="G538">
        <v>552.15</v>
      </c>
      <c r="H538">
        <v>77911</v>
      </c>
      <c r="I538">
        <v>117</v>
      </c>
      <c r="J538" t="s">
        <v>13</v>
      </c>
    </row>
    <row r="539" spans="1:10" x14ac:dyDescent="0.2">
      <c r="A539" s="1">
        <v>46112</v>
      </c>
      <c r="B539" t="s">
        <v>15</v>
      </c>
      <c r="C539" t="s">
        <v>17</v>
      </c>
      <c r="D539" t="s">
        <v>12</v>
      </c>
      <c r="E539">
        <v>110570</v>
      </c>
      <c r="F539">
        <v>4776</v>
      </c>
      <c r="G539">
        <v>814.26</v>
      </c>
      <c r="H539">
        <v>80118</v>
      </c>
      <c r="I539">
        <v>182</v>
      </c>
      <c r="J539" t="s">
        <v>13</v>
      </c>
    </row>
    <row r="540" spans="1:10" x14ac:dyDescent="0.2">
      <c r="A540" s="1">
        <v>46112</v>
      </c>
      <c r="B540" t="s">
        <v>21</v>
      </c>
      <c r="C540" t="s">
        <v>11</v>
      </c>
      <c r="D540" t="s">
        <v>12</v>
      </c>
      <c r="E540">
        <v>130309</v>
      </c>
      <c r="F540">
        <v>3684</v>
      </c>
      <c r="G540">
        <v>652.72</v>
      </c>
      <c r="H540">
        <v>95881</v>
      </c>
      <c r="I540">
        <v>124</v>
      </c>
      <c r="J540" t="s">
        <v>13</v>
      </c>
    </row>
    <row r="541" spans="1:10" x14ac:dyDescent="0.2">
      <c r="A541" s="1">
        <v>46112</v>
      </c>
      <c r="B541" t="s">
        <v>21</v>
      </c>
      <c r="C541" t="s">
        <v>14</v>
      </c>
      <c r="D541" t="s">
        <v>12</v>
      </c>
      <c r="E541">
        <v>124893</v>
      </c>
      <c r="F541">
        <v>3926</v>
      </c>
      <c r="G541">
        <v>657.78</v>
      </c>
      <c r="H541">
        <v>91570</v>
      </c>
      <c r="I541">
        <v>152</v>
      </c>
      <c r="J541" t="s">
        <v>13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B1808-AA6F-814A-A22A-7E651680C6D2}">
  <dimension ref="A1:J541"/>
  <sheetViews>
    <sheetView workbookViewId="0">
      <selection activeCell="E7" sqref="E7"/>
    </sheetView>
  </sheetViews>
  <sheetFormatPr baseColWidth="10" defaultRowHeight="16" x14ac:dyDescent="0.2"/>
  <cols>
    <col min="1" max="1" width="10.5" bestFit="1" customWidth="1"/>
    <col min="2" max="2" width="29" bestFit="1" customWidth="1"/>
    <col min="3" max="3" width="13" bestFit="1" customWidth="1"/>
    <col min="4" max="4" width="12.1640625" bestFit="1" customWidth="1"/>
    <col min="5" max="5" width="14" bestFit="1" customWidth="1"/>
    <col min="6" max="6" width="8.6640625" bestFit="1" customWidth="1"/>
    <col min="7" max="7" width="12.5" bestFit="1" customWidth="1"/>
    <col min="8" max="8" width="8.33203125" bestFit="1" customWidth="1"/>
    <col min="9" max="9" width="13.6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22</v>
      </c>
      <c r="I1" t="s">
        <v>8</v>
      </c>
      <c r="J1" t="s">
        <v>9</v>
      </c>
    </row>
    <row r="2" spans="1:10" x14ac:dyDescent="0.2">
      <c r="A2" s="1">
        <v>46023</v>
      </c>
      <c r="B2" t="s">
        <v>10</v>
      </c>
      <c r="C2" t="s">
        <v>23</v>
      </c>
      <c r="D2" t="s">
        <v>24</v>
      </c>
      <c r="E2">
        <v>84474</v>
      </c>
      <c r="F2">
        <v>3693</v>
      </c>
      <c r="G2">
        <v>671.27</v>
      </c>
      <c r="H2">
        <v>65126</v>
      </c>
      <c r="I2">
        <v>124</v>
      </c>
      <c r="J2" t="s">
        <v>25</v>
      </c>
    </row>
    <row r="3" spans="1:10" x14ac:dyDescent="0.2">
      <c r="A3" s="1">
        <v>46023</v>
      </c>
      <c r="B3" t="s">
        <v>10</v>
      </c>
      <c r="C3" t="s">
        <v>26</v>
      </c>
      <c r="D3" t="s">
        <v>24</v>
      </c>
      <c r="E3">
        <v>121867</v>
      </c>
      <c r="F3">
        <v>5033</v>
      </c>
      <c r="G3">
        <v>848.61</v>
      </c>
      <c r="H3">
        <v>96429</v>
      </c>
      <c r="I3">
        <v>184</v>
      </c>
      <c r="J3" t="s">
        <v>25</v>
      </c>
    </row>
    <row r="4" spans="1:10" x14ac:dyDescent="0.2">
      <c r="A4" s="1">
        <v>46023</v>
      </c>
      <c r="B4" t="s">
        <v>15</v>
      </c>
      <c r="C4" t="s">
        <v>27</v>
      </c>
      <c r="D4" t="s">
        <v>24</v>
      </c>
      <c r="E4">
        <v>82873</v>
      </c>
      <c r="F4">
        <v>2839</v>
      </c>
      <c r="G4">
        <v>439.2</v>
      </c>
      <c r="H4">
        <v>59792</v>
      </c>
      <c r="I4">
        <v>161</v>
      </c>
      <c r="J4" t="s">
        <v>25</v>
      </c>
    </row>
    <row r="5" spans="1:10" x14ac:dyDescent="0.2">
      <c r="A5" s="1">
        <v>46023</v>
      </c>
      <c r="B5" t="s">
        <v>15</v>
      </c>
      <c r="C5" t="s">
        <v>28</v>
      </c>
      <c r="D5" t="s">
        <v>29</v>
      </c>
      <c r="E5">
        <v>54623</v>
      </c>
      <c r="F5">
        <v>2416</v>
      </c>
      <c r="G5">
        <v>406.34</v>
      </c>
      <c r="H5">
        <v>40246</v>
      </c>
      <c r="I5">
        <v>115</v>
      </c>
      <c r="J5" t="s">
        <v>25</v>
      </c>
    </row>
    <row r="6" spans="1:10" x14ac:dyDescent="0.2">
      <c r="A6" s="1">
        <v>46023</v>
      </c>
      <c r="B6" t="s">
        <v>18</v>
      </c>
      <c r="C6" t="s">
        <v>23</v>
      </c>
      <c r="D6" t="s">
        <v>24</v>
      </c>
      <c r="E6">
        <v>96628</v>
      </c>
      <c r="F6">
        <v>3728</v>
      </c>
      <c r="G6">
        <v>597.38</v>
      </c>
      <c r="H6">
        <v>78632</v>
      </c>
      <c r="I6">
        <v>197</v>
      </c>
      <c r="J6" t="s">
        <v>25</v>
      </c>
    </row>
    <row r="7" spans="1:10" x14ac:dyDescent="0.2">
      <c r="A7" s="1">
        <v>46023</v>
      </c>
      <c r="B7" t="s">
        <v>18</v>
      </c>
      <c r="C7" t="s">
        <v>26</v>
      </c>
      <c r="D7" t="s">
        <v>29</v>
      </c>
      <c r="E7">
        <v>49583</v>
      </c>
      <c r="F7">
        <v>1710</v>
      </c>
      <c r="G7">
        <v>329.81</v>
      </c>
      <c r="H7">
        <v>35890</v>
      </c>
      <c r="I7">
        <v>93</v>
      </c>
      <c r="J7" t="s">
        <v>25</v>
      </c>
    </row>
    <row r="8" spans="1:10" x14ac:dyDescent="0.2">
      <c r="A8" s="1">
        <v>46024</v>
      </c>
      <c r="B8" t="s">
        <v>10</v>
      </c>
      <c r="C8" t="s">
        <v>23</v>
      </c>
      <c r="D8" t="s">
        <v>24</v>
      </c>
      <c r="E8">
        <v>36424</v>
      </c>
      <c r="F8">
        <v>1396</v>
      </c>
      <c r="G8">
        <v>230.92</v>
      </c>
      <c r="H8">
        <v>30369</v>
      </c>
      <c r="I8">
        <v>63</v>
      </c>
      <c r="J8" t="s">
        <v>25</v>
      </c>
    </row>
    <row r="9" spans="1:10" x14ac:dyDescent="0.2">
      <c r="A9" s="1">
        <v>46024</v>
      </c>
      <c r="B9" t="s">
        <v>10</v>
      </c>
      <c r="C9" t="s">
        <v>26</v>
      </c>
      <c r="D9" t="s">
        <v>30</v>
      </c>
      <c r="E9">
        <v>109981</v>
      </c>
      <c r="F9">
        <v>4402</v>
      </c>
      <c r="G9">
        <v>803.63</v>
      </c>
      <c r="H9">
        <v>84777</v>
      </c>
      <c r="I9">
        <v>161</v>
      </c>
      <c r="J9" t="s">
        <v>25</v>
      </c>
    </row>
    <row r="10" spans="1:10" x14ac:dyDescent="0.2">
      <c r="A10" s="1">
        <v>46024</v>
      </c>
      <c r="B10" t="s">
        <v>15</v>
      </c>
      <c r="C10" t="s">
        <v>27</v>
      </c>
      <c r="D10" t="s">
        <v>24</v>
      </c>
      <c r="E10">
        <v>103354</v>
      </c>
      <c r="F10">
        <v>3931</v>
      </c>
      <c r="G10">
        <v>774.66</v>
      </c>
      <c r="H10">
        <v>83631</v>
      </c>
      <c r="I10">
        <v>173</v>
      </c>
      <c r="J10" t="s">
        <v>25</v>
      </c>
    </row>
    <row r="11" spans="1:10" x14ac:dyDescent="0.2">
      <c r="A11" s="1">
        <v>46024</v>
      </c>
      <c r="B11" t="s">
        <v>15</v>
      </c>
      <c r="C11" t="s">
        <v>28</v>
      </c>
      <c r="D11" t="s">
        <v>30</v>
      </c>
      <c r="E11">
        <v>63692</v>
      </c>
      <c r="F11">
        <v>2437</v>
      </c>
      <c r="G11">
        <v>461.45</v>
      </c>
      <c r="H11">
        <v>53317</v>
      </c>
      <c r="I11">
        <v>122</v>
      </c>
      <c r="J11" t="s">
        <v>25</v>
      </c>
    </row>
    <row r="12" spans="1:10" x14ac:dyDescent="0.2">
      <c r="A12" s="1">
        <v>46024</v>
      </c>
      <c r="B12" t="s">
        <v>18</v>
      </c>
      <c r="C12" t="s">
        <v>23</v>
      </c>
      <c r="D12" t="s">
        <v>24</v>
      </c>
      <c r="E12">
        <v>125757</v>
      </c>
      <c r="F12">
        <v>4966</v>
      </c>
      <c r="G12">
        <v>788.56</v>
      </c>
      <c r="H12">
        <v>100231</v>
      </c>
      <c r="I12">
        <v>282</v>
      </c>
      <c r="J12" t="s">
        <v>25</v>
      </c>
    </row>
    <row r="13" spans="1:10" x14ac:dyDescent="0.2">
      <c r="A13" s="1">
        <v>46024</v>
      </c>
      <c r="B13" t="s">
        <v>18</v>
      </c>
      <c r="C13" t="s">
        <v>26</v>
      </c>
      <c r="D13" t="s">
        <v>29</v>
      </c>
      <c r="E13">
        <v>42165</v>
      </c>
      <c r="F13">
        <v>1891</v>
      </c>
      <c r="G13">
        <v>338.11</v>
      </c>
      <c r="H13">
        <v>31344</v>
      </c>
      <c r="I13">
        <v>66</v>
      </c>
      <c r="J13" t="s">
        <v>25</v>
      </c>
    </row>
    <row r="14" spans="1:10" x14ac:dyDescent="0.2">
      <c r="A14" s="1">
        <v>46025</v>
      </c>
      <c r="B14" t="s">
        <v>10</v>
      </c>
      <c r="C14" t="s">
        <v>23</v>
      </c>
      <c r="D14" t="s">
        <v>24</v>
      </c>
      <c r="E14">
        <v>115555</v>
      </c>
      <c r="F14">
        <v>4812</v>
      </c>
      <c r="G14">
        <v>918.11</v>
      </c>
      <c r="H14">
        <v>83588</v>
      </c>
      <c r="I14">
        <v>194</v>
      </c>
      <c r="J14" t="s">
        <v>25</v>
      </c>
    </row>
    <row r="15" spans="1:10" x14ac:dyDescent="0.2">
      <c r="A15" s="1">
        <v>46025</v>
      </c>
      <c r="B15" t="s">
        <v>10</v>
      </c>
      <c r="C15" t="s">
        <v>26</v>
      </c>
      <c r="D15" t="s">
        <v>24</v>
      </c>
      <c r="E15">
        <v>60985</v>
      </c>
      <c r="F15">
        <v>2158</v>
      </c>
      <c r="G15">
        <v>303.54000000000002</v>
      </c>
      <c r="H15">
        <v>50566</v>
      </c>
      <c r="I15">
        <v>81</v>
      </c>
      <c r="J15" t="s">
        <v>25</v>
      </c>
    </row>
    <row r="16" spans="1:10" x14ac:dyDescent="0.2">
      <c r="A16" s="1">
        <v>46025</v>
      </c>
      <c r="B16" t="s">
        <v>15</v>
      </c>
      <c r="C16" t="s">
        <v>27</v>
      </c>
      <c r="D16" t="s">
        <v>24</v>
      </c>
      <c r="E16">
        <v>166143</v>
      </c>
      <c r="F16">
        <v>7786</v>
      </c>
      <c r="G16">
        <v>1202.31</v>
      </c>
      <c r="H16">
        <v>121318</v>
      </c>
      <c r="I16">
        <v>382</v>
      </c>
      <c r="J16" t="s">
        <v>25</v>
      </c>
    </row>
    <row r="17" spans="1:10" x14ac:dyDescent="0.2">
      <c r="A17" s="1">
        <v>46025</v>
      </c>
      <c r="B17" t="s">
        <v>15</v>
      </c>
      <c r="C17" t="s">
        <v>28</v>
      </c>
      <c r="D17" t="s">
        <v>30</v>
      </c>
      <c r="E17">
        <v>152446</v>
      </c>
      <c r="F17">
        <v>7284</v>
      </c>
      <c r="G17">
        <v>1231.2</v>
      </c>
      <c r="H17">
        <v>110640</v>
      </c>
      <c r="I17">
        <v>253</v>
      </c>
      <c r="J17" t="s">
        <v>25</v>
      </c>
    </row>
    <row r="18" spans="1:10" x14ac:dyDescent="0.2">
      <c r="A18" s="1">
        <v>46025</v>
      </c>
      <c r="B18" t="s">
        <v>19</v>
      </c>
      <c r="C18" t="s">
        <v>23</v>
      </c>
      <c r="D18" t="s">
        <v>24</v>
      </c>
      <c r="E18">
        <v>50555</v>
      </c>
      <c r="F18">
        <v>2410</v>
      </c>
      <c r="G18">
        <v>446.09</v>
      </c>
      <c r="H18">
        <v>42215</v>
      </c>
      <c r="I18">
        <v>113</v>
      </c>
      <c r="J18" t="s">
        <v>25</v>
      </c>
    </row>
    <row r="19" spans="1:10" x14ac:dyDescent="0.2">
      <c r="A19" s="1">
        <v>46025</v>
      </c>
      <c r="B19" t="s">
        <v>19</v>
      </c>
      <c r="C19" t="s">
        <v>26</v>
      </c>
      <c r="D19" t="s">
        <v>24</v>
      </c>
      <c r="E19">
        <v>186963</v>
      </c>
      <c r="F19">
        <v>7151</v>
      </c>
      <c r="G19">
        <v>1153.82</v>
      </c>
      <c r="H19">
        <v>137519</v>
      </c>
      <c r="I19">
        <v>373</v>
      </c>
      <c r="J19" t="s">
        <v>25</v>
      </c>
    </row>
    <row r="20" spans="1:10" x14ac:dyDescent="0.2">
      <c r="A20" s="1">
        <v>46025</v>
      </c>
      <c r="B20" t="s">
        <v>18</v>
      </c>
      <c r="C20" t="s">
        <v>23</v>
      </c>
      <c r="D20" t="s">
        <v>24</v>
      </c>
      <c r="E20">
        <v>123736</v>
      </c>
      <c r="F20">
        <v>5734</v>
      </c>
      <c r="G20">
        <v>976.01</v>
      </c>
      <c r="H20">
        <v>96546</v>
      </c>
      <c r="I20">
        <v>316</v>
      </c>
      <c r="J20" t="s">
        <v>25</v>
      </c>
    </row>
    <row r="21" spans="1:10" x14ac:dyDescent="0.2">
      <c r="A21" s="1">
        <v>46025</v>
      </c>
      <c r="B21" t="s">
        <v>18</v>
      </c>
      <c r="C21" t="s">
        <v>26</v>
      </c>
      <c r="D21" t="s">
        <v>29</v>
      </c>
      <c r="E21">
        <v>156746</v>
      </c>
      <c r="F21">
        <v>7012</v>
      </c>
      <c r="G21">
        <v>1182.3399999999999</v>
      </c>
      <c r="H21">
        <v>129199</v>
      </c>
      <c r="I21">
        <v>232</v>
      </c>
      <c r="J21" t="s">
        <v>25</v>
      </c>
    </row>
    <row r="22" spans="1:10" x14ac:dyDescent="0.2">
      <c r="A22" s="1">
        <v>46026</v>
      </c>
      <c r="B22" t="s">
        <v>10</v>
      </c>
      <c r="C22" t="s">
        <v>23</v>
      </c>
      <c r="D22" t="s">
        <v>24</v>
      </c>
      <c r="E22">
        <v>76806</v>
      </c>
      <c r="F22">
        <v>3296</v>
      </c>
      <c r="G22">
        <v>477.01</v>
      </c>
      <c r="H22">
        <v>61069</v>
      </c>
      <c r="I22">
        <v>199</v>
      </c>
      <c r="J22" t="s">
        <v>25</v>
      </c>
    </row>
    <row r="23" spans="1:10" x14ac:dyDescent="0.2">
      <c r="A23" s="1">
        <v>46026</v>
      </c>
      <c r="B23" t="s">
        <v>10</v>
      </c>
      <c r="C23" t="s">
        <v>26</v>
      </c>
      <c r="D23" t="s">
        <v>24</v>
      </c>
      <c r="E23">
        <v>88571</v>
      </c>
      <c r="F23">
        <v>3978</v>
      </c>
      <c r="G23">
        <v>713.07</v>
      </c>
      <c r="H23">
        <v>71942</v>
      </c>
      <c r="I23">
        <v>146</v>
      </c>
      <c r="J23" t="s">
        <v>25</v>
      </c>
    </row>
    <row r="24" spans="1:10" x14ac:dyDescent="0.2">
      <c r="A24" s="1">
        <v>46026</v>
      </c>
      <c r="B24" t="s">
        <v>15</v>
      </c>
      <c r="C24" t="s">
        <v>27</v>
      </c>
      <c r="D24" t="s">
        <v>29</v>
      </c>
      <c r="E24">
        <v>131112</v>
      </c>
      <c r="F24">
        <v>5843</v>
      </c>
      <c r="G24">
        <v>936.87</v>
      </c>
      <c r="H24">
        <v>100069</v>
      </c>
      <c r="I24">
        <v>337</v>
      </c>
      <c r="J24" t="s">
        <v>25</v>
      </c>
    </row>
    <row r="25" spans="1:10" x14ac:dyDescent="0.2">
      <c r="A25" s="1">
        <v>46026</v>
      </c>
      <c r="B25" t="s">
        <v>15</v>
      </c>
      <c r="C25" t="s">
        <v>28</v>
      </c>
      <c r="D25" t="s">
        <v>29</v>
      </c>
      <c r="E25">
        <v>56341</v>
      </c>
      <c r="F25">
        <v>2605</v>
      </c>
      <c r="G25">
        <v>485.7</v>
      </c>
      <c r="H25">
        <v>43186</v>
      </c>
      <c r="I25">
        <v>99</v>
      </c>
      <c r="J25" t="s">
        <v>25</v>
      </c>
    </row>
    <row r="26" spans="1:10" x14ac:dyDescent="0.2">
      <c r="A26" s="1">
        <v>46026</v>
      </c>
      <c r="B26" t="s">
        <v>19</v>
      </c>
      <c r="C26" t="s">
        <v>23</v>
      </c>
      <c r="D26" t="s">
        <v>24</v>
      </c>
      <c r="E26">
        <v>76965</v>
      </c>
      <c r="F26">
        <v>3160</v>
      </c>
      <c r="G26">
        <v>630.94000000000005</v>
      </c>
      <c r="H26">
        <v>56314</v>
      </c>
      <c r="I26">
        <v>102</v>
      </c>
      <c r="J26" t="s">
        <v>25</v>
      </c>
    </row>
    <row r="27" spans="1:10" x14ac:dyDescent="0.2">
      <c r="A27" s="1">
        <v>46026</v>
      </c>
      <c r="B27" t="s">
        <v>19</v>
      </c>
      <c r="C27" t="s">
        <v>26</v>
      </c>
      <c r="D27" t="s">
        <v>24</v>
      </c>
      <c r="E27">
        <v>149399</v>
      </c>
      <c r="F27">
        <v>6854</v>
      </c>
      <c r="G27">
        <v>1287.48</v>
      </c>
      <c r="H27">
        <v>123615</v>
      </c>
      <c r="I27">
        <v>321</v>
      </c>
      <c r="J27" t="s">
        <v>25</v>
      </c>
    </row>
    <row r="28" spans="1:10" x14ac:dyDescent="0.2">
      <c r="A28" s="1">
        <v>46026</v>
      </c>
      <c r="B28" t="s">
        <v>18</v>
      </c>
      <c r="C28" t="s">
        <v>23</v>
      </c>
      <c r="D28" t="s">
        <v>24</v>
      </c>
      <c r="E28">
        <v>106566</v>
      </c>
      <c r="F28">
        <v>3699</v>
      </c>
      <c r="G28">
        <v>583.47</v>
      </c>
      <c r="H28">
        <v>77599</v>
      </c>
      <c r="I28">
        <v>182</v>
      </c>
      <c r="J28" t="s">
        <v>25</v>
      </c>
    </row>
    <row r="29" spans="1:10" x14ac:dyDescent="0.2">
      <c r="A29" s="1">
        <v>46026</v>
      </c>
      <c r="B29" t="s">
        <v>18</v>
      </c>
      <c r="C29" t="s">
        <v>26</v>
      </c>
      <c r="D29" t="s">
        <v>29</v>
      </c>
      <c r="E29">
        <v>65372</v>
      </c>
      <c r="F29">
        <v>2166</v>
      </c>
      <c r="G29">
        <v>395.6</v>
      </c>
      <c r="H29">
        <v>50682</v>
      </c>
      <c r="I29">
        <v>133</v>
      </c>
      <c r="J29" t="s">
        <v>25</v>
      </c>
    </row>
    <row r="30" spans="1:10" x14ac:dyDescent="0.2">
      <c r="A30" s="1">
        <v>46027</v>
      </c>
      <c r="B30" t="s">
        <v>10</v>
      </c>
      <c r="C30" t="s">
        <v>23</v>
      </c>
      <c r="D30" t="s">
        <v>29</v>
      </c>
      <c r="E30">
        <v>92939</v>
      </c>
      <c r="F30">
        <v>3941</v>
      </c>
      <c r="G30">
        <v>584.95000000000005</v>
      </c>
      <c r="H30">
        <v>68298</v>
      </c>
      <c r="I30">
        <v>193</v>
      </c>
      <c r="J30" t="s">
        <v>25</v>
      </c>
    </row>
    <row r="31" spans="1:10" x14ac:dyDescent="0.2">
      <c r="A31" s="1">
        <v>46027</v>
      </c>
      <c r="B31" t="s">
        <v>10</v>
      </c>
      <c r="C31" t="s">
        <v>26</v>
      </c>
      <c r="D31" t="s">
        <v>24</v>
      </c>
      <c r="E31">
        <v>82641</v>
      </c>
      <c r="F31">
        <v>3780</v>
      </c>
      <c r="G31">
        <v>620.13</v>
      </c>
      <c r="H31">
        <v>68000</v>
      </c>
      <c r="I31">
        <v>224</v>
      </c>
      <c r="J31" t="s">
        <v>25</v>
      </c>
    </row>
    <row r="32" spans="1:10" x14ac:dyDescent="0.2">
      <c r="A32" s="1">
        <v>46027</v>
      </c>
      <c r="B32" t="s">
        <v>15</v>
      </c>
      <c r="C32" t="s">
        <v>27</v>
      </c>
      <c r="D32" t="s">
        <v>24</v>
      </c>
      <c r="E32">
        <v>92780</v>
      </c>
      <c r="F32">
        <v>3513</v>
      </c>
      <c r="G32">
        <v>669.89</v>
      </c>
      <c r="H32">
        <v>77401</v>
      </c>
      <c r="I32">
        <v>151</v>
      </c>
      <c r="J32" t="s">
        <v>25</v>
      </c>
    </row>
    <row r="33" spans="1:10" x14ac:dyDescent="0.2">
      <c r="A33" s="1">
        <v>46027</v>
      </c>
      <c r="B33" t="s">
        <v>15</v>
      </c>
      <c r="C33" t="s">
        <v>28</v>
      </c>
      <c r="D33" t="s">
        <v>29</v>
      </c>
      <c r="E33">
        <v>101314</v>
      </c>
      <c r="F33">
        <v>3971</v>
      </c>
      <c r="G33">
        <v>764.99</v>
      </c>
      <c r="H33">
        <v>84997</v>
      </c>
      <c r="I33">
        <v>132</v>
      </c>
      <c r="J33" t="s">
        <v>25</v>
      </c>
    </row>
    <row r="34" spans="1:10" x14ac:dyDescent="0.2">
      <c r="A34" s="1">
        <v>46027</v>
      </c>
      <c r="B34" t="s">
        <v>18</v>
      </c>
      <c r="C34" t="s">
        <v>23</v>
      </c>
      <c r="D34" t="s">
        <v>24</v>
      </c>
      <c r="E34">
        <v>132129</v>
      </c>
      <c r="F34">
        <v>5899</v>
      </c>
      <c r="G34">
        <v>1073.53</v>
      </c>
      <c r="H34">
        <v>104024</v>
      </c>
      <c r="I34">
        <v>216</v>
      </c>
      <c r="J34" t="s">
        <v>25</v>
      </c>
    </row>
    <row r="35" spans="1:10" x14ac:dyDescent="0.2">
      <c r="A35" s="1">
        <v>46027</v>
      </c>
      <c r="B35" t="s">
        <v>18</v>
      </c>
      <c r="C35" t="s">
        <v>26</v>
      </c>
      <c r="D35" t="s">
        <v>29</v>
      </c>
      <c r="E35">
        <v>73097</v>
      </c>
      <c r="F35">
        <v>2778</v>
      </c>
      <c r="G35">
        <v>483.95</v>
      </c>
      <c r="H35">
        <v>60119</v>
      </c>
      <c r="I35">
        <v>107</v>
      </c>
      <c r="J35" t="s">
        <v>25</v>
      </c>
    </row>
    <row r="36" spans="1:10" x14ac:dyDescent="0.2">
      <c r="A36" s="1">
        <v>46028</v>
      </c>
      <c r="B36" t="s">
        <v>10</v>
      </c>
      <c r="C36" t="s">
        <v>23</v>
      </c>
      <c r="D36" t="s">
        <v>29</v>
      </c>
      <c r="E36">
        <v>122706</v>
      </c>
      <c r="F36">
        <v>4110</v>
      </c>
      <c r="G36">
        <v>690.29</v>
      </c>
      <c r="H36">
        <v>97808</v>
      </c>
      <c r="I36">
        <v>242</v>
      </c>
      <c r="J36" t="s">
        <v>25</v>
      </c>
    </row>
    <row r="37" spans="1:10" x14ac:dyDescent="0.2">
      <c r="A37" s="1">
        <v>46028</v>
      </c>
      <c r="B37" t="s">
        <v>10</v>
      </c>
      <c r="C37" t="s">
        <v>26</v>
      </c>
      <c r="D37" t="s">
        <v>30</v>
      </c>
      <c r="E37">
        <v>49302</v>
      </c>
      <c r="F37">
        <v>1645</v>
      </c>
      <c r="G37">
        <v>302.52999999999997</v>
      </c>
      <c r="H37">
        <v>40925</v>
      </c>
      <c r="I37">
        <v>98</v>
      </c>
      <c r="J37" t="s">
        <v>25</v>
      </c>
    </row>
    <row r="38" spans="1:10" x14ac:dyDescent="0.2">
      <c r="A38" s="1">
        <v>46028</v>
      </c>
      <c r="B38" t="s">
        <v>15</v>
      </c>
      <c r="C38" t="s">
        <v>27</v>
      </c>
      <c r="D38" t="s">
        <v>29</v>
      </c>
      <c r="E38">
        <v>61145</v>
      </c>
      <c r="F38">
        <v>2349</v>
      </c>
      <c r="G38">
        <v>337.95</v>
      </c>
      <c r="H38">
        <v>46536</v>
      </c>
      <c r="I38">
        <v>117</v>
      </c>
      <c r="J38" t="s">
        <v>25</v>
      </c>
    </row>
    <row r="39" spans="1:10" x14ac:dyDescent="0.2">
      <c r="A39" s="1">
        <v>46028</v>
      </c>
      <c r="B39" t="s">
        <v>15</v>
      </c>
      <c r="C39" t="s">
        <v>28</v>
      </c>
      <c r="D39" t="s">
        <v>30</v>
      </c>
      <c r="E39">
        <v>127050</v>
      </c>
      <c r="F39">
        <v>5572</v>
      </c>
      <c r="G39">
        <v>818.3</v>
      </c>
      <c r="H39">
        <v>98406</v>
      </c>
      <c r="I39">
        <v>269</v>
      </c>
      <c r="J39" t="s">
        <v>25</v>
      </c>
    </row>
    <row r="40" spans="1:10" x14ac:dyDescent="0.2">
      <c r="A40" s="1">
        <v>46028</v>
      </c>
      <c r="B40" t="s">
        <v>18</v>
      </c>
      <c r="C40" t="s">
        <v>23</v>
      </c>
      <c r="D40" t="s">
        <v>24</v>
      </c>
      <c r="E40">
        <v>54072</v>
      </c>
      <c r="F40">
        <v>2284</v>
      </c>
      <c r="G40">
        <v>363.64</v>
      </c>
      <c r="H40">
        <v>39135</v>
      </c>
      <c r="I40">
        <v>114</v>
      </c>
      <c r="J40" t="s">
        <v>25</v>
      </c>
    </row>
    <row r="41" spans="1:10" x14ac:dyDescent="0.2">
      <c r="A41" s="1">
        <v>46028</v>
      </c>
      <c r="B41" t="s">
        <v>18</v>
      </c>
      <c r="C41" t="s">
        <v>26</v>
      </c>
      <c r="D41" t="s">
        <v>29</v>
      </c>
      <c r="E41">
        <v>43178</v>
      </c>
      <c r="F41">
        <v>2028</v>
      </c>
      <c r="G41">
        <v>327.91</v>
      </c>
      <c r="H41">
        <v>33316</v>
      </c>
      <c r="I41">
        <v>93</v>
      </c>
      <c r="J41" t="s">
        <v>25</v>
      </c>
    </row>
    <row r="42" spans="1:10" x14ac:dyDescent="0.2">
      <c r="A42" s="1">
        <v>46029</v>
      </c>
      <c r="B42" t="s">
        <v>10</v>
      </c>
      <c r="C42" t="s">
        <v>23</v>
      </c>
      <c r="D42" t="s">
        <v>24</v>
      </c>
      <c r="E42">
        <v>62720</v>
      </c>
      <c r="F42">
        <v>2878</v>
      </c>
      <c r="G42">
        <v>567.41999999999996</v>
      </c>
      <c r="H42">
        <v>50303</v>
      </c>
      <c r="I42">
        <v>115</v>
      </c>
      <c r="J42" t="s">
        <v>25</v>
      </c>
    </row>
    <row r="43" spans="1:10" x14ac:dyDescent="0.2">
      <c r="A43" s="1">
        <v>46029</v>
      </c>
      <c r="B43" t="s">
        <v>10</v>
      </c>
      <c r="C43" t="s">
        <v>26</v>
      </c>
      <c r="D43" t="s">
        <v>24</v>
      </c>
      <c r="E43">
        <v>45956</v>
      </c>
      <c r="F43">
        <v>1574</v>
      </c>
      <c r="G43">
        <v>246.23</v>
      </c>
      <c r="H43">
        <v>33538</v>
      </c>
      <c r="I43">
        <v>91</v>
      </c>
      <c r="J43" t="s">
        <v>25</v>
      </c>
    </row>
    <row r="44" spans="1:10" x14ac:dyDescent="0.2">
      <c r="A44" s="1">
        <v>46029</v>
      </c>
      <c r="B44" t="s">
        <v>15</v>
      </c>
      <c r="C44" t="s">
        <v>27</v>
      </c>
      <c r="D44" t="s">
        <v>29</v>
      </c>
      <c r="E44">
        <v>90013</v>
      </c>
      <c r="F44">
        <v>3636</v>
      </c>
      <c r="G44">
        <v>655.13</v>
      </c>
      <c r="H44">
        <v>67611</v>
      </c>
      <c r="I44">
        <v>206</v>
      </c>
      <c r="J44" t="s">
        <v>25</v>
      </c>
    </row>
    <row r="45" spans="1:10" x14ac:dyDescent="0.2">
      <c r="A45" s="1">
        <v>46029</v>
      </c>
      <c r="B45" t="s">
        <v>15</v>
      </c>
      <c r="C45" t="s">
        <v>28</v>
      </c>
      <c r="D45" t="s">
        <v>30</v>
      </c>
      <c r="E45">
        <v>91168</v>
      </c>
      <c r="F45">
        <v>3416</v>
      </c>
      <c r="G45">
        <v>632.61</v>
      </c>
      <c r="H45">
        <v>67440</v>
      </c>
      <c r="I45">
        <v>145</v>
      </c>
      <c r="J45" t="s">
        <v>25</v>
      </c>
    </row>
    <row r="46" spans="1:10" x14ac:dyDescent="0.2">
      <c r="A46" s="1">
        <v>46029</v>
      </c>
      <c r="B46" t="s">
        <v>18</v>
      </c>
      <c r="C46" t="s">
        <v>23</v>
      </c>
      <c r="D46" t="s">
        <v>24</v>
      </c>
      <c r="E46">
        <v>98127</v>
      </c>
      <c r="F46">
        <v>3886</v>
      </c>
      <c r="G46">
        <v>704.65</v>
      </c>
      <c r="H46">
        <v>72543</v>
      </c>
      <c r="I46">
        <v>205</v>
      </c>
      <c r="J46" t="s">
        <v>25</v>
      </c>
    </row>
    <row r="47" spans="1:10" x14ac:dyDescent="0.2">
      <c r="A47" s="1">
        <v>46029</v>
      </c>
      <c r="B47" t="s">
        <v>18</v>
      </c>
      <c r="C47" t="s">
        <v>26</v>
      </c>
      <c r="D47" t="s">
        <v>29</v>
      </c>
      <c r="E47">
        <v>125819</v>
      </c>
      <c r="F47">
        <v>5174</v>
      </c>
      <c r="G47">
        <v>979.86</v>
      </c>
      <c r="H47">
        <v>99058</v>
      </c>
      <c r="I47">
        <v>304</v>
      </c>
      <c r="J47" t="s">
        <v>25</v>
      </c>
    </row>
    <row r="48" spans="1:10" x14ac:dyDescent="0.2">
      <c r="A48" s="1">
        <v>46030</v>
      </c>
      <c r="B48" t="s">
        <v>10</v>
      </c>
      <c r="C48" t="s">
        <v>23</v>
      </c>
      <c r="D48" t="s">
        <v>24</v>
      </c>
      <c r="E48">
        <v>45198</v>
      </c>
      <c r="F48">
        <v>1968</v>
      </c>
      <c r="G48">
        <v>343.83</v>
      </c>
      <c r="H48">
        <v>33326</v>
      </c>
      <c r="I48">
        <v>102</v>
      </c>
      <c r="J48" t="s">
        <v>25</v>
      </c>
    </row>
    <row r="49" spans="1:10" x14ac:dyDescent="0.2">
      <c r="A49" s="1">
        <v>46030</v>
      </c>
      <c r="B49" t="s">
        <v>10</v>
      </c>
      <c r="C49" t="s">
        <v>26</v>
      </c>
      <c r="D49" t="s">
        <v>30</v>
      </c>
      <c r="E49">
        <v>36859</v>
      </c>
      <c r="F49">
        <v>1268</v>
      </c>
      <c r="G49">
        <v>212.41</v>
      </c>
      <c r="H49">
        <v>27190</v>
      </c>
      <c r="I49">
        <v>73</v>
      </c>
      <c r="J49" t="s">
        <v>25</v>
      </c>
    </row>
    <row r="50" spans="1:10" x14ac:dyDescent="0.2">
      <c r="A50" s="1">
        <v>46030</v>
      </c>
      <c r="B50" t="s">
        <v>15</v>
      </c>
      <c r="C50" t="s">
        <v>27</v>
      </c>
      <c r="D50" t="s">
        <v>24</v>
      </c>
      <c r="E50">
        <v>123335</v>
      </c>
      <c r="F50">
        <v>4748</v>
      </c>
      <c r="G50">
        <v>813.05</v>
      </c>
      <c r="H50">
        <v>88855</v>
      </c>
      <c r="I50">
        <v>216</v>
      </c>
      <c r="J50" t="s">
        <v>25</v>
      </c>
    </row>
    <row r="51" spans="1:10" x14ac:dyDescent="0.2">
      <c r="A51" s="1">
        <v>46030</v>
      </c>
      <c r="B51" t="s">
        <v>15</v>
      </c>
      <c r="C51" t="s">
        <v>28</v>
      </c>
      <c r="D51" t="s">
        <v>30</v>
      </c>
      <c r="E51">
        <v>118138</v>
      </c>
      <c r="F51">
        <v>4629</v>
      </c>
      <c r="G51">
        <v>917.32</v>
      </c>
      <c r="H51">
        <v>86440</v>
      </c>
      <c r="I51">
        <v>178</v>
      </c>
      <c r="J51" t="s">
        <v>25</v>
      </c>
    </row>
    <row r="52" spans="1:10" x14ac:dyDescent="0.2">
      <c r="A52" s="1">
        <v>46030</v>
      </c>
      <c r="B52" t="s">
        <v>18</v>
      </c>
      <c r="C52" t="s">
        <v>23</v>
      </c>
      <c r="D52" t="s">
        <v>24</v>
      </c>
      <c r="E52">
        <v>90073</v>
      </c>
      <c r="F52">
        <v>3886</v>
      </c>
      <c r="G52">
        <v>724.6</v>
      </c>
      <c r="H52">
        <v>71348</v>
      </c>
      <c r="I52">
        <v>149</v>
      </c>
      <c r="J52" t="s">
        <v>25</v>
      </c>
    </row>
    <row r="53" spans="1:10" x14ac:dyDescent="0.2">
      <c r="A53" s="1">
        <v>46030</v>
      </c>
      <c r="B53" t="s">
        <v>18</v>
      </c>
      <c r="C53" t="s">
        <v>26</v>
      </c>
      <c r="D53" t="s">
        <v>29</v>
      </c>
      <c r="E53">
        <v>60055</v>
      </c>
      <c r="F53">
        <v>2855</v>
      </c>
      <c r="G53">
        <v>498.51</v>
      </c>
      <c r="H53">
        <v>43343</v>
      </c>
      <c r="I53">
        <v>161</v>
      </c>
      <c r="J53" t="s">
        <v>25</v>
      </c>
    </row>
    <row r="54" spans="1:10" x14ac:dyDescent="0.2">
      <c r="A54" s="1">
        <v>46031</v>
      </c>
      <c r="B54" t="s">
        <v>10</v>
      </c>
      <c r="C54" t="s">
        <v>23</v>
      </c>
      <c r="D54" t="s">
        <v>24</v>
      </c>
      <c r="E54">
        <v>74576</v>
      </c>
      <c r="F54">
        <v>3456</v>
      </c>
      <c r="G54">
        <v>587.95000000000005</v>
      </c>
      <c r="H54">
        <v>61460</v>
      </c>
      <c r="I54">
        <v>183</v>
      </c>
      <c r="J54" t="s">
        <v>25</v>
      </c>
    </row>
    <row r="55" spans="1:10" x14ac:dyDescent="0.2">
      <c r="A55" s="1">
        <v>46031</v>
      </c>
      <c r="B55" t="s">
        <v>10</v>
      </c>
      <c r="C55" t="s">
        <v>26</v>
      </c>
      <c r="D55" t="s">
        <v>30</v>
      </c>
      <c r="E55">
        <v>89270</v>
      </c>
      <c r="F55">
        <v>3442</v>
      </c>
      <c r="G55">
        <v>554.62</v>
      </c>
      <c r="H55">
        <v>70085</v>
      </c>
      <c r="I55">
        <v>164</v>
      </c>
      <c r="J55" t="s">
        <v>25</v>
      </c>
    </row>
    <row r="56" spans="1:10" x14ac:dyDescent="0.2">
      <c r="A56" s="1">
        <v>46031</v>
      </c>
      <c r="B56" t="s">
        <v>15</v>
      </c>
      <c r="C56" t="s">
        <v>27</v>
      </c>
      <c r="D56" t="s">
        <v>29</v>
      </c>
      <c r="E56">
        <v>49860</v>
      </c>
      <c r="F56">
        <v>2334</v>
      </c>
      <c r="G56">
        <v>391.01</v>
      </c>
      <c r="H56">
        <v>38131</v>
      </c>
      <c r="I56">
        <v>113</v>
      </c>
      <c r="J56" t="s">
        <v>25</v>
      </c>
    </row>
    <row r="57" spans="1:10" x14ac:dyDescent="0.2">
      <c r="A57" s="1">
        <v>46031</v>
      </c>
      <c r="B57" t="s">
        <v>15</v>
      </c>
      <c r="C57" t="s">
        <v>28</v>
      </c>
      <c r="D57" t="s">
        <v>30</v>
      </c>
      <c r="E57">
        <v>106141</v>
      </c>
      <c r="F57">
        <v>4136</v>
      </c>
      <c r="G57">
        <v>649.77</v>
      </c>
      <c r="H57">
        <v>84822</v>
      </c>
      <c r="I57">
        <v>216</v>
      </c>
      <c r="J57" t="s">
        <v>25</v>
      </c>
    </row>
    <row r="58" spans="1:10" x14ac:dyDescent="0.2">
      <c r="A58" s="1">
        <v>46031</v>
      </c>
      <c r="B58" t="s">
        <v>18</v>
      </c>
      <c r="C58" t="s">
        <v>23</v>
      </c>
      <c r="D58" t="s">
        <v>24</v>
      </c>
      <c r="E58">
        <v>127024</v>
      </c>
      <c r="F58">
        <v>5325</v>
      </c>
      <c r="G58">
        <v>1041.08</v>
      </c>
      <c r="H58">
        <v>104520</v>
      </c>
      <c r="I58">
        <v>329</v>
      </c>
      <c r="J58" t="s">
        <v>25</v>
      </c>
    </row>
    <row r="59" spans="1:10" x14ac:dyDescent="0.2">
      <c r="A59" s="1">
        <v>46031</v>
      </c>
      <c r="B59" t="s">
        <v>18</v>
      </c>
      <c r="C59" t="s">
        <v>26</v>
      </c>
      <c r="D59" t="s">
        <v>29</v>
      </c>
      <c r="E59">
        <v>46749</v>
      </c>
      <c r="F59">
        <v>1981</v>
      </c>
      <c r="G59">
        <v>350.59</v>
      </c>
      <c r="H59">
        <v>35966</v>
      </c>
      <c r="I59">
        <v>92</v>
      </c>
      <c r="J59" t="s">
        <v>25</v>
      </c>
    </row>
    <row r="60" spans="1:10" x14ac:dyDescent="0.2">
      <c r="A60" s="1">
        <v>46032</v>
      </c>
      <c r="B60" t="s">
        <v>10</v>
      </c>
      <c r="C60" t="s">
        <v>23</v>
      </c>
      <c r="D60" t="s">
        <v>24</v>
      </c>
      <c r="E60">
        <v>165251</v>
      </c>
      <c r="F60">
        <v>6462</v>
      </c>
      <c r="G60">
        <v>1130.04</v>
      </c>
      <c r="H60">
        <v>119627</v>
      </c>
      <c r="I60">
        <v>262</v>
      </c>
      <c r="J60" t="s">
        <v>25</v>
      </c>
    </row>
    <row r="61" spans="1:10" x14ac:dyDescent="0.2">
      <c r="A61" s="1">
        <v>46032</v>
      </c>
      <c r="B61" t="s">
        <v>10</v>
      </c>
      <c r="C61" t="s">
        <v>26</v>
      </c>
      <c r="D61" t="s">
        <v>30</v>
      </c>
      <c r="E61">
        <v>87878</v>
      </c>
      <c r="F61">
        <v>3125</v>
      </c>
      <c r="G61">
        <v>522.74</v>
      </c>
      <c r="H61">
        <v>67290</v>
      </c>
      <c r="I61">
        <v>118</v>
      </c>
      <c r="J61" t="s">
        <v>25</v>
      </c>
    </row>
    <row r="62" spans="1:10" x14ac:dyDescent="0.2">
      <c r="A62" s="1">
        <v>46032</v>
      </c>
      <c r="B62" t="s">
        <v>15</v>
      </c>
      <c r="C62" t="s">
        <v>27</v>
      </c>
      <c r="D62" t="s">
        <v>29</v>
      </c>
      <c r="E62">
        <v>71834</v>
      </c>
      <c r="F62">
        <v>2701</v>
      </c>
      <c r="G62">
        <v>506.78</v>
      </c>
      <c r="H62">
        <v>55719</v>
      </c>
      <c r="I62">
        <v>160</v>
      </c>
      <c r="J62" t="s">
        <v>25</v>
      </c>
    </row>
    <row r="63" spans="1:10" x14ac:dyDescent="0.2">
      <c r="A63" s="1">
        <v>46032</v>
      </c>
      <c r="B63" t="s">
        <v>15</v>
      </c>
      <c r="C63" t="s">
        <v>28</v>
      </c>
      <c r="D63" t="s">
        <v>29</v>
      </c>
      <c r="E63">
        <v>50394</v>
      </c>
      <c r="F63">
        <v>2370</v>
      </c>
      <c r="G63">
        <v>443.03</v>
      </c>
      <c r="H63">
        <v>39353</v>
      </c>
      <c r="I63">
        <v>94</v>
      </c>
      <c r="J63" t="s">
        <v>25</v>
      </c>
    </row>
    <row r="64" spans="1:10" x14ac:dyDescent="0.2">
      <c r="A64" s="1">
        <v>46032</v>
      </c>
      <c r="B64" t="s">
        <v>19</v>
      </c>
      <c r="C64" t="s">
        <v>23</v>
      </c>
      <c r="D64" t="s">
        <v>24</v>
      </c>
      <c r="E64">
        <v>105407</v>
      </c>
      <c r="F64">
        <v>4787</v>
      </c>
      <c r="G64">
        <v>898.56</v>
      </c>
      <c r="H64">
        <v>81138</v>
      </c>
      <c r="I64">
        <v>187</v>
      </c>
      <c r="J64" t="s">
        <v>25</v>
      </c>
    </row>
    <row r="65" spans="1:10" x14ac:dyDescent="0.2">
      <c r="A65" s="1">
        <v>46032</v>
      </c>
      <c r="B65" t="s">
        <v>19</v>
      </c>
      <c r="C65" t="s">
        <v>26</v>
      </c>
      <c r="D65" t="s">
        <v>24</v>
      </c>
      <c r="E65">
        <v>54994</v>
      </c>
      <c r="F65">
        <v>1773</v>
      </c>
      <c r="G65">
        <v>264.54000000000002</v>
      </c>
      <c r="H65">
        <v>42066</v>
      </c>
      <c r="I65">
        <v>100</v>
      </c>
      <c r="J65" t="s">
        <v>25</v>
      </c>
    </row>
    <row r="66" spans="1:10" x14ac:dyDescent="0.2">
      <c r="A66" s="1">
        <v>46032</v>
      </c>
      <c r="B66" t="s">
        <v>18</v>
      </c>
      <c r="C66" t="s">
        <v>23</v>
      </c>
      <c r="D66" t="s">
        <v>24</v>
      </c>
      <c r="E66">
        <v>110488</v>
      </c>
      <c r="F66">
        <v>3836</v>
      </c>
      <c r="G66">
        <v>668.73</v>
      </c>
      <c r="H66">
        <v>85252</v>
      </c>
      <c r="I66">
        <v>186</v>
      </c>
      <c r="J66" t="s">
        <v>25</v>
      </c>
    </row>
    <row r="67" spans="1:10" x14ac:dyDescent="0.2">
      <c r="A67" s="1">
        <v>46032</v>
      </c>
      <c r="B67" t="s">
        <v>18</v>
      </c>
      <c r="C67" t="s">
        <v>26</v>
      </c>
      <c r="D67" t="s">
        <v>29</v>
      </c>
      <c r="E67">
        <v>84352</v>
      </c>
      <c r="F67">
        <v>3530</v>
      </c>
      <c r="G67">
        <v>577.5</v>
      </c>
      <c r="H67">
        <v>61255</v>
      </c>
      <c r="I67">
        <v>211</v>
      </c>
      <c r="J67" t="s">
        <v>25</v>
      </c>
    </row>
    <row r="68" spans="1:10" x14ac:dyDescent="0.2">
      <c r="A68" s="1">
        <v>46033</v>
      </c>
      <c r="B68" t="s">
        <v>10</v>
      </c>
      <c r="C68" t="s">
        <v>23</v>
      </c>
      <c r="D68" t="s">
        <v>29</v>
      </c>
      <c r="E68">
        <v>72647</v>
      </c>
      <c r="F68">
        <v>3416</v>
      </c>
      <c r="G68">
        <v>558.26</v>
      </c>
      <c r="H68">
        <v>58653</v>
      </c>
      <c r="I68">
        <v>150</v>
      </c>
      <c r="J68" t="s">
        <v>25</v>
      </c>
    </row>
    <row r="69" spans="1:10" x14ac:dyDescent="0.2">
      <c r="A69" s="1">
        <v>46033</v>
      </c>
      <c r="B69" t="s">
        <v>10</v>
      </c>
      <c r="C69" t="s">
        <v>26</v>
      </c>
      <c r="D69" t="s">
        <v>30</v>
      </c>
      <c r="E69">
        <v>143920</v>
      </c>
      <c r="F69">
        <v>4970</v>
      </c>
      <c r="G69">
        <v>764.68</v>
      </c>
      <c r="H69">
        <v>115884</v>
      </c>
      <c r="I69">
        <v>177</v>
      </c>
      <c r="J69" t="s">
        <v>25</v>
      </c>
    </row>
    <row r="70" spans="1:10" x14ac:dyDescent="0.2">
      <c r="A70" s="1">
        <v>46033</v>
      </c>
      <c r="B70" t="s">
        <v>15</v>
      </c>
      <c r="C70" t="s">
        <v>27</v>
      </c>
      <c r="D70" t="s">
        <v>24</v>
      </c>
      <c r="E70">
        <v>164869</v>
      </c>
      <c r="F70">
        <v>6797</v>
      </c>
      <c r="G70">
        <v>1111.45</v>
      </c>
      <c r="H70">
        <v>133784</v>
      </c>
      <c r="I70">
        <v>404</v>
      </c>
      <c r="J70" t="s">
        <v>25</v>
      </c>
    </row>
    <row r="71" spans="1:10" x14ac:dyDescent="0.2">
      <c r="A71" s="1">
        <v>46033</v>
      </c>
      <c r="B71" t="s">
        <v>15</v>
      </c>
      <c r="C71" t="s">
        <v>28</v>
      </c>
      <c r="D71" t="s">
        <v>30</v>
      </c>
      <c r="E71">
        <v>108161</v>
      </c>
      <c r="F71">
        <v>3813</v>
      </c>
      <c r="G71">
        <v>555.16</v>
      </c>
      <c r="H71">
        <v>83553</v>
      </c>
      <c r="I71">
        <v>193</v>
      </c>
      <c r="J71" t="s">
        <v>25</v>
      </c>
    </row>
    <row r="72" spans="1:10" x14ac:dyDescent="0.2">
      <c r="A72" s="1">
        <v>46033</v>
      </c>
      <c r="B72" t="s">
        <v>19</v>
      </c>
      <c r="C72" t="s">
        <v>23</v>
      </c>
      <c r="D72" t="s">
        <v>24</v>
      </c>
      <c r="E72">
        <v>54104</v>
      </c>
      <c r="F72">
        <v>2266</v>
      </c>
      <c r="G72">
        <v>391.16</v>
      </c>
      <c r="H72">
        <v>45268</v>
      </c>
      <c r="I72">
        <v>111</v>
      </c>
      <c r="J72" t="s">
        <v>25</v>
      </c>
    </row>
    <row r="73" spans="1:10" x14ac:dyDescent="0.2">
      <c r="A73" s="1">
        <v>46033</v>
      </c>
      <c r="B73" t="s">
        <v>19</v>
      </c>
      <c r="C73" t="s">
        <v>26</v>
      </c>
      <c r="D73" t="s">
        <v>29</v>
      </c>
      <c r="E73">
        <v>185218</v>
      </c>
      <c r="F73">
        <v>8102</v>
      </c>
      <c r="G73">
        <v>1612.34</v>
      </c>
      <c r="H73">
        <v>147458</v>
      </c>
      <c r="I73">
        <v>448</v>
      </c>
      <c r="J73" t="s">
        <v>25</v>
      </c>
    </row>
    <row r="74" spans="1:10" x14ac:dyDescent="0.2">
      <c r="A74" s="1">
        <v>46033</v>
      </c>
      <c r="B74" t="s">
        <v>18</v>
      </c>
      <c r="C74" t="s">
        <v>23</v>
      </c>
      <c r="D74" t="s">
        <v>24</v>
      </c>
      <c r="E74">
        <v>92988</v>
      </c>
      <c r="F74">
        <v>3946</v>
      </c>
      <c r="G74">
        <v>604.94000000000005</v>
      </c>
      <c r="H74">
        <v>69114</v>
      </c>
      <c r="I74">
        <v>225</v>
      </c>
      <c r="J74" t="s">
        <v>25</v>
      </c>
    </row>
    <row r="75" spans="1:10" x14ac:dyDescent="0.2">
      <c r="A75" s="1">
        <v>46033</v>
      </c>
      <c r="B75" t="s">
        <v>18</v>
      </c>
      <c r="C75" t="s">
        <v>26</v>
      </c>
      <c r="D75" t="s">
        <v>29</v>
      </c>
      <c r="E75">
        <v>96797</v>
      </c>
      <c r="F75">
        <v>4118</v>
      </c>
      <c r="G75">
        <v>644.46</v>
      </c>
      <c r="H75">
        <v>80554</v>
      </c>
      <c r="I75">
        <v>209</v>
      </c>
      <c r="J75" t="s">
        <v>25</v>
      </c>
    </row>
    <row r="76" spans="1:10" x14ac:dyDescent="0.2">
      <c r="A76" s="1">
        <v>46034</v>
      </c>
      <c r="B76" t="s">
        <v>10</v>
      </c>
      <c r="C76" t="s">
        <v>23</v>
      </c>
      <c r="D76" t="s">
        <v>24</v>
      </c>
      <c r="E76">
        <v>49540</v>
      </c>
      <c r="F76">
        <v>1949</v>
      </c>
      <c r="G76">
        <v>342.54</v>
      </c>
      <c r="H76">
        <v>36305</v>
      </c>
      <c r="I76">
        <v>78</v>
      </c>
      <c r="J76" t="s">
        <v>25</v>
      </c>
    </row>
    <row r="77" spans="1:10" x14ac:dyDescent="0.2">
      <c r="A77" s="1">
        <v>46034</v>
      </c>
      <c r="B77" t="s">
        <v>10</v>
      </c>
      <c r="C77" t="s">
        <v>26</v>
      </c>
      <c r="D77" t="s">
        <v>24</v>
      </c>
      <c r="E77">
        <v>47160</v>
      </c>
      <c r="F77">
        <v>1567</v>
      </c>
      <c r="G77">
        <v>298.79000000000002</v>
      </c>
      <c r="H77">
        <v>39120</v>
      </c>
      <c r="I77">
        <v>59</v>
      </c>
      <c r="J77" t="s">
        <v>25</v>
      </c>
    </row>
    <row r="78" spans="1:10" x14ac:dyDescent="0.2">
      <c r="A78" s="1">
        <v>46034</v>
      </c>
      <c r="B78" t="s">
        <v>15</v>
      </c>
      <c r="C78" t="s">
        <v>27</v>
      </c>
      <c r="D78" t="s">
        <v>24</v>
      </c>
      <c r="E78">
        <v>99361</v>
      </c>
      <c r="F78">
        <v>4444</v>
      </c>
      <c r="G78">
        <v>732.48</v>
      </c>
      <c r="H78">
        <v>77340</v>
      </c>
      <c r="I78">
        <v>225</v>
      </c>
      <c r="J78" t="s">
        <v>25</v>
      </c>
    </row>
    <row r="79" spans="1:10" x14ac:dyDescent="0.2">
      <c r="A79" s="1">
        <v>46034</v>
      </c>
      <c r="B79" t="s">
        <v>15</v>
      </c>
      <c r="C79" t="s">
        <v>28</v>
      </c>
      <c r="D79" t="s">
        <v>30</v>
      </c>
      <c r="E79">
        <v>125090</v>
      </c>
      <c r="F79">
        <v>4843</v>
      </c>
      <c r="G79">
        <v>936.55</v>
      </c>
      <c r="H79">
        <v>99574</v>
      </c>
      <c r="I79">
        <v>220</v>
      </c>
      <c r="J79" t="s">
        <v>25</v>
      </c>
    </row>
    <row r="80" spans="1:10" x14ac:dyDescent="0.2">
      <c r="A80" s="1">
        <v>46034</v>
      </c>
      <c r="B80" t="s">
        <v>18</v>
      </c>
      <c r="C80" t="s">
        <v>23</v>
      </c>
      <c r="D80" t="s">
        <v>24</v>
      </c>
      <c r="E80">
        <v>58567</v>
      </c>
      <c r="F80">
        <v>2154</v>
      </c>
      <c r="G80">
        <v>418.35</v>
      </c>
      <c r="H80">
        <v>46804</v>
      </c>
      <c r="I80">
        <v>109</v>
      </c>
      <c r="J80" t="s">
        <v>25</v>
      </c>
    </row>
    <row r="81" spans="1:10" x14ac:dyDescent="0.2">
      <c r="A81" s="1">
        <v>46034</v>
      </c>
      <c r="B81" t="s">
        <v>18</v>
      </c>
      <c r="C81" t="s">
        <v>26</v>
      </c>
      <c r="D81" t="s">
        <v>29</v>
      </c>
      <c r="E81">
        <v>50362</v>
      </c>
      <c r="F81">
        <v>2397</v>
      </c>
      <c r="G81">
        <v>478.5</v>
      </c>
      <c r="H81">
        <v>39185</v>
      </c>
      <c r="I81">
        <v>120</v>
      </c>
      <c r="J81" t="s">
        <v>25</v>
      </c>
    </row>
    <row r="82" spans="1:10" x14ac:dyDescent="0.2">
      <c r="A82" s="1">
        <v>46035</v>
      </c>
      <c r="B82" t="s">
        <v>10</v>
      </c>
      <c r="C82" t="s">
        <v>23</v>
      </c>
      <c r="D82" t="s">
        <v>24</v>
      </c>
      <c r="E82">
        <v>55760</v>
      </c>
      <c r="F82">
        <v>2249</v>
      </c>
      <c r="G82">
        <v>349.2</v>
      </c>
      <c r="H82">
        <v>40960</v>
      </c>
      <c r="I82">
        <v>112</v>
      </c>
      <c r="J82" t="s">
        <v>25</v>
      </c>
    </row>
    <row r="83" spans="1:10" x14ac:dyDescent="0.2">
      <c r="A83" s="1">
        <v>46035</v>
      </c>
      <c r="B83" t="s">
        <v>10</v>
      </c>
      <c r="C83" t="s">
        <v>26</v>
      </c>
      <c r="D83" t="s">
        <v>24</v>
      </c>
      <c r="E83">
        <v>102894</v>
      </c>
      <c r="F83">
        <v>4135</v>
      </c>
      <c r="G83">
        <v>616.70000000000005</v>
      </c>
      <c r="H83">
        <v>84787</v>
      </c>
      <c r="I83">
        <v>146</v>
      </c>
      <c r="J83" t="s">
        <v>25</v>
      </c>
    </row>
    <row r="84" spans="1:10" x14ac:dyDescent="0.2">
      <c r="A84" s="1">
        <v>46035</v>
      </c>
      <c r="B84" t="s">
        <v>15</v>
      </c>
      <c r="C84" t="s">
        <v>27</v>
      </c>
      <c r="D84" t="s">
        <v>24</v>
      </c>
      <c r="E84">
        <v>38866</v>
      </c>
      <c r="F84">
        <v>1447</v>
      </c>
      <c r="G84">
        <v>221.66</v>
      </c>
      <c r="H84">
        <v>31377</v>
      </c>
      <c r="I84">
        <v>87</v>
      </c>
      <c r="J84" t="s">
        <v>25</v>
      </c>
    </row>
    <row r="85" spans="1:10" x14ac:dyDescent="0.2">
      <c r="A85" s="1">
        <v>46035</v>
      </c>
      <c r="B85" t="s">
        <v>15</v>
      </c>
      <c r="C85" t="s">
        <v>28</v>
      </c>
      <c r="D85" t="s">
        <v>29</v>
      </c>
      <c r="E85">
        <v>70870</v>
      </c>
      <c r="F85">
        <v>2813</v>
      </c>
      <c r="G85">
        <v>554.71</v>
      </c>
      <c r="H85">
        <v>53990</v>
      </c>
      <c r="I85">
        <v>136</v>
      </c>
      <c r="J85" t="s">
        <v>25</v>
      </c>
    </row>
    <row r="86" spans="1:10" x14ac:dyDescent="0.2">
      <c r="A86" s="1">
        <v>46035</v>
      </c>
      <c r="B86" t="s">
        <v>18</v>
      </c>
      <c r="C86" t="s">
        <v>23</v>
      </c>
      <c r="D86" t="s">
        <v>24</v>
      </c>
      <c r="E86">
        <v>96216</v>
      </c>
      <c r="F86">
        <v>4226</v>
      </c>
      <c r="G86">
        <v>717.36</v>
      </c>
      <c r="H86">
        <v>75194</v>
      </c>
      <c r="I86">
        <v>185</v>
      </c>
      <c r="J86" t="s">
        <v>25</v>
      </c>
    </row>
    <row r="87" spans="1:10" x14ac:dyDescent="0.2">
      <c r="A87" s="1">
        <v>46035</v>
      </c>
      <c r="B87" t="s">
        <v>18</v>
      </c>
      <c r="C87" t="s">
        <v>26</v>
      </c>
      <c r="D87" t="s">
        <v>29</v>
      </c>
      <c r="E87">
        <v>67780</v>
      </c>
      <c r="F87">
        <v>2356</v>
      </c>
      <c r="G87">
        <v>426.96</v>
      </c>
      <c r="H87">
        <v>56018</v>
      </c>
      <c r="I87">
        <v>95</v>
      </c>
      <c r="J87" t="s">
        <v>25</v>
      </c>
    </row>
    <row r="88" spans="1:10" x14ac:dyDescent="0.2">
      <c r="A88" s="1">
        <v>46036</v>
      </c>
      <c r="B88" t="s">
        <v>10</v>
      </c>
      <c r="C88" t="s">
        <v>23</v>
      </c>
      <c r="D88" t="s">
        <v>29</v>
      </c>
      <c r="E88">
        <v>48486</v>
      </c>
      <c r="F88">
        <v>2004</v>
      </c>
      <c r="G88">
        <v>372.72</v>
      </c>
      <c r="H88">
        <v>36722</v>
      </c>
      <c r="I88">
        <v>111</v>
      </c>
      <c r="J88" t="s">
        <v>25</v>
      </c>
    </row>
    <row r="89" spans="1:10" x14ac:dyDescent="0.2">
      <c r="A89" s="1">
        <v>46036</v>
      </c>
      <c r="B89" t="s">
        <v>10</v>
      </c>
      <c r="C89" t="s">
        <v>26</v>
      </c>
      <c r="D89" t="s">
        <v>30</v>
      </c>
      <c r="E89">
        <v>91815</v>
      </c>
      <c r="F89">
        <v>4235</v>
      </c>
      <c r="G89">
        <v>700.57</v>
      </c>
      <c r="H89">
        <v>74337</v>
      </c>
      <c r="I89">
        <v>239</v>
      </c>
      <c r="J89" t="s">
        <v>25</v>
      </c>
    </row>
    <row r="90" spans="1:10" x14ac:dyDescent="0.2">
      <c r="A90" s="1">
        <v>46036</v>
      </c>
      <c r="B90" t="s">
        <v>15</v>
      </c>
      <c r="C90" t="s">
        <v>27</v>
      </c>
      <c r="D90" t="s">
        <v>24</v>
      </c>
      <c r="E90">
        <v>114599</v>
      </c>
      <c r="F90">
        <v>4369</v>
      </c>
      <c r="G90">
        <v>664.01</v>
      </c>
      <c r="H90">
        <v>87364</v>
      </c>
      <c r="I90">
        <v>257</v>
      </c>
      <c r="J90" t="s">
        <v>25</v>
      </c>
    </row>
    <row r="91" spans="1:10" x14ac:dyDescent="0.2">
      <c r="A91" s="1">
        <v>46036</v>
      </c>
      <c r="B91" t="s">
        <v>15</v>
      </c>
      <c r="C91" t="s">
        <v>28</v>
      </c>
      <c r="D91" t="s">
        <v>30</v>
      </c>
      <c r="E91">
        <v>93904</v>
      </c>
      <c r="F91">
        <v>3256</v>
      </c>
      <c r="G91">
        <v>462.44</v>
      </c>
      <c r="H91">
        <v>73373</v>
      </c>
      <c r="I91">
        <v>161</v>
      </c>
      <c r="J91" t="s">
        <v>25</v>
      </c>
    </row>
    <row r="92" spans="1:10" x14ac:dyDescent="0.2">
      <c r="A92" s="1">
        <v>46036</v>
      </c>
      <c r="B92" t="s">
        <v>18</v>
      </c>
      <c r="C92" t="s">
        <v>23</v>
      </c>
      <c r="D92" t="s">
        <v>24</v>
      </c>
      <c r="E92">
        <v>114152</v>
      </c>
      <c r="F92">
        <v>5162</v>
      </c>
      <c r="G92">
        <v>922.48</v>
      </c>
      <c r="H92">
        <v>95410</v>
      </c>
      <c r="I92">
        <v>219</v>
      </c>
      <c r="J92" t="s">
        <v>25</v>
      </c>
    </row>
    <row r="93" spans="1:10" x14ac:dyDescent="0.2">
      <c r="A93" s="1">
        <v>46036</v>
      </c>
      <c r="B93" t="s">
        <v>18</v>
      </c>
      <c r="C93" t="s">
        <v>26</v>
      </c>
      <c r="D93" t="s">
        <v>29</v>
      </c>
      <c r="E93">
        <v>50027</v>
      </c>
      <c r="F93">
        <v>1744</v>
      </c>
      <c r="G93">
        <v>277.93</v>
      </c>
      <c r="H93">
        <v>40767</v>
      </c>
      <c r="I93">
        <v>74</v>
      </c>
      <c r="J93" t="s">
        <v>25</v>
      </c>
    </row>
    <row r="94" spans="1:10" x14ac:dyDescent="0.2">
      <c r="A94" s="1">
        <v>46037</v>
      </c>
      <c r="B94" t="s">
        <v>10</v>
      </c>
      <c r="C94" t="s">
        <v>23</v>
      </c>
      <c r="D94" t="s">
        <v>24</v>
      </c>
      <c r="E94">
        <v>63204</v>
      </c>
      <c r="F94">
        <v>2686</v>
      </c>
      <c r="G94">
        <v>435.99</v>
      </c>
      <c r="H94">
        <v>51419</v>
      </c>
      <c r="I94">
        <v>95</v>
      </c>
      <c r="J94" t="s">
        <v>25</v>
      </c>
    </row>
    <row r="95" spans="1:10" x14ac:dyDescent="0.2">
      <c r="A95" s="1">
        <v>46037</v>
      </c>
      <c r="B95" t="s">
        <v>10</v>
      </c>
      <c r="C95" t="s">
        <v>26</v>
      </c>
      <c r="D95" t="s">
        <v>30</v>
      </c>
      <c r="E95">
        <v>125215</v>
      </c>
      <c r="F95">
        <v>4028</v>
      </c>
      <c r="G95">
        <v>643.4</v>
      </c>
      <c r="H95">
        <v>97147</v>
      </c>
      <c r="I95">
        <v>224</v>
      </c>
      <c r="J95" t="s">
        <v>25</v>
      </c>
    </row>
    <row r="96" spans="1:10" x14ac:dyDescent="0.2">
      <c r="A96" s="1">
        <v>46037</v>
      </c>
      <c r="B96" t="s">
        <v>15</v>
      </c>
      <c r="C96" t="s">
        <v>27</v>
      </c>
      <c r="D96" t="s">
        <v>24</v>
      </c>
      <c r="E96">
        <v>108615</v>
      </c>
      <c r="F96">
        <v>3590</v>
      </c>
      <c r="G96">
        <v>563.69000000000005</v>
      </c>
      <c r="H96">
        <v>80968</v>
      </c>
      <c r="I96">
        <v>138</v>
      </c>
      <c r="J96" t="s">
        <v>25</v>
      </c>
    </row>
    <row r="97" spans="1:10" x14ac:dyDescent="0.2">
      <c r="A97" s="1">
        <v>46037</v>
      </c>
      <c r="B97" t="s">
        <v>15</v>
      </c>
      <c r="C97" t="s">
        <v>28</v>
      </c>
      <c r="D97" t="s">
        <v>29</v>
      </c>
      <c r="E97">
        <v>128882</v>
      </c>
      <c r="F97">
        <v>5377</v>
      </c>
      <c r="G97">
        <v>1037.77</v>
      </c>
      <c r="H97">
        <v>106094</v>
      </c>
      <c r="I97">
        <v>184</v>
      </c>
      <c r="J97" t="s">
        <v>25</v>
      </c>
    </row>
    <row r="98" spans="1:10" x14ac:dyDescent="0.2">
      <c r="A98" s="1">
        <v>46037</v>
      </c>
      <c r="B98" t="s">
        <v>18</v>
      </c>
      <c r="C98" t="s">
        <v>23</v>
      </c>
      <c r="D98" t="s">
        <v>24</v>
      </c>
      <c r="E98">
        <v>124408</v>
      </c>
      <c r="F98">
        <v>5486</v>
      </c>
      <c r="G98">
        <v>872.64</v>
      </c>
      <c r="H98">
        <v>94352</v>
      </c>
      <c r="I98">
        <v>207</v>
      </c>
      <c r="J98" t="s">
        <v>25</v>
      </c>
    </row>
    <row r="99" spans="1:10" x14ac:dyDescent="0.2">
      <c r="A99" s="1">
        <v>46037</v>
      </c>
      <c r="B99" t="s">
        <v>18</v>
      </c>
      <c r="C99" t="s">
        <v>26</v>
      </c>
      <c r="D99" t="s">
        <v>29</v>
      </c>
      <c r="E99">
        <v>100359</v>
      </c>
      <c r="F99">
        <v>3286</v>
      </c>
      <c r="G99">
        <v>514.14</v>
      </c>
      <c r="H99">
        <v>73694</v>
      </c>
      <c r="I99">
        <v>149</v>
      </c>
      <c r="J99" t="s">
        <v>25</v>
      </c>
    </row>
    <row r="100" spans="1:10" x14ac:dyDescent="0.2">
      <c r="A100" s="1">
        <v>46038</v>
      </c>
      <c r="B100" t="s">
        <v>10</v>
      </c>
      <c r="C100" t="s">
        <v>23</v>
      </c>
      <c r="D100" t="s">
        <v>29</v>
      </c>
      <c r="E100">
        <v>112485</v>
      </c>
      <c r="F100">
        <v>4288</v>
      </c>
      <c r="G100">
        <v>748.62</v>
      </c>
      <c r="H100">
        <v>84836</v>
      </c>
      <c r="I100">
        <v>220</v>
      </c>
      <c r="J100" t="s">
        <v>25</v>
      </c>
    </row>
    <row r="101" spans="1:10" x14ac:dyDescent="0.2">
      <c r="A101" s="1">
        <v>46038</v>
      </c>
      <c r="B101" t="s">
        <v>10</v>
      </c>
      <c r="C101" t="s">
        <v>26</v>
      </c>
      <c r="D101" t="s">
        <v>24</v>
      </c>
      <c r="E101">
        <v>95525</v>
      </c>
      <c r="F101">
        <v>3491</v>
      </c>
      <c r="G101">
        <v>665.03</v>
      </c>
      <c r="H101">
        <v>73395</v>
      </c>
      <c r="I101">
        <v>205</v>
      </c>
      <c r="J101" t="s">
        <v>25</v>
      </c>
    </row>
    <row r="102" spans="1:10" x14ac:dyDescent="0.2">
      <c r="A102" s="1">
        <v>46038</v>
      </c>
      <c r="B102" t="s">
        <v>15</v>
      </c>
      <c r="C102" t="s">
        <v>27</v>
      </c>
      <c r="D102" t="s">
        <v>24</v>
      </c>
      <c r="E102">
        <v>79222</v>
      </c>
      <c r="F102">
        <v>3352</v>
      </c>
      <c r="G102">
        <v>483.25</v>
      </c>
      <c r="H102">
        <v>57944</v>
      </c>
      <c r="I102">
        <v>187</v>
      </c>
      <c r="J102" t="s">
        <v>25</v>
      </c>
    </row>
    <row r="103" spans="1:10" x14ac:dyDescent="0.2">
      <c r="A103" s="1">
        <v>46038</v>
      </c>
      <c r="B103" t="s">
        <v>15</v>
      </c>
      <c r="C103" t="s">
        <v>28</v>
      </c>
      <c r="D103" t="s">
        <v>29</v>
      </c>
      <c r="E103">
        <v>71002</v>
      </c>
      <c r="F103">
        <v>2632</v>
      </c>
      <c r="G103">
        <v>423.09</v>
      </c>
      <c r="H103">
        <v>51801</v>
      </c>
      <c r="I103">
        <v>145</v>
      </c>
      <c r="J103" t="s">
        <v>25</v>
      </c>
    </row>
    <row r="104" spans="1:10" x14ac:dyDescent="0.2">
      <c r="A104" s="1">
        <v>46038</v>
      </c>
      <c r="B104" t="s">
        <v>18</v>
      </c>
      <c r="C104" t="s">
        <v>23</v>
      </c>
      <c r="D104" t="s">
        <v>24</v>
      </c>
      <c r="E104">
        <v>115258</v>
      </c>
      <c r="F104">
        <v>3775</v>
      </c>
      <c r="G104">
        <v>596.1</v>
      </c>
      <c r="H104">
        <v>96594</v>
      </c>
      <c r="I104">
        <v>176</v>
      </c>
      <c r="J104" t="s">
        <v>25</v>
      </c>
    </row>
    <row r="105" spans="1:10" x14ac:dyDescent="0.2">
      <c r="A105" s="1">
        <v>46038</v>
      </c>
      <c r="B105" t="s">
        <v>18</v>
      </c>
      <c r="C105" t="s">
        <v>26</v>
      </c>
      <c r="D105" t="s">
        <v>29</v>
      </c>
      <c r="E105">
        <v>84008</v>
      </c>
      <c r="F105">
        <v>3948</v>
      </c>
      <c r="G105">
        <v>577.05999999999995</v>
      </c>
      <c r="H105">
        <v>62744</v>
      </c>
      <c r="I105">
        <v>224</v>
      </c>
      <c r="J105" t="s">
        <v>25</v>
      </c>
    </row>
    <row r="106" spans="1:10" x14ac:dyDescent="0.2">
      <c r="A106" s="1">
        <v>46039</v>
      </c>
      <c r="B106" t="s">
        <v>10</v>
      </c>
      <c r="C106" t="s">
        <v>23</v>
      </c>
      <c r="D106" t="s">
        <v>24</v>
      </c>
      <c r="E106">
        <v>68292</v>
      </c>
      <c r="F106">
        <v>3270</v>
      </c>
      <c r="G106">
        <v>626.79999999999995</v>
      </c>
      <c r="H106">
        <v>55105</v>
      </c>
      <c r="I106">
        <v>126</v>
      </c>
      <c r="J106" t="s">
        <v>25</v>
      </c>
    </row>
    <row r="107" spans="1:10" x14ac:dyDescent="0.2">
      <c r="A107" s="1">
        <v>46039</v>
      </c>
      <c r="B107" t="s">
        <v>10</v>
      </c>
      <c r="C107" t="s">
        <v>26</v>
      </c>
      <c r="D107" t="s">
        <v>24</v>
      </c>
      <c r="E107">
        <v>84077</v>
      </c>
      <c r="F107">
        <v>3664</v>
      </c>
      <c r="G107">
        <v>691.53</v>
      </c>
      <c r="H107">
        <v>68769</v>
      </c>
      <c r="I107">
        <v>176</v>
      </c>
      <c r="J107" t="s">
        <v>25</v>
      </c>
    </row>
    <row r="108" spans="1:10" x14ac:dyDescent="0.2">
      <c r="A108" s="1">
        <v>46039</v>
      </c>
      <c r="B108" t="s">
        <v>15</v>
      </c>
      <c r="C108" t="s">
        <v>27</v>
      </c>
      <c r="D108" t="s">
        <v>24</v>
      </c>
      <c r="E108">
        <v>175292</v>
      </c>
      <c r="F108">
        <v>8043</v>
      </c>
      <c r="G108">
        <v>1251.3399999999999</v>
      </c>
      <c r="H108">
        <v>142721</v>
      </c>
      <c r="I108">
        <v>284</v>
      </c>
      <c r="J108" t="s">
        <v>25</v>
      </c>
    </row>
    <row r="109" spans="1:10" x14ac:dyDescent="0.2">
      <c r="A109" s="1">
        <v>46039</v>
      </c>
      <c r="B109" t="s">
        <v>15</v>
      </c>
      <c r="C109" t="s">
        <v>28</v>
      </c>
      <c r="D109" t="s">
        <v>29</v>
      </c>
      <c r="E109">
        <v>62768</v>
      </c>
      <c r="F109">
        <v>2273</v>
      </c>
      <c r="G109">
        <v>412.04</v>
      </c>
      <c r="H109">
        <v>51155</v>
      </c>
      <c r="I109">
        <v>98</v>
      </c>
      <c r="J109" t="s">
        <v>25</v>
      </c>
    </row>
    <row r="110" spans="1:10" x14ac:dyDescent="0.2">
      <c r="A110" s="1">
        <v>46039</v>
      </c>
      <c r="B110" t="s">
        <v>19</v>
      </c>
      <c r="C110" t="s">
        <v>23</v>
      </c>
      <c r="D110" t="s">
        <v>24</v>
      </c>
      <c r="E110">
        <v>74278</v>
      </c>
      <c r="F110">
        <v>3070</v>
      </c>
      <c r="G110">
        <v>451.89</v>
      </c>
      <c r="H110">
        <v>56326</v>
      </c>
      <c r="I110">
        <v>111</v>
      </c>
      <c r="J110" t="s">
        <v>25</v>
      </c>
    </row>
    <row r="111" spans="1:10" x14ac:dyDescent="0.2">
      <c r="A111" s="1">
        <v>46039</v>
      </c>
      <c r="B111" t="s">
        <v>19</v>
      </c>
      <c r="C111" t="s">
        <v>26</v>
      </c>
      <c r="D111" t="s">
        <v>24</v>
      </c>
      <c r="E111">
        <v>165872</v>
      </c>
      <c r="F111">
        <v>6493</v>
      </c>
      <c r="G111">
        <v>956.69</v>
      </c>
      <c r="H111">
        <v>129929</v>
      </c>
      <c r="I111">
        <v>320</v>
      </c>
      <c r="J111" t="s">
        <v>25</v>
      </c>
    </row>
    <row r="112" spans="1:10" x14ac:dyDescent="0.2">
      <c r="A112" s="1">
        <v>46039</v>
      </c>
      <c r="B112" t="s">
        <v>18</v>
      </c>
      <c r="C112" t="s">
        <v>23</v>
      </c>
      <c r="D112" t="s">
        <v>24</v>
      </c>
      <c r="E112">
        <v>100479</v>
      </c>
      <c r="F112">
        <v>3732</v>
      </c>
      <c r="G112">
        <v>686.14</v>
      </c>
      <c r="H112">
        <v>75067</v>
      </c>
      <c r="I112">
        <v>148</v>
      </c>
      <c r="J112" t="s">
        <v>25</v>
      </c>
    </row>
    <row r="113" spans="1:10" x14ac:dyDescent="0.2">
      <c r="A113" s="1">
        <v>46039</v>
      </c>
      <c r="B113" t="s">
        <v>18</v>
      </c>
      <c r="C113" t="s">
        <v>26</v>
      </c>
      <c r="D113" t="s">
        <v>29</v>
      </c>
      <c r="E113">
        <v>179538</v>
      </c>
      <c r="F113">
        <v>5983</v>
      </c>
      <c r="G113">
        <v>1038.1199999999999</v>
      </c>
      <c r="H113">
        <v>148073</v>
      </c>
      <c r="I113">
        <v>309</v>
      </c>
      <c r="J113" t="s">
        <v>25</v>
      </c>
    </row>
    <row r="114" spans="1:10" x14ac:dyDescent="0.2">
      <c r="A114" s="1">
        <v>46040</v>
      </c>
      <c r="B114" t="s">
        <v>10</v>
      </c>
      <c r="C114" t="s">
        <v>23</v>
      </c>
      <c r="D114" t="s">
        <v>24</v>
      </c>
      <c r="E114">
        <v>176526</v>
      </c>
      <c r="F114">
        <v>5869</v>
      </c>
      <c r="G114">
        <v>1163.8599999999999</v>
      </c>
      <c r="H114">
        <v>128375</v>
      </c>
      <c r="I114">
        <v>190</v>
      </c>
      <c r="J114" t="s">
        <v>25</v>
      </c>
    </row>
    <row r="115" spans="1:10" x14ac:dyDescent="0.2">
      <c r="A115" s="1">
        <v>46040</v>
      </c>
      <c r="B115" t="s">
        <v>10</v>
      </c>
      <c r="C115" t="s">
        <v>26</v>
      </c>
      <c r="D115" t="s">
        <v>24</v>
      </c>
      <c r="E115">
        <v>134905</v>
      </c>
      <c r="F115">
        <v>6083</v>
      </c>
      <c r="G115">
        <v>920.21</v>
      </c>
      <c r="H115">
        <v>98823</v>
      </c>
      <c r="I115">
        <v>232</v>
      </c>
      <c r="J115" t="s">
        <v>25</v>
      </c>
    </row>
    <row r="116" spans="1:10" x14ac:dyDescent="0.2">
      <c r="A116" s="1">
        <v>46040</v>
      </c>
      <c r="B116" t="s">
        <v>15</v>
      </c>
      <c r="C116" t="s">
        <v>27</v>
      </c>
      <c r="D116" t="s">
        <v>29</v>
      </c>
      <c r="E116">
        <v>188549</v>
      </c>
      <c r="F116">
        <v>8882</v>
      </c>
      <c r="G116">
        <v>1621.06</v>
      </c>
      <c r="H116">
        <v>150581</v>
      </c>
      <c r="I116">
        <v>510</v>
      </c>
      <c r="J116" t="s">
        <v>25</v>
      </c>
    </row>
    <row r="117" spans="1:10" x14ac:dyDescent="0.2">
      <c r="A117" s="1">
        <v>46040</v>
      </c>
      <c r="B117" t="s">
        <v>15</v>
      </c>
      <c r="C117" t="s">
        <v>28</v>
      </c>
      <c r="D117" t="s">
        <v>30</v>
      </c>
      <c r="E117">
        <v>72865</v>
      </c>
      <c r="F117">
        <v>2586</v>
      </c>
      <c r="G117">
        <v>418.46</v>
      </c>
      <c r="H117">
        <v>60988</v>
      </c>
      <c r="I117">
        <v>150</v>
      </c>
      <c r="J117" t="s">
        <v>25</v>
      </c>
    </row>
    <row r="118" spans="1:10" x14ac:dyDescent="0.2">
      <c r="A118" s="1">
        <v>46040</v>
      </c>
      <c r="B118" t="s">
        <v>19</v>
      </c>
      <c r="C118" t="s">
        <v>23</v>
      </c>
      <c r="D118" t="s">
        <v>24</v>
      </c>
      <c r="E118">
        <v>122436</v>
      </c>
      <c r="F118">
        <v>4286</v>
      </c>
      <c r="G118">
        <v>671.49</v>
      </c>
      <c r="H118">
        <v>90566</v>
      </c>
      <c r="I118">
        <v>176</v>
      </c>
      <c r="J118" t="s">
        <v>25</v>
      </c>
    </row>
    <row r="119" spans="1:10" x14ac:dyDescent="0.2">
      <c r="A119" s="1">
        <v>46040</v>
      </c>
      <c r="B119" t="s">
        <v>19</v>
      </c>
      <c r="C119" t="s">
        <v>26</v>
      </c>
      <c r="D119" t="s">
        <v>29</v>
      </c>
      <c r="E119">
        <v>76027</v>
      </c>
      <c r="F119">
        <v>2993</v>
      </c>
      <c r="G119">
        <v>438.27</v>
      </c>
      <c r="H119">
        <v>55744</v>
      </c>
      <c r="I119">
        <v>97</v>
      </c>
      <c r="J119" t="s">
        <v>25</v>
      </c>
    </row>
    <row r="120" spans="1:10" x14ac:dyDescent="0.2">
      <c r="A120" s="1">
        <v>46040</v>
      </c>
      <c r="B120" t="s">
        <v>18</v>
      </c>
      <c r="C120" t="s">
        <v>23</v>
      </c>
      <c r="D120" t="s">
        <v>24</v>
      </c>
      <c r="E120">
        <v>83319</v>
      </c>
      <c r="F120">
        <v>3021</v>
      </c>
      <c r="G120">
        <v>509.26</v>
      </c>
      <c r="H120">
        <v>65297</v>
      </c>
      <c r="I120">
        <v>128</v>
      </c>
      <c r="J120" t="s">
        <v>25</v>
      </c>
    </row>
    <row r="121" spans="1:10" x14ac:dyDescent="0.2">
      <c r="A121" s="1">
        <v>46040</v>
      </c>
      <c r="B121" t="s">
        <v>18</v>
      </c>
      <c r="C121" t="s">
        <v>26</v>
      </c>
      <c r="D121" t="s">
        <v>29</v>
      </c>
      <c r="E121">
        <v>149980</v>
      </c>
      <c r="F121">
        <v>5001</v>
      </c>
      <c r="G121">
        <v>829.61</v>
      </c>
      <c r="H121">
        <v>110696</v>
      </c>
      <c r="I121">
        <v>235</v>
      </c>
      <c r="J121" t="s">
        <v>25</v>
      </c>
    </row>
    <row r="122" spans="1:10" x14ac:dyDescent="0.2">
      <c r="A122" s="1">
        <v>46041</v>
      </c>
      <c r="B122" t="s">
        <v>10</v>
      </c>
      <c r="C122" t="s">
        <v>23</v>
      </c>
      <c r="D122" t="s">
        <v>29</v>
      </c>
      <c r="E122">
        <v>41967</v>
      </c>
      <c r="F122">
        <v>1639</v>
      </c>
      <c r="G122">
        <v>265.82</v>
      </c>
      <c r="H122">
        <v>30463</v>
      </c>
      <c r="I122">
        <v>71</v>
      </c>
      <c r="J122" t="s">
        <v>25</v>
      </c>
    </row>
    <row r="123" spans="1:10" x14ac:dyDescent="0.2">
      <c r="A123" s="1">
        <v>46041</v>
      </c>
      <c r="B123" t="s">
        <v>10</v>
      </c>
      <c r="C123" t="s">
        <v>26</v>
      </c>
      <c r="D123" t="s">
        <v>30</v>
      </c>
      <c r="E123">
        <v>60419</v>
      </c>
      <c r="F123">
        <v>2217</v>
      </c>
      <c r="G123">
        <v>363.95</v>
      </c>
      <c r="H123">
        <v>47808</v>
      </c>
      <c r="I123">
        <v>106</v>
      </c>
      <c r="J123" t="s">
        <v>25</v>
      </c>
    </row>
    <row r="124" spans="1:10" x14ac:dyDescent="0.2">
      <c r="A124" s="1">
        <v>46041</v>
      </c>
      <c r="B124" t="s">
        <v>15</v>
      </c>
      <c r="C124" t="s">
        <v>27</v>
      </c>
      <c r="D124" t="s">
        <v>29</v>
      </c>
      <c r="E124">
        <v>102976</v>
      </c>
      <c r="F124">
        <v>4009</v>
      </c>
      <c r="G124">
        <v>725.11</v>
      </c>
      <c r="H124">
        <v>82129</v>
      </c>
      <c r="I124">
        <v>243</v>
      </c>
      <c r="J124" t="s">
        <v>25</v>
      </c>
    </row>
    <row r="125" spans="1:10" x14ac:dyDescent="0.2">
      <c r="A125" s="1">
        <v>46041</v>
      </c>
      <c r="B125" t="s">
        <v>15</v>
      </c>
      <c r="C125" t="s">
        <v>28</v>
      </c>
      <c r="D125" t="s">
        <v>30</v>
      </c>
      <c r="E125">
        <v>50097</v>
      </c>
      <c r="F125">
        <v>1645</v>
      </c>
      <c r="G125">
        <v>233.82</v>
      </c>
      <c r="H125">
        <v>37670</v>
      </c>
      <c r="I125">
        <v>55</v>
      </c>
      <c r="J125" t="s">
        <v>25</v>
      </c>
    </row>
    <row r="126" spans="1:10" x14ac:dyDescent="0.2">
      <c r="A126" s="1">
        <v>46041</v>
      </c>
      <c r="B126" t="s">
        <v>18</v>
      </c>
      <c r="C126" t="s">
        <v>23</v>
      </c>
      <c r="D126" t="s">
        <v>24</v>
      </c>
      <c r="E126">
        <v>71105</v>
      </c>
      <c r="F126">
        <v>2533</v>
      </c>
      <c r="G126">
        <v>448.88</v>
      </c>
      <c r="H126">
        <v>57303</v>
      </c>
      <c r="I126">
        <v>110</v>
      </c>
      <c r="J126" t="s">
        <v>25</v>
      </c>
    </row>
    <row r="127" spans="1:10" x14ac:dyDescent="0.2">
      <c r="A127" s="1">
        <v>46041</v>
      </c>
      <c r="B127" t="s">
        <v>18</v>
      </c>
      <c r="C127" t="s">
        <v>26</v>
      </c>
      <c r="D127" t="s">
        <v>29</v>
      </c>
      <c r="E127">
        <v>63821</v>
      </c>
      <c r="F127">
        <v>2791</v>
      </c>
      <c r="G127">
        <v>538.03</v>
      </c>
      <c r="H127">
        <v>48005</v>
      </c>
      <c r="I127">
        <v>106</v>
      </c>
      <c r="J127" t="s">
        <v>25</v>
      </c>
    </row>
    <row r="128" spans="1:10" x14ac:dyDescent="0.2">
      <c r="A128" s="1">
        <v>46042</v>
      </c>
      <c r="B128" t="s">
        <v>10</v>
      </c>
      <c r="C128" t="s">
        <v>23</v>
      </c>
      <c r="D128" t="s">
        <v>24</v>
      </c>
      <c r="E128">
        <v>80564</v>
      </c>
      <c r="F128">
        <v>3399</v>
      </c>
      <c r="G128">
        <v>619.80999999999995</v>
      </c>
      <c r="H128">
        <v>60790</v>
      </c>
      <c r="I128">
        <v>109</v>
      </c>
      <c r="J128" t="s">
        <v>25</v>
      </c>
    </row>
    <row r="129" spans="1:10" x14ac:dyDescent="0.2">
      <c r="A129" s="1">
        <v>46042</v>
      </c>
      <c r="B129" t="s">
        <v>10</v>
      </c>
      <c r="C129" t="s">
        <v>26</v>
      </c>
      <c r="D129" t="s">
        <v>24</v>
      </c>
      <c r="E129">
        <v>100960</v>
      </c>
      <c r="F129">
        <v>4697</v>
      </c>
      <c r="G129">
        <v>832.91</v>
      </c>
      <c r="H129">
        <v>81645</v>
      </c>
      <c r="I129">
        <v>270</v>
      </c>
      <c r="J129" t="s">
        <v>25</v>
      </c>
    </row>
    <row r="130" spans="1:10" x14ac:dyDescent="0.2">
      <c r="A130" s="1">
        <v>46042</v>
      </c>
      <c r="B130" t="s">
        <v>15</v>
      </c>
      <c r="C130" t="s">
        <v>27</v>
      </c>
      <c r="D130" t="s">
        <v>24</v>
      </c>
      <c r="E130">
        <v>57312</v>
      </c>
      <c r="F130">
        <v>2122</v>
      </c>
      <c r="G130">
        <v>305.92</v>
      </c>
      <c r="H130">
        <v>42553</v>
      </c>
      <c r="I130">
        <v>125</v>
      </c>
      <c r="J130" t="s">
        <v>25</v>
      </c>
    </row>
    <row r="131" spans="1:10" x14ac:dyDescent="0.2">
      <c r="A131" s="1">
        <v>46042</v>
      </c>
      <c r="B131" t="s">
        <v>15</v>
      </c>
      <c r="C131" t="s">
        <v>28</v>
      </c>
      <c r="D131" t="s">
        <v>30</v>
      </c>
      <c r="E131">
        <v>36669</v>
      </c>
      <c r="F131">
        <v>1564</v>
      </c>
      <c r="G131">
        <v>259.12</v>
      </c>
      <c r="H131">
        <v>26493</v>
      </c>
      <c r="I131">
        <v>95</v>
      </c>
      <c r="J131" t="s">
        <v>25</v>
      </c>
    </row>
    <row r="132" spans="1:10" x14ac:dyDescent="0.2">
      <c r="A132" s="1">
        <v>46042</v>
      </c>
      <c r="B132" t="s">
        <v>18</v>
      </c>
      <c r="C132" t="s">
        <v>23</v>
      </c>
      <c r="D132" t="s">
        <v>24</v>
      </c>
      <c r="E132">
        <v>57377</v>
      </c>
      <c r="F132">
        <v>2459</v>
      </c>
      <c r="G132">
        <v>470.12</v>
      </c>
      <c r="H132">
        <v>45401</v>
      </c>
      <c r="I132">
        <v>150</v>
      </c>
      <c r="J132" t="s">
        <v>25</v>
      </c>
    </row>
    <row r="133" spans="1:10" x14ac:dyDescent="0.2">
      <c r="A133" s="1">
        <v>46042</v>
      </c>
      <c r="B133" t="s">
        <v>18</v>
      </c>
      <c r="C133" t="s">
        <v>26</v>
      </c>
      <c r="D133" t="s">
        <v>29</v>
      </c>
      <c r="E133">
        <v>99003</v>
      </c>
      <c r="F133">
        <v>4551</v>
      </c>
      <c r="G133">
        <v>766.18</v>
      </c>
      <c r="H133">
        <v>71818</v>
      </c>
      <c r="I133">
        <v>148</v>
      </c>
      <c r="J133" t="s">
        <v>25</v>
      </c>
    </row>
    <row r="134" spans="1:10" x14ac:dyDescent="0.2">
      <c r="A134" s="1">
        <v>46043</v>
      </c>
      <c r="B134" t="s">
        <v>10</v>
      </c>
      <c r="C134" t="s">
        <v>23</v>
      </c>
      <c r="D134" t="s">
        <v>29</v>
      </c>
      <c r="E134">
        <v>64922</v>
      </c>
      <c r="F134">
        <v>2623</v>
      </c>
      <c r="G134">
        <v>393.55</v>
      </c>
      <c r="H134">
        <v>47885</v>
      </c>
      <c r="I134">
        <v>91</v>
      </c>
      <c r="J134" t="s">
        <v>25</v>
      </c>
    </row>
    <row r="135" spans="1:10" x14ac:dyDescent="0.2">
      <c r="A135" s="1">
        <v>46043</v>
      </c>
      <c r="B135" t="s">
        <v>10</v>
      </c>
      <c r="C135" t="s">
        <v>26</v>
      </c>
      <c r="D135" t="s">
        <v>30</v>
      </c>
      <c r="E135">
        <v>131493</v>
      </c>
      <c r="F135">
        <v>4914</v>
      </c>
      <c r="G135">
        <v>832.63</v>
      </c>
      <c r="H135">
        <v>100209</v>
      </c>
      <c r="I135">
        <v>237</v>
      </c>
      <c r="J135" t="s">
        <v>25</v>
      </c>
    </row>
    <row r="136" spans="1:10" x14ac:dyDescent="0.2">
      <c r="A136" s="1">
        <v>46043</v>
      </c>
      <c r="B136" t="s">
        <v>15</v>
      </c>
      <c r="C136" t="s">
        <v>27</v>
      </c>
      <c r="D136" t="s">
        <v>29</v>
      </c>
      <c r="E136">
        <v>68231</v>
      </c>
      <c r="F136">
        <v>2581</v>
      </c>
      <c r="G136">
        <v>363.44</v>
      </c>
      <c r="H136">
        <v>52013</v>
      </c>
      <c r="I136">
        <v>137</v>
      </c>
      <c r="J136" t="s">
        <v>25</v>
      </c>
    </row>
    <row r="137" spans="1:10" x14ac:dyDescent="0.2">
      <c r="A137" s="1">
        <v>46043</v>
      </c>
      <c r="B137" t="s">
        <v>15</v>
      </c>
      <c r="C137" t="s">
        <v>28</v>
      </c>
      <c r="D137" t="s">
        <v>29</v>
      </c>
      <c r="E137">
        <v>49779</v>
      </c>
      <c r="F137">
        <v>1807</v>
      </c>
      <c r="G137">
        <v>309.27999999999997</v>
      </c>
      <c r="H137">
        <v>39662</v>
      </c>
      <c r="I137">
        <v>65</v>
      </c>
      <c r="J137" t="s">
        <v>25</v>
      </c>
    </row>
    <row r="138" spans="1:10" x14ac:dyDescent="0.2">
      <c r="A138" s="1">
        <v>46043</v>
      </c>
      <c r="B138" t="s">
        <v>18</v>
      </c>
      <c r="C138" t="s">
        <v>23</v>
      </c>
      <c r="D138" t="s">
        <v>24</v>
      </c>
      <c r="E138">
        <v>63869</v>
      </c>
      <c r="F138">
        <v>2717</v>
      </c>
      <c r="G138">
        <v>403.47</v>
      </c>
      <c r="H138">
        <v>49801</v>
      </c>
      <c r="I138">
        <v>106</v>
      </c>
      <c r="J138" t="s">
        <v>25</v>
      </c>
    </row>
    <row r="139" spans="1:10" x14ac:dyDescent="0.2">
      <c r="A139" s="1">
        <v>46043</v>
      </c>
      <c r="B139" t="s">
        <v>18</v>
      </c>
      <c r="C139" t="s">
        <v>26</v>
      </c>
      <c r="D139" t="s">
        <v>29</v>
      </c>
      <c r="E139">
        <v>82109</v>
      </c>
      <c r="F139">
        <v>2898</v>
      </c>
      <c r="G139">
        <v>421.24</v>
      </c>
      <c r="H139">
        <v>68189</v>
      </c>
      <c r="I139">
        <v>125</v>
      </c>
      <c r="J139" t="s">
        <v>25</v>
      </c>
    </row>
    <row r="140" spans="1:10" x14ac:dyDescent="0.2">
      <c r="A140" s="1">
        <v>46044</v>
      </c>
      <c r="B140" t="s">
        <v>10</v>
      </c>
      <c r="C140" t="s">
        <v>23</v>
      </c>
      <c r="D140" t="s">
        <v>24</v>
      </c>
      <c r="E140">
        <v>70903</v>
      </c>
      <c r="F140">
        <v>3263</v>
      </c>
      <c r="G140">
        <v>589.72</v>
      </c>
      <c r="H140">
        <v>58701</v>
      </c>
      <c r="I140">
        <v>148</v>
      </c>
      <c r="J140" t="s">
        <v>25</v>
      </c>
    </row>
    <row r="141" spans="1:10" x14ac:dyDescent="0.2">
      <c r="A141" s="1">
        <v>46044</v>
      </c>
      <c r="B141" t="s">
        <v>10</v>
      </c>
      <c r="C141" t="s">
        <v>26</v>
      </c>
      <c r="D141" t="s">
        <v>24</v>
      </c>
      <c r="E141">
        <v>69774</v>
      </c>
      <c r="F141">
        <v>3249</v>
      </c>
      <c r="G141">
        <v>522.86</v>
      </c>
      <c r="H141">
        <v>53010</v>
      </c>
      <c r="I141">
        <v>161</v>
      </c>
      <c r="J141" t="s">
        <v>25</v>
      </c>
    </row>
    <row r="142" spans="1:10" x14ac:dyDescent="0.2">
      <c r="A142" s="1">
        <v>46044</v>
      </c>
      <c r="B142" t="s">
        <v>15</v>
      </c>
      <c r="C142" t="s">
        <v>27</v>
      </c>
      <c r="D142" t="s">
        <v>29</v>
      </c>
      <c r="E142">
        <v>75543</v>
      </c>
      <c r="F142">
        <v>2647</v>
      </c>
      <c r="G142">
        <v>462.62</v>
      </c>
      <c r="H142">
        <v>60753</v>
      </c>
      <c r="I142">
        <v>150</v>
      </c>
      <c r="J142" t="s">
        <v>25</v>
      </c>
    </row>
    <row r="143" spans="1:10" x14ac:dyDescent="0.2">
      <c r="A143" s="1">
        <v>46044</v>
      </c>
      <c r="B143" t="s">
        <v>15</v>
      </c>
      <c r="C143" t="s">
        <v>28</v>
      </c>
      <c r="D143" t="s">
        <v>30</v>
      </c>
      <c r="E143">
        <v>91814</v>
      </c>
      <c r="F143">
        <v>4106</v>
      </c>
      <c r="G143">
        <v>714.44</v>
      </c>
      <c r="H143">
        <v>74837</v>
      </c>
      <c r="I143">
        <v>174</v>
      </c>
      <c r="J143" t="s">
        <v>25</v>
      </c>
    </row>
    <row r="144" spans="1:10" x14ac:dyDescent="0.2">
      <c r="A144" s="1">
        <v>46044</v>
      </c>
      <c r="B144" t="s">
        <v>18</v>
      </c>
      <c r="C144" t="s">
        <v>23</v>
      </c>
      <c r="D144" t="s">
        <v>24</v>
      </c>
      <c r="E144">
        <v>36092</v>
      </c>
      <c r="F144">
        <v>1443</v>
      </c>
      <c r="G144">
        <v>261.37</v>
      </c>
      <c r="H144">
        <v>28005</v>
      </c>
      <c r="I144">
        <v>52</v>
      </c>
      <c r="J144" t="s">
        <v>25</v>
      </c>
    </row>
    <row r="145" spans="1:10" x14ac:dyDescent="0.2">
      <c r="A145" s="1">
        <v>46044</v>
      </c>
      <c r="B145" t="s">
        <v>18</v>
      </c>
      <c r="C145" t="s">
        <v>26</v>
      </c>
      <c r="D145" t="s">
        <v>29</v>
      </c>
      <c r="E145">
        <v>116762</v>
      </c>
      <c r="F145">
        <v>4779</v>
      </c>
      <c r="G145">
        <v>715.69</v>
      </c>
      <c r="H145">
        <v>90889</v>
      </c>
      <c r="I145">
        <v>162</v>
      </c>
      <c r="J145" t="s">
        <v>25</v>
      </c>
    </row>
    <row r="146" spans="1:10" x14ac:dyDescent="0.2">
      <c r="A146" s="1">
        <v>46045</v>
      </c>
      <c r="B146" t="s">
        <v>10</v>
      </c>
      <c r="C146" t="s">
        <v>23</v>
      </c>
      <c r="D146" t="s">
        <v>29</v>
      </c>
      <c r="E146">
        <v>37043</v>
      </c>
      <c r="F146">
        <v>1454</v>
      </c>
      <c r="G146">
        <v>222.52</v>
      </c>
      <c r="H146">
        <v>30340</v>
      </c>
      <c r="I146">
        <v>51</v>
      </c>
      <c r="J146" t="s">
        <v>25</v>
      </c>
    </row>
    <row r="147" spans="1:10" x14ac:dyDescent="0.2">
      <c r="A147" s="1">
        <v>46045</v>
      </c>
      <c r="B147" t="s">
        <v>10</v>
      </c>
      <c r="C147" t="s">
        <v>26</v>
      </c>
      <c r="D147" t="s">
        <v>30</v>
      </c>
      <c r="E147">
        <v>75084</v>
      </c>
      <c r="F147">
        <v>2408</v>
      </c>
      <c r="G147">
        <v>388.01</v>
      </c>
      <c r="H147">
        <v>61575</v>
      </c>
      <c r="I147">
        <v>80</v>
      </c>
      <c r="J147" t="s">
        <v>25</v>
      </c>
    </row>
    <row r="148" spans="1:10" x14ac:dyDescent="0.2">
      <c r="A148" s="1">
        <v>46045</v>
      </c>
      <c r="B148" t="s">
        <v>15</v>
      </c>
      <c r="C148" t="s">
        <v>27</v>
      </c>
      <c r="D148" t="s">
        <v>24</v>
      </c>
      <c r="E148">
        <v>80903</v>
      </c>
      <c r="F148">
        <v>3726</v>
      </c>
      <c r="G148">
        <v>697.19</v>
      </c>
      <c r="H148">
        <v>63123</v>
      </c>
      <c r="I148">
        <v>226</v>
      </c>
      <c r="J148" t="s">
        <v>25</v>
      </c>
    </row>
    <row r="149" spans="1:10" x14ac:dyDescent="0.2">
      <c r="A149" s="1">
        <v>46045</v>
      </c>
      <c r="B149" t="s">
        <v>15</v>
      </c>
      <c r="C149" t="s">
        <v>28</v>
      </c>
      <c r="D149" t="s">
        <v>30</v>
      </c>
      <c r="E149">
        <v>46272</v>
      </c>
      <c r="F149">
        <v>2008</v>
      </c>
      <c r="G149">
        <v>298.31</v>
      </c>
      <c r="H149">
        <v>37386</v>
      </c>
      <c r="I149">
        <v>90</v>
      </c>
      <c r="J149" t="s">
        <v>25</v>
      </c>
    </row>
    <row r="150" spans="1:10" x14ac:dyDescent="0.2">
      <c r="A150" s="1">
        <v>46045</v>
      </c>
      <c r="B150" t="s">
        <v>18</v>
      </c>
      <c r="C150" t="s">
        <v>23</v>
      </c>
      <c r="D150" t="s">
        <v>24</v>
      </c>
      <c r="E150">
        <v>73116</v>
      </c>
      <c r="F150">
        <v>2595</v>
      </c>
      <c r="G150">
        <v>436.97</v>
      </c>
      <c r="H150">
        <v>55755</v>
      </c>
      <c r="I150">
        <v>146</v>
      </c>
      <c r="J150" t="s">
        <v>25</v>
      </c>
    </row>
    <row r="151" spans="1:10" x14ac:dyDescent="0.2">
      <c r="A151" s="1">
        <v>46045</v>
      </c>
      <c r="B151" t="s">
        <v>18</v>
      </c>
      <c r="C151" t="s">
        <v>26</v>
      </c>
      <c r="D151" t="s">
        <v>29</v>
      </c>
      <c r="E151">
        <v>90386</v>
      </c>
      <c r="F151">
        <v>3469</v>
      </c>
      <c r="G151">
        <v>673.85</v>
      </c>
      <c r="H151">
        <v>74764</v>
      </c>
      <c r="I151">
        <v>206</v>
      </c>
      <c r="J151" t="s">
        <v>25</v>
      </c>
    </row>
    <row r="152" spans="1:10" x14ac:dyDescent="0.2">
      <c r="A152" s="1">
        <v>46046</v>
      </c>
      <c r="B152" t="s">
        <v>10</v>
      </c>
      <c r="C152" t="s">
        <v>23</v>
      </c>
      <c r="D152" t="s">
        <v>29</v>
      </c>
      <c r="E152">
        <v>80801</v>
      </c>
      <c r="F152">
        <v>3314</v>
      </c>
      <c r="G152">
        <v>598.96</v>
      </c>
      <c r="H152">
        <v>61303</v>
      </c>
      <c r="I152">
        <v>163</v>
      </c>
      <c r="J152" t="s">
        <v>25</v>
      </c>
    </row>
    <row r="153" spans="1:10" x14ac:dyDescent="0.2">
      <c r="A153" s="1">
        <v>46046</v>
      </c>
      <c r="B153" t="s">
        <v>10</v>
      </c>
      <c r="C153" t="s">
        <v>26</v>
      </c>
      <c r="D153" t="s">
        <v>24</v>
      </c>
      <c r="E153">
        <v>94878</v>
      </c>
      <c r="F153">
        <v>3242</v>
      </c>
      <c r="G153">
        <v>561.70000000000005</v>
      </c>
      <c r="H153">
        <v>71739</v>
      </c>
      <c r="I153">
        <v>112</v>
      </c>
      <c r="J153" t="s">
        <v>25</v>
      </c>
    </row>
    <row r="154" spans="1:10" x14ac:dyDescent="0.2">
      <c r="A154" s="1">
        <v>46046</v>
      </c>
      <c r="B154" t="s">
        <v>15</v>
      </c>
      <c r="C154" t="s">
        <v>27</v>
      </c>
      <c r="D154" t="s">
        <v>29</v>
      </c>
      <c r="E154">
        <v>149160</v>
      </c>
      <c r="F154">
        <v>5210</v>
      </c>
      <c r="G154">
        <v>973.98</v>
      </c>
      <c r="H154">
        <v>122320</v>
      </c>
      <c r="I154">
        <v>181</v>
      </c>
      <c r="J154" t="s">
        <v>25</v>
      </c>
    </row>
    <row r="155" spans="1:10" x14ac:dyDescent="0.2">
      <c r="A155" s="1">
        <v>46046</v>
      </c>
      <c r="B155" t="s">
        <v>15</v>
      </c>
      <c r="C155" t="s">
        <v>28</v>
      </c>
      <c r="D155" t="s">
        <v>29</v>
      </c>
      <c r="E155">
        <v>176373</v>
      </c>
      <c r="F155">
        <v>6527</v>
      </c>
      <c r="G155">
        <v>1279.9000000000001</v>
      </c>
      <c r="H155">
        <v>142070</v>
      </c>
      <c r="I155">
        <v>300</v>
      </c>
      <c r="J155" t="s">
        <v>25</v>
      </c>
    </row>
    <row r="156" spans="1:10" x14ac:dyDescent="0.2">
      <c r="A156" s="1">
        <v>46046</v>
      </c>
      <c r="B156" t="s">
        <v>19</v>
      </c>
      <c r="C156" t="s">
        <v>23</v>
      </c>
      <c r="D156" t="s">
        <v>24</v>
      </c>
      <c r="E156">
        <v>134611</v>
      </c>
      <c r="F156">
        <v>5213</v>
      </c>
      <c r="G156">
        <v>858.14</v>
      </c>
      <c r="H156">
        <v>97366</v>
      </c>
      <c r="I156">
        <v>254</v>
      </c>
      <c r="J156" t="s">
        <v>25</v>
      </c>
    </row>
    <row r="157" spans="1:10" x14ac:dyDescent="0.2">
      <c r="A157" s="1">
        <v>46046</v>
      </c>
      <c r="B157" t="s">
        <v>19</v>
      </c>
      <c r="C157" t="s">
        <v>26</v>
      </c>
      <c r="D157" t="s">
        <v>24</v>
      </c>
      <c r="E157">
        <v>65225</v>
      </c>
      <c r="F157">
        <v>2876</v>
      </c>
      <c r="G157">
        <v>508.8</v>
      </c>
      <c r="H157">
        <v>49328</v>
      </c>
      <c r="I157">
        <v>112</v>
      </c>
      <c r="J157" t="s">
        <v>25</v>
      </c>
    </row>
    <row r="158" spans="1:10" x14ac:dyDescent="0.2">
      <c r="A158" s="1">
        <v>46046</v>
      </c>
      <c r="B158" t="s">
        <v>18</v>
      </c>
      <c r="C158" t="s">
        <v>23</v>
      </c>
      <c r="D158" t="s">
        <v>24</v>
      </c>
      <c r="E158">
        <v>72354</v>
      </c>
      <c r="F158">
        <v>3034</v>
      </c>
      <c r="G158">
        <v>588.58000000000004</v>
      </c>
      <c r="H158">
        <v>59716</v>
      </c>
      <c r="I158">
        <v>101</v>
      </c>
      <c r="J158" t="s">
        <v>25</v>
      </c>
    </row>
    <row r="159" spans="1:10" x14ac:dyDescent="0.2">
      <c r="A159" s="1">
        <v>46046</v>
      </c>
      <c r="B159" t="s">
        <v>18</v>
      </c>
      <c r="C159" t="s">
        <v>26</v>
      </c>
      <c r="D159" t="s">
        <v>29</v>
      </c>
      <c r="E159">
        <v>72108</v>
      </c>
      <c r="F159">
        <v>2772</v>
      </c>
      <c r="G159">
        <v>389.07</v>
      </c>
      <c r="H159">
        <v>58904</v>
      </c>
      <c r="I159">
        <v>161</v>
      </c>
      <c r="J159" t="s">
        <v>25</v>
      </c>
    </row>
    <row r="160" spans="1:10" x14ac:dyDescent="0.2">
      <c r="A160" s="1">
        <v>46047</v>
      </c>
      <c r="B160" t="s">
        <v>10</v>
      </c>
      <c r="C160" t="s">
        <v>23</v>
      </c>
      <c r="D160" t="s">
        <v>29</v>
      </c>
      <c r="E160">
        <v>58972</v>
      </c>
      <c r="F160">
        <v>1966</v>
      </c>
      <c r="G160">
        <v>307.11</v>
      </c>
      <c r="H160">
        <v>49438</v>
      </c>
      <c r="I160">
        <v>69</v>
      </c>
      <c r="J160" t="s">
        <v>25</v>
      </c>
    </row>
    <row r="161" spans="1:10" x14ac:dyDescent="0.2">
      <c r="A161" s="1">
        <v>46047</v>
      </c>
      <c r="B161" t="s">
        <v>10</v>
      </c>
      <c r="C161" t="s">
        <v>26</v>
      </c>
      <c r="D161" t="s">
        <v>24</v>
      </c>
      <c r="E161">
        <v>102320</v>
      </c>
      <c r="F161">
        <v>4199</v>
      </c>
      <c r="G161">
        <v>761.85</v>
      </c>
      <c r="H161">
        <v>84282</v>
      </c>
      <c r="I161">
        <v>149</v>
      </c>
      <c r="J161" t="s">
        <v>25</v>
      </c>
    </row>
    <row r="162" spans="1:10" x14ac:dyDescent="0.2">
      <c r="A162" s="1">
        <v>46047</v>
      </c>
      <c r="B162" t="s">
        <v>15</v>
      </c>
      <c r="C162" t="s">
        <v>27</v>
      </c>
      <c r="D162" t="s">
        <v>24</v>
      </c>
      <c r="E162">
        <v>177738</v>
      </c>
      <c r="F162">
        <v>6270</v>
      </c>
      <c r="G162">
        <v>932.03</v>
      </c>
      <c r="H162">
        <v>143763</v>
      </c>
      <c r="I162">
        <v>293</v>
      </c>
      <c r="J162" t="s">
        <v>25</v>
      </c>
    </row>
    <row r="163" spans="1:10" x14ac:dyDescent="0.2">
      <c r="A163" s="1">
        <v>46047</v>
      </c>
      <c r="B163" t="s">
        <v>15</v>
      </c>
      <c r="C163" t="s">
        <v>28</v>
      </c>
      <c r="D163" t="s">
        <v>30</v>
      </c>
      <c r="E163">
        <v>172986</v>
      </c>
      <c r="F163">
        <v>7306</v>
      </c>
      <c r="G163">
        <v>1090.69</v>
      </c>
      <c r="H163">
        <v>137591</v>
      </c>
      <c r="I163">
        <v>391</v>
      </c>
      <c r="J163" t="s">
        <v>25</v>
      </c>
    </row>
    <row r="164" spans="1:10" x14ac:dyDescent="0.2">
      <c r="A164" s="1">
        <v>46047</v>
      </c>
      <c r="B164" t="s">
        <v>19</v>
      </c>
      <c r="C164" t="s">
        <v>23</v>
      </c>
      <c r="D164" t="s">
        <v>24</v>
      </c>
      <c r="E164">
        <v>137989</v>
      </c>
      <c r="F164">
        <v>5792</v>
      </c>
      <c r="G164">
        <v>880.63</v>
      </c>
      <c r="H164">
        <v>100463</v>
      </c>
      <c r="I164">
        <v>211</v>
      </c>
      <c r="J164" t="s">
        <v>25</v>
      </c>
    </row>
    <row r="165" spans="1:10" x14ac:dyDescent="0.2">
      <c r="A165" s="1">
        <v>46047</v>
      </c>
      <c r="B165" t="s">
        <v>19</v>
      </c>
      <c r="C165" t="s">
        <v>26</v>
      </c>
      <c r="D165" t="s">
        <v>29</v>
      </c>
      <c r="E165">
        <v>144387</v>
      </c>
      <c r="F165">
        <v>4844</v>
      </c>
      <c r="G165">
        <v>737.54</v>
      </c>
      <c r="H165">
        <v>112166</v>
      </c>
      <c r="I165">
        <v>276</v>
      </c>
      <c r="J165" t="s">
        <v>25</v>
      </c>
    </row>
    <row r="166" spans="1:10" x14ac:dyDescent="0.2">
      <c r="A166" s="1">
        <v>46047</v>
      </c>
      <c r="B166" t="s">
        <v>18</v>
      </c>
      <c r="C166" t="s">
        <v>23</v>
      </c>
      <c r="D166" t="s">
        <v>24</v>
      </c>
      <c r="E166">
        <v>120695</v>
      </c>
      <c r="F166">
        <v>3969</v>
      </c>
      <c r="G166">
        <v>584.66999999999996</v>
      </c>
      <c r="H166">
        <v>92759</v>
      </c>
      <c r="I166">
        <v>244</v>
      </c>
      <c r="J166" t="s">
        <v>25</v>
      </c>
    </row>
    <row r="167" spans="1:10" x14ac:dyDescent="0.2">
      <c r="A167" s="1">
        <v>46047</v>
      </c>
      <c r="B167" t="s">
        <v>18</v>
      </c>
      <c r="C167" t="s">
        <v>26</v>
      </c>
      <c r="D167" t="s">
        <v>29</v>
      </c>
      <c r="E167">
        <v>149322</v>
      </c>
      <c r="F167">
        <v>5400</v>
      </c>
      <c r="G167">
        <v>954.53</v>
      </c>
      <c r="H167">
        <v>115380</v>
      </c>
      <c r="I167">
        <v>279</v>
      </c>
      <c r="J167" t="s">
        <v>25</v>
      </c>
    </row>
    <row r="168" spans="1:10" x14ac:dyDescent="0.2">
      <c r="A168" s="1">
        <v>46048</v>
      </c>
      <c r="B168" t="s">
        <v>10</v>
      </c>
      <c r="C168" t="s">
        <v>23</v>
      </c>
      <c r="D168" t="s">
        <v>24</v>
      </c>
      <c r="E168">
        <v>91669</v>
      </c>
      <c r="F168">
        <v>3147</v>
      </c>
      <c r="G168">
        <v>444.67</v>
      </c>
      <c r="H168">
        <v>67560</v>
      </c>
      <c r="I168">
        <v>171</v>
      </c>
      <c r="J168" t="s">
        <v>25</v>
      </c>
    </row>
    <row r="169" spans="1:10" x14ac:dyDescent="0.2">
      <c r="A169" s="1">
        <v>46048</v>
      </c>
      <c r="B169" t="s">
        <v>10</v>
      </c>
      <c r="C169" t="s">
        <v>26</v>
      </c>
      <c r="D169" t="s">
        <v>24</v>
      </c>
      <c r="E169">
        <v>57383</v>
      </c>
      <c r="F169">
        <v>2305</v>
      </c>
      <c r="G169">
        <v>419.46</v>
      </c>
      <c r="H169">
        <v>42695</v>
      </c>
      <c r="I169">
        <v>106</v>
      </c>
      <c r="J169" t="s">
        <v>25</v>
      </c>
    </row>
    <row r="170" spans="1:10" x14ac:dyDescent="0.2">
      <c r="A170" s="1">
        <v>46048</v>
      </c>
      <c r="B170" t="s">
        <v>15</v>
      </c>
      <c r="C170" t="s">
        <v>27</v>
      </c>
      <c r="D170" t="s">
        <v>29</v>
      </c>
      <c r="E170">
        <v>122495</v>
      </c>
      <c r="F170">
        <v>4115</v>
      </c>
      <c r="G170">
        <v>721.47</v>
      </c>
      <c r="H170">
        <v>93596</v>
      </c>
      <c r="I170">
        <v>165</v>
      </c>
      <c r="J170" t="s">
        <v>25</v>
      </c>
    </row>
    <row r="171" spans="1:10" x14ac:dyDescent="0.2">
      <c r="A171" s="1">
        <v>46048</v>
      </c>
      <c r="B171" t="s">
        <v>15</v>
      </c>
      <c r="C171" t="s">
        <v>28</v>
      </c>
      <c r="D171" t="s">
        <v>29</v>
      </c>
      <c r="E171">
        <v>126442</v>
      </c>
      <c r="F171">
        <v>5664</v>
      </c>
      <c r="G171">
        <v>950.63</v>
      </c>
      <c r="H171">
        <v>103381</v>
      </c>
      <c r="I171">
        <v>206</v>
      </c>
      <c r="J171" t="s">
        <v>25</v>
      </c>
    </row>
    <row r="172" spans="1:10" x14ac:dyDescent="0.2">
      <c r="A172" s="1">
        <v>46048</v>
      </c>
      <c r="B172" t="s">
        <v>18</v>
      </c>
      <c r="C172" t="s">
        <v>23</v>
      </c>
      <c r="D172" t="s">
        <v>24</v>
      </c>
      <c r="E172">
        <v>94910</v>
      </c>
      <c r="F172">
        <v>3219</v>
      </c>
      <c r="G172">
        <v>525.87</v>
      </c>
      <c r="H172">
        <v>74947</v>
      </c>
      <c r="I172">
        <v>106</v>
      </c>
      <c r="J172" t="s">
        <v>25</v>
      </c>
    </row>
    <row r="173" spans="1:10" x14ac:dyDescent="0.2">
      <c r="A173" s="1">
        <v>46048</v>
      </c>
      <c r="B173" t="s">
        <v>18</v>
      </c>
      <c r="C173" t="s">
        <v>26</v>
      </c>
      <c r="D173" t="s">
        <v>29</v>
      </c>
      <c r="E173">
        <v>40587</v>
      </c>
      <c r="F173">
        <v>1888</v>
      </c>
      <c r="G173">
        <v>304.5</v>
      </c>
      <c r="H173">
        <v>29901</v>
      </c>
      <c r="I173">
        <v>110</v>
      </c>
      <c r="J173" t="s">
        <v>25</v>
      </c>
    </row>
    <row r="174" spans="1:10" x14ac:dyDescent="0.2">
      <c r="A174" s="1">
        <v>46049</v>
      </c>
      <c r="B174" t="s">
        <v>10</v>
      </c>
      <c r="C174" t="s">
        <v>23</v>
      </c>
      <c r="D174" t="s">
        <v>29</v>
      </c>
      <c r="E174">
        <v>71294</v>
      </c>
      <c r="F174">
        <v>2291</v>
      </c>
      <c r="G174">
        <v>342.5</v>
      </c>
      <c r="H174">
        <v>55614</v>
      </c>
      <c r="I174">
        <v>132</v>
      </c>
      <c r="J174" t="s">
        <v>25</v>
      </c>
    </row>
    <row r="175" spans="1:10" x14ac:dyDescent="0.2">
      <c r="A175" s="1">
        <v>46049</v>
      </c>
      <c r="B175" t="s">
        <v>10</v>
      </c>
      <c r="C175" t="s">
        <v>26</v>
      </c>
      <c r="D175" t="s">
        <v>24</v>
      </c>
      <c r="E175">
        <v>80722</v>
      </c>
      <c r="F175">
        <v>3748</v>
      </c>
      <c r="G175">
        <v>642.79</v>
      </c>
      <c r="H175">
        <v>63089</v>
      </c>
      <c r="I175">
        <v>139</v>
      </c>
      <c r="J175" t="s">
        <v>25</v>
      </c>
    </row>
    <row r="176" spans="1:10" x14ac:dyDescent="0.2">
      <c r="A176" s="1">
        <v>46049</v>
      </c>
      <c r="B176" t="s">
        <v>15</v>
      </c>
      <c r="C176" t="s">
        <v>27</v>
      </c>
      <c r="D176" t="s">
        <v>24</v>
      </c>
      <c r="E176">
        <v>81119</v>
      </c>
      <c r="F176">
        <v>3447</v>
      </c>
      <c r="G176">
        <v>599.04999999999995</v>
      </c>
      <c r="H176">
        <v>62878</v>
      </c>
      <c r="I176">
        <v>199</v>
      </c>
      <c r="J176" t="s">
        <v>25</v>
      </c>
    </row>
    <row r="177" spans="1:10" x14ac:dyDescent="0.2">
      <c r="A177" s="1">
        <v>46049</v>
      </c>
      <c r="B177" t="s">
        <v>15</v>
      </c>
      <c r="C177" t="s">
        <v>28</v>
      </c>
      <c r="D177" t="s">
        <v>30</v>
      </c>
      <c r="E177">
        <v>71482</v>
      </c>
      <c r="F177">
        <v>3185</v>
      </c>
      <c r="G177">
        <v>571.73</v>
      </c>
      <c r="H177">
        <v>59388</v>
      </c>
      <c r="I177">
        <v>108</v>
      </c>
      <c r="J177" t="s">
        <v>25</v>
      </c>
    </row>
    <row r="178" spans="1:10" x14ac:dyDescent="0.2">
      <c r="A178" s="1">
        <v>46049</v>
      </c>
      <c r="B178" t="s">
        <v>18</v>
      </c>
      <c r="C178" t="s">
        <v>23</v>
      </c>
      <c r="D178" t="s">
        <v>24</v>
      </c>
      <c r="E178">
        <v>84351</v>
      </c>
      <c r="F178">
        <v>3998</v>
      </c>
      <c r="G178">
        <v>705.05</v>
      </c>
      <c r="H178">
        <v>62558</v>
      </c>
      <c r="I178">
        <v>212</v>
      </c>
      <c r="J178" t="s">
        <v>25</v>
      </c>
    </row>
    <row r="179" spans="1:10" x14ac:dyDescent="0.2">
      <c r="A179" s="1">
        <v>46049</v>
      </c>
      <c r="B179" t="s">
        <v>18</v>
      </c>
      <c r="C179" t="s">
        <v>26</v>
      </c>
      <c r="D179" t="s">
        <v>29</v>
      </c>
      <c r="E179">
        <v>51963</v>
      </c>
      <c r="F179">
        <v>2242</v>
      </c>
      <c r="G179">
        <v>393.09</v>
      </c>
      <c r="H179">
        <v>41034</v>
      </c>
      <c r="I179">
        <v>111</v>
      </c>
      <c r="J179" t="s">
        <v>25</v>
      </c>
    </row>
    <row r="180" spans="1:10" x14ac:dyDescent="0.2">
      <c r="A180" s="1">
        <v>46050</v>
      </c>
      <c r="B180" t="s">
        <v>10</v>
      </c>
      <c r="C180" t="s">
        <v>23</v>
      </c>
      <c r="D180" t="s">
        <v>29</v>
      </c>
      <c r="E180">
        <v>43856</v>
      </c>
      <c r="F180">
        <v>1434</v>
      </c>
      <c r="G180">
        <v>274.07</v>
      </c>
      <c r="H180">
        <v>32414</v>
      </c>
      <c r="I180">
        <v>50</v>
      </c>
      <c r="J180" t="s">
        <v>25</v>
      </c>
    </row>
    <row r="181" spans="1:10" x14ac:dyDescent="0.2">
      <c r="A181" s="1">
        <v>46050</v>
      </c>
      <c r="B181" t="s">
        <v>10</v>
      </c>
      <c r="C181" t="s">
        <v>26</v>
      </c>
      <c r="D181" t="s">
        <v>24</v>
      </c>
      <c r="E181">
        <v>100461</v>
      </c>
      <c r="F181">
        <v>4716</v>
      </c>
      <c r="G181">
        <v>795.05</v>
      </c>
      <c r="H181">
        <v>81492</v>
      </c>
      <c r="I181">
        <v>289</v>
      </c>
      <c r="J181" t="s">
        <v>25</v>
      </c>
    </row>
    <row r="182" spans="1:10" x14ac:dyDescent="0.2">
      <c r="A182" s="1">
        <v>46050</v>
      </c>
      <c r="B182" t="s">
        <v>15</v>
      </c>
      <c r="C182" t="s">
        <v>27</v>
      </c>
      <c r="D182" t="s">
        <v>24</v>
      </c>
      <c r="E182">
        <v>48819</v>
      </c>
      <c r="F182">
        <v>2265</v>
      </c>
      <c r="G182">
        <v>340.75</v>
      </c>
      <c r="H182">
        <v>40378</v>
      </c>
      <c r="I182">
        <v>123</v>
      </c>
      <c r="J182" t="s">
        <v>25</v>
      </c>
    </row>
    <row r="183" spans="1:10" x14ac:dyDescent="0.2">
      <c r="A183" s="1">
        <v>46050</v>
      </c>
      <c r="B183" t="s">
        <v>15</v>
      </c>
      <c r="C183" t="s">
        <v>28</v>
      </c>
      <c r="D183" t="s">
        <v>29</v>
      </c>
      <c r="E183">
        <v>43437</v>
      </c>
      <c r="F183">
        <v>1433</v>
      </c>
      <c r="G183">
        <v>222.16</v>
      </c>
      <c r="H183">
        <v>31469</v>
      </c>
      <c r="I183">
        <v>78</v>
      </c>
      <c r="J183" t="s">
        <v>25</v>
      </c>
    </row>
    <row r="184" spans="1:10" x14ac:dyDescent="0.2">
      <c r="A184" s="1">
        <v>46050</v>
      </c>
      <c r="B184" t="s">
        <v>18</v>
      </c>
      <c r="C184" t="s">
        <v>23</v>
      </c>
      <c r="D184" t="s">
        <v>24</v>
      </c>
      <c r="E184">
        <v>84063</v>
      </c>
      <c r="F184">
        <v>3505</v>
      </c>
      <c r="G184">
        <v>667.49</v>
      </c>
      <c r="H184">
        <v>69841</v>
      </c>
      <c r="I184">
        <v>145</v>
      </c>
      <c r="J184" t="s">
        <v>25</v>
      </c>
    </row>
    <row r="185" spans="1:10" x14ac:dyDescent="0.2">
      <c r="A185" s="1">
        <v>46050</v>
      </c>
      <c r="B185" t="s">
        <v>18</v>
      </c>
      <c r="C185" t="s">
        <v>26</v>
      </c>
      <c r="D185" t="s">
        <v>29</v>
      </c>
      <c r="E185">
        <v>84496</v>
      </c>
      <c r="F185">
        <v>2883</v>
      </c>
      <c r="G185">
        <v>513.88</v>
      </c>
      <c r="H185">
        <v>66479</v>
      </c>
      <c r="I185">
        <v>109</v>
      </c>
      <c r="J185" t="s">
        <v>25</v>
      </c>
    </row>
    <row r="186" spans="1:10" x14ac:dyDescent="0.2">
      <c r="A186" s="1">
        <v>46051</v>
      </c>
      <c r="B186" t="s">
        <v>10</v>
      </c>
      <c r="C186" t="s">
        <v>23</v>
      </c>
      <c r="D186" t="s">
        <v>29</v>
      </c>
      <c r="E186">
        <v>92345</v>
      </c>
      <c r="F186">
        <v>3958</v>
      </c>
      <c r="G186">
        <v>607.66999999999996</v>
      </c>
      <c r="H186">
        <v>74712</v>
      </c>
      <c r="I186">
        <v>178</v>
      </c>
      <c r="J186" t="s">
        <v>25</v>
      </c>
    </row>
    <row r="187" spans="1:10" x14ac:dyDescent="0.2">
      <c r="A187" s="1">
        <v>46051</v>
      </c>
      <c r="B187" t="s">
        <v>10</v>
      </c>
      <c r="C187" t="s">
        <v>26</v>
      </c>
      <c r="D187" t="s">
        <v>24</v>
      </c>
      <c r="E187">
        <v>46274</v>
      </c>
      <c r="F187">
        <v>1911</v>
      </c>
      <c r="G187">
        <v>339.67</v>
      </c>
      <c r="H187">
        <v>37030</v>
      </c>
      <c r="I187">
        <v>72</v>
      </c>
      <c r="J187" t="s">
        <v>25</v>
      </c>
    </row>
    <row r="188" spans="1:10" x14ac:dyDescent="0.2">
      <c r="A188" s="1">
        <v>46051</v>
      </c>
      <c r="B188" t="s">
        <v>15</v>
      </c>
      <c r="C188" t="s">
        <v>27</v>
      </c>
      <c r="D188" t="s">
        <v>24</v>
      </c>
      <c r="E188">
        <v>35686</v>
      </c>
      <c r="F188">
        <v>1347</v>
      </c>
      <c r="G188">
        <v>221.56</v>
      </c>
      <c r="H188">
        <v>28034</v>
      </c>
      <c r="I188">
        <v>46</v>
      </c>
      <c r="J188" t="s">
        <v>25</v>
      </c>
    </row>
    <row r="189" spans="1:10" x14ac:dyDescent="0.2">
      <c r="A189" s="1">
        <v>46051</v>
      </c>
      <c r="B189" t="s">
        <v>15</v>
      </c>
      <c r="C189" t="s">
        <v>28</v>
      </c>
      <c r="D189" t="s">
        <v>30</v>
      </c>
      <c r="E189">
        <v>124438</v>
      </c>
      <c r="F189">
        <v>5435</v>
      </c>
      <c r="G189">
        <v>1057.97</v>
      </c>
      <c r="H189">
        <v>99185</v>
      </c>
      <c r="I189">
        <v>254</v>
      </c>
      <c r="J189" t="s">
        <v>25</v>
      </c>
    </row>
    <row r="190" spans="1:10" x14ac:dyDescent="0.2">
      <c r="A190" s="1">
        <v>46051</v>
      </c>
      <c r="B190" t="s">
        <v>18</v>
      </c>
      <c r="C190" t="s">
        <v>23</v>
      </c>
      <c r="D190" t="s">
        <v>24</v>
      </c>
      <c r="E190">
        <v>109759</v>
      </c>
      <c r="F190">
        <v>4965</v>
      </c>
      <c r="G190">
        <v>844.3</v>
      </c>
      <c r="H190">
        <v>83721</v>
      </c>
      <c r="I190">
        <v>292</v>
      </c>
      <c r="J190" t="s">
        <v>25</v>
      </c>
    </row>
    <row r="191" spans="1:10" x14ac:dyDescent="0.2">
      <c r="A191" s="1">
        <v>46051</v>
      </c>
      <c r="B191" t="s">
        <v>18</v>
      </c>
      <c r="C191" t="s">
        <v>26</v>
      </c>
      <c r="D191" t="s">
        <v>29</v>
      </c>
      <c r="E191">
        <v>43802</v>
      </c>
      <c r="F191">
        <v>1709</v>
      </c>
      <c r="G191">
        <v>303.39999999999998</v>
      </c>
      <c r="H191">
        <v>36131</v>
      </c>
      <c r="I191">
        <v>83</v>
      </c>
      <c r="J191" t="s">
        <v>25</v>
      </c>
    </row>
    <row r="192" spans="1:10" x14ac:dyDescent="0.2">
      <c r="A192" s="1">
        <v>46052</v>
      </c>
      <c r="B192" t="s">
        <v>10</v>
      </c>
      <c r="C192" t="s">
        <v>23</v>
      </c>
      <c r="D192" t="s">
        <v>24</v>
      </c>
      <c r="E192">
        <v>102796</v>
      </c>
      <c r="F192">
        <v>3779</v>
      </c>
      <c r="G192">
        <v>555.79999999999995</v>
      </c>
      <c r="H192">
        <v>76857</v>
      </c>
      <c r="I192">
        <v>189</v>
      </c>
      <c r="J192" t="s">
        <v>25</v>
      </c>
    </row>
    <row r="193" spans="1:10" x14ac:dyDescent="0.2">
      <c r="A193" s="1">
        <v>46052</v>
      </c>
      <c r="B193" t="s">
        <v>10</v>
      </c>
      <c r="C193" t="s">
        <v>26</v>
      </c>
      <c r="D193" t="s">
        <v>30</v>
      </c>
      <c r="E193">
        <v>37954</v>
      </c>
      <c r="F193">
        <v>1350</v>
      </c>
      <c r="G193">
        <v>265.19</v>
      </c>
      <c r="H193">
        <v>31527</v>
      </c>
      <c r="I193">
        <v>53</v>
      </c>
      <c r="J193" t="s">
        <v>25</v>
      </c>
    </row>
    <row r="194" spans="1:10" x14ac:dyDescent="0.2">
      <c r="A194" s="1">
        <v>46052</v>
      </c>
      <c r="B194" t="s">
        <v>15</v>
      </c>
      <c r="C194" t="s">
        <v>27</v>
      </c>
      <c r="D194" t="s">
        <v>29</v>
      </c>
      <c r="E194">
        <v>43906</v>
      </c>
      <c r="F194">
        <v>2017</v>
      </c>
      <c r="G194">
        <v>301.48</v>
      </c>
      <c r="H194">
        <v>33130</v>
      </c>
      <c r="I194">
        <v>96</v>
      </c>
      <c r="J194" t="s">
        <v>25</v>
      </c>
    </row>
    <row r="195" spans="1:10" x14ac:dyDescent="0.2">
      <c r="A195" s="1">
        <v>46052</v>
      </c>
      <c r="B195" t="s">
        <v>15</v>
      </c>
      <c r="C195" t="s">
        <v>28</v>
      </c>
      <c r="D195" t="s">
        <v>30</v>
      </c>
      <c r="E195">
        <v>102863</v>
      </c>
      <c r="F195">
        <v>4825</v>
      </c>
      <c r="G195">
        <v>820.26</v>
      </c>
      <c r="H195">
        <v>78989</v>
      </c>
      <c r="I195">
        <v>162</v>
      </c>
      <c r="J195" t="s">
        <v>25</v>
      </c>
    </row>
    <row r="196" spans="1:10" x14ac:dyDescent="0.2">
      <c r="A196" s="1">
        <v>46052</v>
      </c>
      <c r="B196" t="s">
        <v>18</v>
      </c>
      <c r="C196" t="s">
        <v>23</v>
      </c>
      <c r="D196" t="s">
        <v>24</v>
      </c>
      <c r="E196">
        <v>111385</v>
      </c>
      <c r="F196">
        <v>4403</v>
      </c>
      <c r="G196">
        <v>858.78</v>
      </c>
      <c r="H196">
        <v>83713</v>
      </c>
      <c r="I196">
        <v>144</v>
      </c>
      <c r="J196" t="s">
        <v>25</v>
      </c>
    </row>
    <row r="197" spans="1:10" x14ac:dyDescent="0.2">
      <c r="A197" s="1">
        <v>46052</v>
      </c>
      <c r="B197" t="s">
        <v>18</v>
      </c>
      <c r="C197" t="s">
        <v>26</v>
      </c>
      <c r="D197" t="s">
        <v>29</v>
      </c>
      <c r="E197">
        <v>90234</v>
      </c>
      <c r="F197">
        <v>3264</v>
      </c>
      <c r="G197">
        <v>522.48</v>
      </c>
      <c r="H197">
        <v>73249</v>
      </c>
      <c r="I197">
        <v>118</v>
      </c>
      <c r="J197" t="s">
        <v>25</v>
      </c>
    </row>
    <row r="198" spans="1:10" x14ac:dyDescent="0.2">
      <c r="A198" s="1">
        <v>46053</v>
      </c>
      <c r="B198" t="s">
        <v>10</v>
      </c>
      <c r="C198" t="s">
        <v>23</v>
      </c>
      <c r="D198" t="s">
        <v>29</v>
      </c>
      <c r="E198">
        <v>187972</v>
      </c>
      <c r="F198">
        <v>8010</v>
      </c>
      <c r="G198">
        <v>1543.5</v>
      </c>
      <c r="H198">
        <v>140654</v>
      </c>
      <c r="I198">
        <v>273</v>
      </c>
      <c r="J198" t="s">
        <v>25</v>
      </c>
    </row>
    <row r="199" spans="1:10" x14ac:dyDescent="0.2">
      <c r="A199" s="1">
        <v>46053</v>
      </c>
      <c r="B199" t="s">
        <v>10</v>
      </c>
      <c r="C199" t="s">
        <v>26</v>
      </c>
      <c r="D199" t="s">
        <v>24</v>
      </c>
      <c r="E199">
        <v>112462</v>
      </c>
      <c r="F199">
        <v>5364</v>
      </c>
      <c r="G199">
        <v>1056.68</v>
      </c>
      <c r="H199">
        <v>89044</v>
      </c>
      <c r="I199">
        <v>270</v>
      </c>
      <c r="J199" t="s">
        <v>25</v>
      </c>
    </row>
    <row r="200" spans="1:10" x14ac:dyDescent="0.2">
      <c r="A200" s="1">
        <v>46053</v>
      </c>
      <c r="B200" t="s">
        <v>15</v>
      </c>
      <c r="C200" t="s">
        <v>27</v>
      </c>
      <c r="D200" t="s">
        <v>24</v>
      </c>
      <c r="E200">
        <v>150186</v>
      </c>
      <c r="F200">
        <v>5956</v>
      </c>
      <c r="G200">
        <v>880.11</v>
      </c>
      <c r="H200">
        <v>121170</v>
      </c>
      <c r="I200">
        <v>209</v>
      </c>
      <c r="J200" t="s">
        <v>25</v>
      </c>
    </row>
    <row r="201" spans="1:10" x14ac:dyDescent="0.2">
      <c r="A201" s="1">
        <v>46053</v>
      </c>
      <c r="B201" t="s">
        <v>15</v>
      </c>
      <c r="C201" t="s">
        <v>28</v>
      </c>
      <c r="D201" t="s">
        <v>29</v>
      </c>
      <c r="E201">
        <v>142144</v>
      </c>
      <c r="F201">
        <v>5060</v>
      </c>
      <c r="G201">
        <v>814.74</v>
      </c>
      <c r="H201">
        <v>110490</v>
      </c>
      <c r="I201">
        <v>280</v>
      </c>
      <c r="J201" t="s">
        <v>25</v>
      </c>
    </row>
    <row r="202" spans="1:10" x14ac:dyDescent="0.2">
      <c r="A202" s="1">
        <v>46053</v>
      </c>
      <c r="B202" t="s">
        <v>19</v>
      </c>
      <c r="C202" t="s">
        <v>23</v>
      </c>
      <c r="D202" t="s">
        <v>24</v>
      </c>
      <c r="E202">
        <v>52934</v>
      </c>
      <c r="F202">
        <v>2482</v>
      </c>
      <c r="G202">
        <v>351.4</v>
      </c>
      <c r="H202">
        <v>43078</v>
      </c>
      <c r="I202">
        <v>94</v>
      </c>
      <c r="J202" t="s">
        <v>25</v>
      </c>
    </row>
    <row r="203" spans="1:10" x14ac:dyDescent="0.2">
      <c r="A203" s="1">
        <v>46053</v>
      </c>
      <c r="B203" t="s">
        <v>19</v>
      </c>
      <c r="C203" t="s">
        <v>26</v>
      </c>
      <c r="D203" t="s">
        <v>24</v>
      </c>
      <c r="E203">
        <v>174136</v>
      </c>
      <c r="F203">
        <v>7476</v>
      </c>
      <c r="G203">
        <v>1054.76</v>
      </c>
      <c r="H203">
        <v>135453</v>
      </c>
      <c r="I203">
        <v>326</v>
      </c>
      <c r="J203" t="s">
        <v>25</v>
      </c>
    </row>
    <row r="204" spans="1:10" x14ac:dyDescent="0.2">
      <c r="A204" s="1">
        <v>46053</v>
      </c>
      <c r="B204" t="s">
        <v>18</v>
      </c>
      <c r="C204" t="s">
        <v>23</v>
      </c>
      <c r="D204" t="s">
        <v>24</v>
      </c>
      <c r="E204">
        <v>176612</v>
      </c>
      <c r="F204">
        <v>6005</v>
      </c>
      <c r="G204">
        <v>1093.3900000000001</v>
      </c>
      <c r="H204">
        <v>138807</v>
      </c>
      <c r="I204">
        <v>212</v>
      </c>
      <c r="J204" t="s">
        <v>25</v>
      </c>
    </row>
    <row r="205" spans="1:10" x14ac:dyDescent="0.2">
      <c r="A205" s="1">
        <v>46053</v>
      </c>
      <c r="B205" t="s">
        <v>18</v>
      </c>
      <c r="C205" t="s">
        <v>26</v>
      </c>
      <c r="D205" t="s">
        <v>29</v>
      </c>
      <c r="E205">
        <v>161971</v>
      </c>
      <c r="F205">
        <v>7729</v>
      </c>
      <c r="G205">
        <v>1252.58</v>
      </c>
      <c r="H205">
        <v>120382</v>
      </c>
      <c r="I205">
        <v>348</v>
      </c>
      <c r="J205" t="s">
        <v>25</v>
      </c>
    </row>
    <row r="206" spans="1:10" x14ac:dyDescent="0.2">
      <c r="A206" s="1">
        <v>46054</v>
      </c>
      <c r="B206" t="s">
        <v>10</v>
      </c>
      <c r="C206" t="s">
        <v>23</v>
      </c>
      <c r="D206" t="s">
        <v>24</v>
      </c>
      <c r="E206">
        <v>92703</v>
      </c>
      <c r="F206">
        <v>3310</v>
      </c>
      <c r="G206">
        <v>580.29999999999995</v>
      </c>
      <c r="H206">
        <v>69272</v>
      </c>
      <c r="I206">
        <v>180</v>
      </c>
      <c r="J206" t="s">
        <v>25</v>
      </c>
    </row>
    <row r="207" spans="1:10" x14ac:dyDescent="0.2">
      <c r="A207" s="1">
        <v>46054</v>
      </c>
      <c r="B207" t="s">
        <v>10</v>
      </c>
      <c r="C207" t="s">
        <v>26</v>
      </c>
      <c r="D207" t="s">
        <v>24</v>
      </c>
      <c r="E207">
        <v>51732</v>
      </c>
      <c r="F207">
        <v>2378</v>
      </c>
      <c r="G207">
        <v>368.58</v>
      </c>
      <c r="H207">
        <v>37600</v>
      </c>
      <c r="I207">
        <v>80</v>
      </c>
      <c r="J207" t="s">
        <v>25</v>
      </c>
    </row>
    <row r="208" spans="1:10" x14ac:dyDescent="0.2">
      <c r="A208" s="1">
        <v>46054</v>
      </c>
      <c r="B208" t="s">
        <v>15</v>
      </c>
      <c r="C208" t="s">
        <v>27</v>
      </c>
      <c r="D208" t="s">
        <v>29</v>
      </c>
      <c r="E208">
        <v>82138</v>
      </c>
      <c r="F208">
        <v>2999</v>
      </c>
      <c r="G208">
        <v>476.38</v>
      </c>
      <c r="H208">
        <v>65077</v>
      </c>
      <c r="I208">
        <v>176</v>
      </c>
      <c r="J208" t="s">
        <v>25</v>
      </c>
    </row>
    <row r="209" spans="1:10" x14ac:dyDescent="0.2">
      <c r="A209" s="1">
        <v>46054</v>
      </c>
      <c r="B209" t="s">
        <v>15</v>
      </c>
      <c r="C209" t="s">
        <v>28</v>
      </c>
      <c r="D209" t="s">
        <v>29</v>
      </c>
      <c r="E209">
        <v>72802</v>
      </c>
      <c r="F209">
        <v>3035</v>
      </c>
      <c r="G209">
        <v>512.07000000000005</v>
      </c>
      <c r="H209">
        <v>53486</v>
      </c>
      <c r="I209">
        <v>104</v>
      </c>
      <c r="J209" t="s">
        <v>25</v>
      </c>
    </row>
    <row r="210" spans="1:10" x14ac:dyDescent="0.2">
      <c r="A210" s="1">
        <v>46054</v>
      </c>
      <c r="B210" t="s">
        <v>19</v>
      </c>
      <c r="C210" t="s">
        <v>23</v>
      </c>
      <c r="D210" t="s">
        <v>24</v>
      </c>
      <c r="E210">
        <v>148758</v>
      </c>
      <c r="F210">
        <v>5250</v>
      </c>
      <c r="G210">
        <v>957.16</v>
      </c>
      <c r="H210">
        <v>121626</v>
      </c>
      <c r="I210">
        <v>309</v>
      </c>
      <c r="J210" t="s">
        <v>25</v>
      </c>
    </row>
    <row r="211" spans="1:10" x14ac:dyDescent="0.2">
      <c r="A211" s="1">
        <v>46054</v>
      </c>
      <c r="B211" t="s">
        <v>19</v>
      </c>
      <c r="C211" t="s">
        <v>26</v>
      </c>
      <c r="D211" t="s">
        <v>29</v>
      </c>
      <c r="E211">
        <v>130388</v>
      </c>
      <c r="F211">
        <v>5660</v>
      </c>
      <c r="G211">
        <v>1112.1099999999999</v>
      </c>
      <c r="H211">
        <v>106086</v>
      </c>
      <c r="I211">
        <v>230</v>
      </c>
      <c r="J211" t="s">
        <v>25</v>
      </c>
    </row>
    <row r="212" spans="1:10" x14ac:dyDescent="0.2">
      <c r="A212" s="1">
        <v>46054</v>
      </c>
      <c r="B212" t="s">
        <v>20</v>
      </c>
      <c r="C212" t="s">
        <v>31</v>
      </c>
      <c r="D212" t="s">
        <v>24</v>
      </c>
      <c r="E212">
        <v>145675</v>
      </c>
      <c r="F212">
        <v>6742</v>
      </c>
      <c r="G212">
        <v>1072.8599999999999</v>
      </c>
      <c r="H212">
        <v>114350</v>
      </c>
      <c r="I212">
        <v>236</v>
      </c>
      <c r="J212" t="s">
        <v>25</v>
      </c>
    </row>
    <row r="213" spans="1:10" x14ac:dyDescent="0.2">
      <c r="A213" s="1">
        <v>46054</v>
      </c>
      <c r="B213" t="s">
        <v>20</v>
      </c>
      <c r="C213" t="s">
        <v>23</v>
      </c>
      <c r="D213" t="s">
        <v>24</v>
      </c>
      <c r="E213">
        <v>124387</v>
      </c>
      <c r="F213">
        <v>5384</v>
      </c>
      <c r="G213">
        <v>954.65</v>
      </c>
      <c r="H213">
        <v>93734</v>
      </c>
      <c r="I213">
        <v>205</v>
      </c>
      <c r="J213" t="s">
        <v>25</v>
      </c>
    </row>
    <row r="214" spans="1:10" x14ac:dyDescent="0.2">
      <c r="A214" s="1">
        <v>46055</v>
      </c>
      <c r="B214" t="s">
        <v>10</v>
      </c>
      <c r="C214" t="s">
        <v>23</v>
      </c>
      <c r="D214" t="s">
        <v>24</v>
      </c>
      <c r="E214">
        <v>103287</v>
      </c>
      <c r="F214">
        <v>3686</v>
      </c>
      <c r="G214">
        <v>680.12</v>
      </c>
      <c r="H214">
        <v>76979</v>
      </c>
      <c r="I214">
        <v>159</v>
      </c>
      <c r="J214" t="s">
        <v>25</v>
      </c>
    </row>
    <row r="215" spans="1:10" x14ac:dyDescent="0.2">
      <c r="A215" s="1">
        <v>46055</v>
      </c>
      <c r="B215" t="s">
        <v>10</v>
      </c>
      <c r="C215" t="s">
        <v>26</v>
      </c>
      <c r="D215" t="s">
        <v>24</v>
      </c>
      <c r="E215">
        <v>39701</v>
      </c>
      <c r="F215">
        <v>1891</v>
      </c>
      <c r="G215">
        <v>343.97</v>
      </c>
      <c r="H215">
        <v>31680</v>
      </c>
      <c r="I215">
        <v>86</v>
      </c>
      <c r="J215" t="s">
        <v>25</v>
      </c>
    </row>
    <row r="216" spans="1:10" x14ac:dyDescent="0.2">
      <c r="A216" s="1">
        <v>46055</v>
      </c>
      <c r="B216" t="s">
        <v>15</v>
      </c>
      <c r="C216" t="s">
        <v>27</v>
      </c>
      <c r="D216" t="s">
        <v>24</v>
      </c>
      <c r="E216">
        <v>37790</v>
      </c>
      <c r="F216">
        <v>1510</v>
      </c>
      <c r="G216">
        <v>214.46</v>
      </c>
      <c r="H216">
        <v>28469</v>
      </c>
      <c r="I216">
        <v>65</v>
      </c>
      <c r="J216" t="s">
        <v>25</v>
      </c>
    </row>
    <row r="217" spans="1:10" x14ac:dyDescent="0.2">
      <c r="A217" s="1">
        <v>46055</v>
      </c>
      <c r="B217" t="s">
        <v>15</v>
      </c>
      <c r="C217" t="s">
        <v>28</v>
      </c>
      <c r="D217" t="s">
        <v>30</v>
      </c>
      <c r="E217">
        <v>42827</v>
      </c>
      <c r="F217">
        <v>1561</v>
      </c>
      <c r="G217">
        <v>275.64999999999998</v>
      </c>
      <c r="H217">
        <v>33381</v>
      </c>
      <c r="I217">
        <v>90</v>
      </c>
      <c r="J217" t="s">
        <v>25</v>
      </c>
    </row>
    <row r="218" spans="1:10" x14ac:dyDescent="0.2">
      <c r="A218" s="1">
        <v>46055</v>
      </c>
      <c r="B218" t="s">
        <v>20</v>
      </c>
      <c r="C218" t="s">
        <v>31</v>
      </c>
      <c r="D218" t="s">
        <v>29</v>
      </c>
      <c r="E218">
        <v>93198</v>
      </c>
      <c r="F218">
        <v>3048</v>
      </c>
      <c r="G218">
        <v>464.34</v>
      </c>
      <c r="H218">
        <v>69165</v>
      </c>
      <c r="I218">
        <v>136</v>
      </c>
      <c r="J218" t="s">
        <v>25</v>
      </c>
    </row>
    <row r="219" spans="1:10" x14ac:dyDescent="0.2">
      <c r="A219" s="1">
        <v>46055</v>
      </c>
      <c r="B219" t="s">
        <v>20</v>
      </c>
      <c r="C219" t="s">
        <v>23</v>
      </c>
      <c r="D219" t="s">
        <v>24</v>
      </c>
      <c r="E219">
        <v>121560</v>
      </c>
      <c r="F219">
        <v>4483</v>
      </c>
      <c r="G219">
        <v>773.29</v>
      </c>
      <c r="H219">
        <v>92596</v>
      </c>
      <c r="I219">
        <v>146</v>
      </c>
      <c r="J219" t="s">
        <v>25</v>
      </c>
    </row>
    <row r="220" spans="1:10" x14ac:dyDescent="0.2">
      <c r="A220" s="1">
        <v>46056</v>
      </c>
      <c r="B220" t="s">
        <v>10</v>
      </c>
      <c r="C220" t="s">
        <v>23</v>
      </c>
      <c r="D220" t="s">
        <v>29</v>
      </c>
      <c r="E220">
        <v>69410</v>
      </c>
      <c r="F220">
        <v>3120</v>
      </c>
      <c r="G220">
        <v>547.42999999999995</v>
      </c>
      <c r="H220">
        <v>56282</v>
      </c>
      <c r="I220">
        <v>131</v>
      </c>
      <c r="J220" t="s">
        <v>25</v>
      </c>
    </row>
    <row r="221" spans="1:10" x14ac:dyDescent="0.2">
      <c r="A221" s="1">
        <v>46056</v>
      </c>
      <c r="B221" t="s">
        <v>10</v>
      </c>
      <c r="C221" t="s">
        <v>26</v>
      </c>
      <c r="D221" t="s">
        <v>30</v>
      </c>
      <c r="E221">
        <v>91039</v>
      </c>
      <c r="F221">
        <v>4053</v>
      </c>
      <c r="G221">
        <v>793.23</v>
      </c>
      <c r="H221">
        <v>73767</v>
      </c>
      <c r="I221">
        <v>227</v>
      </c>
      <c r="J221" t="s">
        <v>25</v>
      </c>
    </row>
    <row r="222" spans="1:10" x14ac:dyDescent="0.2">
      <c r="A222" s="1">
        <v>46056</v>
      </c>
      <c r="B222" t="s">
        <v>15</v>
      </c>
      <c r="C222" t="s">
        <v>27</v>
      </c>
      <c r="D222" t="s">
        <v>29</v>
      </c>
      <c r="E222">
        <v>129541</v>
      </c>
      <c r="F222">
        <v>6078</v>
      </c>
      <c r="G222">
        <v>955.74</v>
      </c>
      <c r="H222">
        <v>108672</v>
      </c>
      <c r="I222">
        <v>292</v>
      </c>
      <c r="J222" t="s">
        <v>25</v>
      </c>
    </row>
    <row r="223" spans="1:10" x14ac:dyDescent="0.2">
      <c r="A223" s="1">
        <v>46056</v>
      </c>
      <c r="B223" t="s">
        <v>15</v>
      </c>
      <c r="C223" t="s">
        <v>28</v>
      </c>
      <c r="D223" t="s">
        <v>29</v>
      </c>
      <c r="E223">
        <v>110052</v>
      </c>
      <c r="F223">
        <v>4788</v>
      </c>
      <c r="G223">
        <v>891.24</v>
      </c>
      <c r="H223">
        <v>82672</v>
      </c>
      <c r="I223">
        <v>291</v>
      </c>
      <c r="J223" t="s">
        <v>25</v>
      </c>
    </row>
    <row r="224" spans="1:10" x14ac:dyDescent="0.2">
      <c r="A224" s="1">
        <v>46056</v>
      </c>
      <c r="B224" t="s">
        <v>20</v>
      </c>
      <c r="C224" t="s">
        <v>31</v>
      </c>
      <c r="D224" t="s">
        <v>29</v>
      </c>
      <c r="E224">
        <v>132731</v>
      </c>
      <c r="F224">
        <v>6355</v>
      </c>
      <c r="G224">
        <v>980.54</v>
      </c>
      <c r="H224">
        <v>110024</v>
      </c>
      <c r="I224">
        <v>256</v>
      </c>
      <c r="J224" t="s">
        <v>25</v>
      </c>
    </row>
    <row r="225" spans="1:10" x14ac:dyDescent="0.2">
      <c r="A225" s="1">
        <v>46056</v>
      </c>
      <c r="B225" t="s">
        <v>20</v>
      </c>
      <c r="C225" t="s">
        <v>23</v>
      </c>
      <c r="D225" t="s">
        <v>24</v>
      </c>
      <c r="E225">
        <v>46211</v>
      </c>
      <c r="F225">
        <v>2217</v>
      </c>
      <c r="G225">
        <v>412.98</v>
      </c>
      <c r="H225">
        <v>34912</v>
      </c>
      <c r="I225">
        <v>108</v>
      </c>
      <c r="J225" t="s">
        <v>25</v>
      </c>
    </row>
    <row r="226" spans="1:10" x14ac:dyDescent="0.2">
      <c r="A226" s="1">
        <v>46057</v>
      </c>
      <c r="B226" t="s">
        <v>10</v>
      </c>
      <c r="C226" t="s">
        <v>23</v>
      </c>
      <c r="D226" t="s">
        <v>24</v>
      </c>
      <c r="E226">
        <v>115681</v>
      </c>
      <c r="F226">
        <v>4209</v>
      </c>
      <c r="G226">
        <v>657.13</v>
      </c>
      <c r="H226">
        <v>86767</v>
      </c>
      <c r="I226">
        <v>217</v>
      </c>
      <c r="J226" t="s">
        <v>25</v>
      </c>
    </row>
    <row r="227" spans="1:10" x14ac:dyDescent="0.2">
      <c r="A227" s="1">
        <v>46057</v>
      </c>
      <c r="B227" t="s">
        <v>10</v>
      </c>
      <c r="C227" t="s">
        <v>26</v>
      </c>
      <c r="D227" t="s">
        <v>24</v>
      </c>
      <c r="E227">
        <v>51293</v>
      </c>
      <c r="F227">
        <v>1893</v>
      </c>
      <c r="G227">
        <v>340.07</v>
      </c>
      <c r="H227">
        <v>42076</v>
      </c>
      <c r="I227">
        <v>108</v>
      </c>
      <c r="J227" t="s">
        <v>25</v>
      </c>
    </row>
    <row r="228" spans="1:10" x14ac:dyDescent="0.2">
      <c r="A228" s="1">
        <v>46057</v>
      </c>
      <c r="B228" t="s">
        <v>15</v>
      </c>
      <c r="C228" t="s">
        <v>27</v>
      </c>
      <c r="D228" t="s">
        <v>29</v>
      </c>
      <c r="E228">
        <v>95650</v>
      </c>
      <c r="F228">
        <v>3087</v>
      </c>
      <c r="G228">
        <v>433.82</v>
      </c>
      <c r="H228">
        <v>69292</v>
      </c>
      <c r="I228">
        <v>132</v>
      </c>
      <c r="J228" t="s">
        <v>25</v>
      </c>
    </row>
    <row r="229" spans="1:10" x14ac:dyDescent="0.2">
      <c r="A229" s="1">
        <v>46057</v>
      </c>
      <c r="B229" t="s">
        <v>15</v>
      </c>
      <c r="C229" t="s">
        <v>28</v>
      </c>
      <c r="D229" t="s">
        <v>30</v>
      </c>
      <c r="E229">
        <v>88557</v>
      </c>
      <c r="F229">
        <v>2916</v>
      </c>
      <c r="G229">
        <v>572.5</v>
      </c>
      <c r="H229">
        <v>66698</v>
      </c>
      <c r="I229">
        <v>146</v>
      </c>
      <c r="J229" t="s">
        <v>25</v>
      </c>
    </row>
    <row r="230" spans="1:10" x14ac:dyDescent="0.2">
      <c r="A230" s="1">
        <v>46057</v>
      </c>
      <c r="B230" t="s">
        <v>20</v>
      </c>
      <c r="C230" t="s">
        <v>31</v>
      </c>
      <c r="D230" t="s">
        <v>29</v>
      </c>
      <c r="E230">
        <v>43394</v>
      </c>
      <c r="F230">
        <v>1694</v>
      </c>
      <c r="G230">
        <v>263.38</v>
      </c>
      <c r="H230">
        <v>35340</v>
      </c>
      <c r="I230">
        <v>67</v>
      </c>
      <c r="J230" t="s">
        <v>25</v>
      </c>
    </row>
    <row r="231" spans="1:10" x14ac:dyDescent="0.2">
      <c r="A231" s="1">
        <v>46057</v>
      </c>
      <c r="B231" t="s">
        <v>20</v>
      </c>
      <c r="C231" t="s">
        <v>23</v>
      </c>
      <c r="D231" t="s">
        <v>24</v>
      </c>
      <c r="E231">
        <v>51675</v>
      </c>
      <c r="F231">
        <v>1841</v>
      </c>
      <c r="G231">
        <v>277.01</v>
      </c>
      <c r="H231">
        <v>42608</v>
      </c>
      <c r="I231">
        <v>95</v>
      </c>
      <c r="J231" t="s">
        <v>25</v>
      </c>
    </row>
    <row r="232" spans="1:10" x14ac:dyDescent="0.2">
      <c r="A232" s="1">
        <v>46058</v>
      </c>
      <c r="B232" t="s">
        <v>10</v>
      </c>
      <c r="C232" t="s">
        <v>23</v>
      </c>
      <c r="D232" t="s">
        <v>24</v>
      </c>
      <c r="E232">
        <v>50000</v>
      </c>
      <c r="F232">
        <v>2123</v>
      </c>
      <c r="G232">
        <v>320.69</v>
      </c>
      <c r="H232">
        <v>39040</v>
      </c>
      <c r="I232">
        <v>95</v>
      </c>
      <c r="J232" t="s">
        <v>25</v>
      </c>
    </row>
    <row r="233" spans="1:10" x14ac:dyDescent="0.2">
      <c r="A233" s="1">
        <v>46058</v>
      </c>
      <c r="B233" t="s">
        <v>10</v>
      </c>
      <c r="C233" t="s">
        <v>26</v>
      </c>
      <c r="D233" t="s">
        <v>30</v>
      </c>
      <c r="E233">
        <v>40499</v>
      </c>
      <c r="F233">
        <v>1654</v>
      </c>
      <c r="G233">
        <v>254.18</v>
      </c>
      <c r="H233">
        <v>33784</v>
      </c>
      <c r="I233">
        <v>102</v>
      </c>
      <c r="J233" t="s">
        <v>25</v>
      </c>
    </row>
    <row r="234" spans="1:10" x14ac:dyDescent="0.2">
      <c r="A234" s="1">
        <v>46058</v>
      </c>
      <c r="B234" t="s">
        <v>15</v>
      </c>
      <c r="C234" t="s">
        <v>27</v>
      </c>
      <c r="D234" t="s">
        <v>29</v>
      </c>
      <c r="E234">
        <v>37112</v>
      </c>
      <c r="F234">
        <v>1590</v>
      </c>
      <c r="G234">
        <v>304.39999999999998</v>
      </c>
      <c r="H234">
        <v>28294</v>
      </c>
      <c r="I234">
        <v>85</v>
      </c>
      <c r="J234" t="s">
        <v>25</v>
      </c>
    </row>
    <row r="235" spans="1:10" x14ac:dyDescent="0.2">
      <c r="A235" s="1">
        <v>46058</v>
      </c>
      <c r="B235" t="s">
        <v>15</v>
      </c>
      <c r="C235" t="s">
        <v>28</v>
      </c>
      <c r="D235" t="s">
        <v>30</v>
      </c>
      <c r="E235">
        <v>80839</v>
      </c>
      <c r="F235">
        <v>2728</v>
      </c>
      <c r="G235">
        <v>464.9</v>
      </c>
      <c r="H235">
        <v>59302</v>
      </c>
      <c r="I235">
        <v>93</v>
      </c>
      <c r="J235" t="s">
        <v>25</v>
      </c>
    </row>
    <row r="236" spans="1:10" x14ac:dyDescent="0.2">
      <c r="A236" s="1">
        <v>46058</v>
      </c>
      <c r="B236" t="s">
        <v>20</v>
      </c>
      <c r="C236" t="s">
        <v>31</v>
      </c>
      <c r="D236" t="s">
        <v>24</v>
      </c>
      <c r="E236">
        <v>77701</v>
      </c>
      <c r="F236">
        <v>3195</v>
      </c>
      <c r="G236">
        <v>606.25</v>
      </c>
      <c r="H236">
        <v>62294</v>
      </c>
      <c r="I236">
        <v>109</v>
      </c>
      <c r="J236" t="s">
        <v>25</v>
      </c>
    </row>
    <row r="237" spans="1:10" x14ac:dyDescent="0.2">
      <c r="A237" s="1">
        <v>46058</v>
      </c>
      <c r="B237" t="s">
        <v>20</v>
      </c>
      <c r="C237" t="s">
        <v>23</v>
      </c>
      <c r="D237" t="s">
        <v>24</v>
      </c>
      <c r="E237">
        <v>72104</v>
      </c>
      <c r="F237">
        <v>2472</v>
      </c>
      <c r="G237">
        <v>394.51</v>
      </c>
      <c r="H237">
        <v>58734</v>
      </c>
      <c r="I237">
        <v>103</v>
      </c>
      <c r="J237" t="s">
        <v>25</v>
      </c>
    </row>
    <row r="238" spans="1:10" x14ac:dyDescent="0.2">
      <c r="A238" s="1">
        <v>46059</v>
      </c>
      <c r="B238" t="s">
        <v>10</v>
      </c>
      <c r="C238" t="s">
        <v>23</v>
      </c>
      <c r="D238" t="s">
        <v>29</v>
      </c>
      <c r="E238">
        <v>120456</v>
      </c>
      <c r="F238">
        <v>4576</v>
      </c>
      <c r="G238">
        <v>899.41</v>
      </c>
      <c r="H238">
        <v>90978</v>
      </c>
      <c r="I238">
        <v>150</v>
      </c>
      <c r="J238" t="s">
        <v>25</v>
      </c>
    </row>
    <row r="239" spans="1:10" x14ac:dyDescent="0.2">
      <c r="A239" s="1">
        <v>46059</v>
      </c>
      <c r="B239" t="s">
        <v>10</v>
      </c>
      <c r="C239" t="s">
        <v>26</v>
      </c>
      <c r="D239" t="s">
        <v>30</v>
      </c>
      <c r="E239">
        <v>40847</v>
      </c>
      <c r="F239">
        <v>1497</v>
      </c>
      <c r="G239">
        <v>223.06</v>
      </c>
      <c r="H239">
        <v>32307</v>
      </c>
      <c r="I239">
        <v>52</v>
      </c>
      <c r="J239" t="s">
        <v>25</v>
      </c>
    </row>
    <row r="240" spans="1:10" x14ac:dyDescent="0.2">
      <c r="A240" s="1">
        <v>46059</v>
      </c>
      <c r="B240" t="s">
        <v>15</v>
      </c>
      <c r="C240" t="s">
        <v>27</v>
      </c>
      <c r="D240" t="s">
        <v>24</v>
      </c>
      <c r="E240">
        <v>76039</v>
      </c>
      <c r="F240">
        <v>3054</v>
      </c>
      <c r="G240">
        <v>570.65</v>
      </c>
      <c r="H240">
        <v>59385</v>
      </c>
      <c r="I240">
        <v>151</v>
      </c>
      <c r="J240" t="s">
        <v>25</v>
      </c>
    </row>
    <row r="241" spans="1:10" x14ac:dyDescent="0.2">
      <c r="A241" s="1">
        <v>46059</v>
      </c>
      <c r="B241" t="s">
        <v>15</v>
      </c>
      <c r="C241" t="s">
        <v>28</v>
      </c>
      <c r="D241" t="s">
        <v>29</v>
      </c>
      <c r="E241">
        <v>63163</v>
      </c>
      <c r="F241">
        <v>2404</v>
      </c>
      <c r="G241">
        <v>420.61</v>
      </c>
      <c r="H241">
        <v>50457</v>
      </c>
      <c r="I241">
        <v>87</v>
      </c>
      <c r="J241" t="s">
        <v>25</v>
      </c>
    </row>
    <row r="242" spans="1:10" x14ac:dyDescent="0.2">
      <c r="A242" s="1">
        <v>46059</v>
      </c>
      <c r="B242" t="s">
        <v>20</v>
      </c>
      <c r="C242" t="s">
        <v>31</v>
      </c>
      <c r="D242" t="s">
        <v>24</v>
      </c>
      <c r="E242">
        <v>45133</v>
      </c>
      <c r="F242">
        <v>2136</v>
      </c>
      <c r="G242">
        <v>426.22</v>
      </c>
      <c r="H242">
        <v>35557</v>
      </c>
      <c r="I242">
        <v>132</v>
      </c>
      <c r="J242" t="s">
        <v>25</v>
      </c>
    </row>
    <row r="243" spans="1:10" x14ac:dyDescent="0.2">
      <c r="A243" s="1">
        <v>46059</v>
      </c>
      <c r="B243" t="s">
        <v>20</v>
      </c>
      <c r="C243" t="s">
        <v>23</v>
      </c>
      <c r="D243" t="s">
        <v>24</v>
      </c>
      <c r="E243">
        <v>105643</v>
      </c>
      <c r="F243">
        <v>4619</v>
      </c>
      <c r="G243">
        <v>881.56</v>
      </c>
      <c r="H243">
        <v>82753</v>
      </c>
      <c r="I243">
        <v>154</v>
      </c>
      <c r="J243" t="s">
        <v>25</v>
      </c>
    </row>
    <row r="244" spans="1:10" x14ac:dyDescent="0.2">
      <c r="A244" s="1">
        <v>46060</v>
      </c>
      <c r="B244" t="s">
        <v>10</v>
      </c>
      <c r="C244" t="s">
        <v>23</v>
      </c>
      <c r="D244" t="s">
        <v>29</v>
      </c>
      <c r="E244">
        <v>169962</v>
      </c>
      <c r="F244">
        <v>6864</v>
      </c>
      <c r="G244">
        <v>1142.5899999999999</v>
      </c>
      <c r="H244">
        <v>127862</v>
      </c>
      <c r="I244">
        <v>391</v>
      </c>
      <c r="J244" t="s">
        <v>25</v>
      </c>
    </row>
    <row r="245" spans="1:10" x14ac:dyDescent="0.2">
      <c r="A245" s="1">
        <v>46060</v>
      </c>
      <c r="B245" t="s">
        <v>10</v>
      </c>
      <c r="C245" t="s">
        <v>26</v>
      </c>
      <c r="D245" t="s">
        <v>30</v>
      </c>
      <c r="E245">
        <v>93779</v>
      </c>
      <c r="F245">
        <v>3494</v>
      </c>
      <c r="G245">
        <v>656.66</v>
      </c>
      <c r="H245">
        <v>78520</v>
      </c>
      <c r="I245">
        <v>136</v>
      </c>
      <c r="J245" t="s">
        <v>25</v>
      </c>
    </row>
    <row r="246" spans="1:10" x14ac:dyDescent="0.2">
      <c r="A246" s="1">
        <v>46060</v>
      </c>
      <c r="B246" t="s">
        <v>15</v>
      </c>
      <c r="C246" t="s">
        <v>27</v>
      </c>
      <c r="D246" t="s">
        <v>29</v>
      </c>
      <c r="E246">
        <v>186292</v>
      </c>
      <c r="F246">
        <v>8859</v>
      </c>
      <c r="G246">
        <v>1608.66</v>
      </c>
      <c r="H246">
        <v>144078</v>
      </c>
      <c r="I246">
        <v>537</v>
      </c>
      <c r="J246" t="s">
        <v>25</v>
      </c>
    </row>
    <row r="247" spans="1:10" x14ac:dyDescent="0.2">
      <c r="A247" s="1">
        <v>46060</v>
      </c>
      <c r="B247" t="s">
        <v>15</v>
      </c>
      <c r="C247" t="s">
        <v>28</v>
      </c>
      <c r="D247" t="s">
        <v>29</v>
      </c>
      <c r="E247">
        <v>115404</v>
      </c>
      <c r="F247">
        <v>3840</v>
      </c>
      <c r="G247">
        <v>666.73</v>
      </c>
      <c r="H247">
        <v>84149</v>
      </c>
      <c r="I247">
        <v>164</v>
      </c>
      <c r="J247" t="s">
        <v>25</v>
      </c>
    </row>
    <row r="248" spans="1:10" x14ac:dyDescent="0.2">
      <c r="A248" s="1">
        <v>46060</v>
      </c>
      <c r="B248" t="s">
        <v>19</v>
      </c>
      <c r="C248" t="s">
        <v>23</v>
      </c>
      <c r="D248" t="s">
        <v>24</v>
      </c>
      <c r="E248">
        <v>160057</v>
      </c>
      <c r="F248">
        <v>5711</v>
      </c>
      <c r="G248">
        <v>1068.97</v>
      </c>
      <c r="H248">
        <v>119654</v>
      </c>
      <c r="I248">
        <v>324</v>
      </c>
      <c r="J248" t="s">
        <v>25</v>
      </c>
    </row>
    <row r="249" spans="1:10" x14ac:dyDescent="0.2">
      <c r="A249" s="1">
        <v>46060</v>
      </c>
      <c r="B249" t="s">
        <v>19</v>
      </c>
      <c r="C249" t="s">
        <v>26</v>
      </c>
      <c r="D249" t="s">
        <v>29</v>
      </c>
      <c r="E249">
        <v>147652</v>
      </c>
      <c r="F249">
        <v>5303</v>
      </c>
      <c r="G249">
        <v>1031.73</v>
      </c>
      <c r="H249">
        <v>118253</v>
      </c>
      <c r="I249">
        <v>275</v>
      </c>
      <c r="J249" t="s">
        <v>25</v>
      </c>
    </row>
    <row r="250" spans="1:10" x14ac:dyDescent="0.2">
      <c r="A250" s="1">
        <v>46060</v>
      </c>
      <c r="B250" t="s">
        <v>20</v>
      </c>
      <c r="C250" t="s">
        <v>31</v>
      </c>
      <c r="D250" t="s">
        <v>29</v>
      </c>
      <c r="E250">
        <v>101642</v>
      </c>
      <c r="F250">
        <v>3808</v>
      </c>
      <c r="G250">
        <v>560.07000000000005</v>
      </c>
      <c r="H250">
        <v>78164</v>
      </c>
      <c r="I250">
        <v>179</v>
      </c>
      <c r="J250" t="s">
        <v>25</v>
      </c>
    </row>
    <row r="251" spans="1:10" x14ac:dyDescent="0.2">
      <c r="A251" s="1">
        <v>46060</v>
      </c>
      <c r="B251" t="s">
        <v>20</v>
      </c>
      <c r="C251" t="s">
        <v>23</v>
      </c>
      <c r="D251" t="s">
        <v>24</v>
      </c>
      <c r="E251">
        <v>154698</v>
      </c>
      <c r="F251">
        <v>6173</v>
      </c>
      <c r="G251">
        <v>1190.69</v>
      </c>
      <c r="H251">
        <v>115060</v>
      </c>
      <c r="I251">
        <v>230</v>
      </c>
      <c r="J251" t="s">
        <v>25</v>
      </c>
    </row>
    <row r="252" spans="1:10" x14ac:dyDescent="0.2">
      <c r="A252" s="1">
        <v>46061</v>
      </c>
      <c r="B252" t="s">
        <v>10</v>
      </c>
      <c r="C252" t="s">
        <v>23</v>
      </c>
      <c r="D252" t="s">
        <v>29</v>
      </c>
      <c r="E252">
        <v>51846</v>
      </c>
      <c r="F252">
        <v>1797</v>
      </c>
      <c r="G252">
        <v>296.72000000000003</v>
      </c>
      <c r="H252">
        <v>42091</v>
      </c>
      <c r="I252">
        <v>95</v>
      </c>
      <c r="J252" t="s">
        <v>25</v>
      </c>
    </row>
    <row r="253" spans="1:10" x14ac:dyDescent="0.2">
      <c r="A253" s="1">
        <v>46061</v>
      </c>
      <c r="B253" t="s">
        <v>10</v>
      </c>
      <c r="C253" t="s">
        <v>26</v>
      </c>
      <c r="D253" t="s">
        <v>30</v>
      </c>
      <c r="E253">
        <v>185313</v>
      </c>
      <c r="F253">
        <v>6229</v>
      </c>
      <c r="G253">
        <v>1197.01</v>
      </c>
      <c r="H253">
        <v>151968</v>
      </c>
      <c r="I253">
        <v>203</v>
      </c>
      <c r="J253" t="s">
        <v>25</v>
      </c>
    </row>
    <row r="254" spans="1:10" x14ac:dyDescent="0.2">
      <c r="A254" s="1">
        <v>46061</v>
      </c>
      <c r="B254" t="s">
        <v>15</v>
      </c>
      <c r="C254" t="s">
        <v>27</v>
      </c>
      <c r="D254" t="s">
        <v>24</v>
      </c>
      <c r="E254">
        <v>62397</v>
      </c>
      <c r="F254">
        <v>2128</v>
      </c>
      <c r="G254">
        <v>408.6</v>
      </c>
      <c r="H254">
        <v>51804</v>
      </c>
      <c r="I254">
        <v>125</v>
      </c>
      <c r="J254" t="s">
        <v>25</v>
      </c>
    </row>
    <row r="255" spans="1:10" x14ac:dyDescent="0.2">
      <c r="A255" s="1">
        <v>46061</v>
      </c>
      <c r="B255" t="s">
        <v>15</v>
      </c>
      <c r="C255" t="s">
        <v>28</v>
      </c>
      <c r="D255" t="s">
        <v>29</v>
      </c>
      <c r="E255">
        <v>72387</v>
      </c>
      <c r="F255">
        <v>2782</v>
      </c>
      <c r="G255">
        <v>482.44</v>
      </c>
      <c r="H255">
        <v>58303</v>
      </c>
      <c r="I255">
        <v>98</v>
      </c>
      <c r="J255" t="s">
        <v>25</v>
      </c>
    </row>
    <row r="256" spans="1:10" x14ac:dyDescent="0.2">
      <c r="A256" s="1">
        <v>46061</v>
      </c>
      <c r="B256" t="s">
        <v>19</v>
      </c>
      <c r="C256" t="s">
        <v>23</v>
      </c>
      <c r="D256" t="s">
        <v>24</v>
      </c>
      <c r="E256">
        <v>157536</v>
      </c>
      <c r="F256">
        <v>6575</v>
      </c>
      <c r="G256">
        <v>963.02</v>
      </c>
      <c r="H256">
        <v>127078</v>
      </c>
      <c r="I256">
        <v>224</v>
      </c>
      <c r="J256" t="s">
        <v>25</v>
      </c>
    </row>
    <row r="257" spans="1:10" x14ac:dyDescent="0.2">
      <c r="A257" s="1">
        <v>46061</v>
      </c>
      <c r="B257" t="s">
        <v>19</v>
      </c>
      <c r="C257" t="s">
        <v>26</v>
      </c>
      <c r="D257" t="s">
        <v>24</v>
      </c>
      <c r="E257">
        <v>131371</v>
      </c>
      <c r="F257">
        <v>6118</v>
      </c>
      <c r="G257">
        <v>1088.0899999999999</v>
      </c>
      <c r="H257">
        <v>106263</v>
      </c>
      <c r="I257">
        <v>275</v>
      </c>
      <c r="J257" t="s">
        <v>25</v>
      </c>
    </row>
    <row r="258" spans="1:10" x14ac:dyDescent="0.2">
      <c r="A258" s="1">
        <v>46061</v>
      </c>
      <c r="B258" t="s">
        <v>20</v>
      </c>
      <c r="C258" t="s">
        <v>31</v>
      </c>
      <c r="D258" t="s">
        <v>29</v>
      </c>
      <c r="E258">
        <v>177471</v>
      </c>
      <c r="F258">
        <v>6061</v>
      </c>
      <c r="G258">
        <v>915.25</v>
      </c>
      <c r="H258">
        <v>144091</v>
      </c>
      <c r="I258">
        <v>360</v>
      </c>
      <c r="J258" t="s">
        <v>25</v>
      </c>
    </row>
    <row r="259" spans="1:10" x14ac:dyDescent="0.2">
      <c r="A259" s="1">
        <v>46061</v>
      </c>
      <c r="B259" t="s">
        <v>20</v>
      </c>
      <c r="C259" t="s">
        <v>23</v>
      </c>
      <c r="D259" t="s">
        <v>24</v>
      </c>
      <c r="E259">
        <v>76938</v>
      </c>
      <c r="F259">
        <v>3564</v>
      </c>
      <c r="G259">
        <v>625.89</v>
      </c>
      <c r="H259">
        <v>58810</v>
      </c>
      <c r="I259">
        <v>183</v>
      </c>
      <c r="J259" t="s">
        <v>25</v>
      </c>
    </row>
    <row r="260" spans="1:10" x14ac:dyDescent="0.2">
      <c r="A260" s="1">
        <v>46062</v>
      </c>
      <c r="B260" t="s">
        <v>10</v>
      </c>
      <c r="C260" t="s">
        <v>23</v>
      </c>
      <c r="D260" t="s">
        <v>29</v>
      </c>
      <c r="E260">
        <v>123200</v>
      </c>
      <c r="F260">
        <v>4806</v>
      </c>
      <c r="G260">
        <v>819.52</v>
      </c>
      <c r="H260">
        <v>97398</v>
      </c>
      <c r="I260">
        <v>290</v>
      </c>
      <c r="J260" t="s">
        <v>25</v>
      </c>
    </row>
    <row r="261" spans="1:10" x14ac:dyDescent="0.2">
      <c r="A261" s="1">
        <v>46062</v>
      </c>
      <c r="B261" t="s">
        <v>10</v>
      </c>
      <c r="C261" t="s">
        <v>26</v>
      </c>
      <c r="D261" t="s">
        <v>24</v>
      </c>
      <c r="E261">
        <v>104708</v>
      </c>
      <c r="F261">
        <v>3848</v>
      </c>
      <c r="G261">
        <v>617.48</v>
      </c>
      <c r="H261">
        <v>82478</v>
      </c>
      <c r="I261">
        <v>226</v>
      </c>
      <c r="J261" t="s">
        <v>25</v>
      </c>
    </row>
    <row r="262" spans="1:10" x14ac:dyDescent="0.2">
      <c r="A262" s="1">
        <v>46062</v>
      </c>
      <c r="B262" t="s">
        <v>15</v>
      </c>
      <c r="C262" t="s">
        <v>27</v>
      </c>
      <c r="D262" t="s">
        <v>29</v>
      </c>
      <c r="E262">
        <v>115822</v>
      </c>
      <c r="F262">
        <v>4304</v>
      </c>
      <c r="G262">
        <v>684.83</v>
      </c>
      <c r="H262">
        <v>85871</v>
      </c>
      <c r="I262">
        <v>156</v>
      </c>
      <c r="J262" t="s">
        <v>25</v>
      </c>
    </row>
    <row r="263" spans="1:10" x14ac:dyDescent="0.2">
      <c r="A263" s="1">
        <v>46062</v>
      </c>
      <c r="B263" t="s">
        <v>15</v>
      </c>
      <c r="C263" t="s">
        <v>28</v>
      </c>
      <c r="D263" t="s">
        <v>30</v>
      </c>
      <c r="E263">
        <v>146289</v>
      </c>
      <c r="F263">
        <v>5896</v>
      </c>
      <c r="G263">
        <v>1028.9000000000001</v>
      </c>
      <c r="H263">
        <v>116132</v>
      </c>
      <c r="I263">
        <v>206</v>
      </c>
      <c r="J263" t="s">
        <v>25</v>
      </c>
    </row>
    <row r="264" spans="1:10" x14ac:dyDescent="0.2">
      <c r="A264" s="1">
        <v>46062</v>
      </c>
      <c r="B264" t="s">
        <v>20</v>
      </c>
      <c r="C264" t="s">
        <v>31</v>
      </c>
      <c r="D264" t="s">
        <v>29</v>
      </c>
      <c r="E264">
        <v>90726</v>
      </c>
      <c r="F264">
        <v>3075</v>
      </c>
      <c r="G264">
        <v>481.03</v>
      </c>
      <c r="H264">
        <v>70101</v>
      </c>
      <c r="I264">
        <v>180</v>
      </c>
      <c r="J264" t="s">
        <v>25</v>
      </c>
    </row>
    <row r="265" spans="1:10" x14ac:dyDescent="0.2">
      <c r="A265" s="1">
        <v>46062</v>
      </c>
      <c r="B265" t="s">
        <v>20</v>
      </c>
      <c r="C265" t="s">
        <v>23</v>
      </c>
      <c r="D265" t="s">
        <v>24</v>
      </c>
      <c r="E265">
        <v>110404</v>
      </c>
      <c r="F265">
        <v>5279</v>
      </c>
      <c r="G265">
        <v>977.71</v>
      </c>
      <c r="H265">
        <v>91739</v>
      </c>
      <c r="I265">
        <v>274</v>
      </c>
      <c r="J265" t="s">
        <v>25</v>
      </c>
    </row>
    <row r="266" spans="1:10" x14ac:dyDescent="0.2">
      <c r="A266" s="1">
        <v>46063</v>
      </c>
      <c r="B266" t="s">
        <v>10</v>
      </c>
      <c r="C266" t="s">
        <v>23</v>
      </c>
      <c r="D266" t="s">
        <v>24</v>
      </c>
      <c r="E266">
        <v>76126</v>
      </c>
      <c r="F266">
        <v>2687</v>
      </c>
      <c r="G266">
        <v>511.41</v>
      </c>
      <c r="H266">
        <v>61706</v>
      </c>
      <c r="I266">
        <v>88</v>
      </c>
      <c r="J266" t="s">
        <v>25</v>
      </c>
    </row>
    <row r="267" spans="1:10" x14ac:dyDescent="0.2">
      <c r="A267" s="1">
        <v>46063</v>
      </c>
      <c r="B267" t="s">
        <v>10</v>
      </c>
      <c r="C267" t="s">
        <v>26</v>
      </c>
      <c r="D267" t="s">
        <v>24</v>
      </c>
      <c r="E267">
        <v>169209</v>
      </c>
      <c r="F267">
        <v>6871</v>
      </c>
      <c r="G267">
        <v>1042.3900000000001</v>
      </c>
      <c r="H267">
        <v>131746</v>
      </c>
      <c r="I267">
        <v>389</v>
      </c>
      <c r="J267" t="s">
        <v>25</v>
      </c>
    </row>
    <row r="268" spans="1:10" x14ac:dyDescent="0.2">
      <c r="A268" s="1">
        <v>46063</v>
      </c>
      <c r="B268" t="s">
        <v>15</v>
      </c>
      <c r="C268" t="s">
        <v>27</v>
      </c>
      <c r="D268" t="s">
        <v>29</v>
      </c>
      <c r="E268">
        <v>98601</v>
      </c>
      <c r="F268">
        <v>3599</v>
      </c>
      <c r="G268">
        <v>708.55</v>
      </c>
      <c r="H268">
        <v>76039</v>
      </c>
      <c r="I268">
        <v>163</v>
      </c>
      <c r="J268" t="s">
        <v>25</v>
      </c>
    </row>
    <row r="269" spans="1:10" x14ac:dyDescent="0.2">
      <c r="A269" s="1">
        <v>46063</v>
      </c>
      <c r="B269" t="s">
        <v>15</v>
      </c>
      <c r="C269" t="s">
        <v>28</v>
      </c>
      <c r="D269" t="s">
        <v>30</v>
      </c>
      <c r="E269">
        <v>151177</v>
      </c>
      <c r="F269">
        <v>5551</v>
      </c>
      <c r="G269">
        <v>813.65</v>
      </c>
      <c r="H269">
        <v>121661</v>
      </c>
      <c r="I269">
        <v>318</v>
      </c>
      <c r="J269" t="s">
        <v>25</v>
      </c>
    </row>
    <row r="270" spans="1:10" x14ac:dyDescent="0.2">
      <c r="A270" s="1">
        <v>46063</v>
      </c>
      <c r="B270" t="s">
        <v>20</v>
      </c>
      <c r="C270" t="s">
        <v>31</v>
      </c>
      <c r="D270" t="s">
        <v>29</v>
      </c>
      <c r="E270">
        <v>146651</v>
      </c>
      <c r="F270">
        <v>5850</v>
      </c>
      <c r="G270">
        <v>849.49</v>
      </c>
      <c r="H270">
        <v>107996</v>
      </c>
      <c r="I270">
        <v>236</v>
      </c>
      <c r="J270" t="s">
        <v>25</v>
      </c>
    </row>
    <row r="271" spans="1:10" x14ac:dyDescent="0.2">
      <c r="A271" s="1">
        <v>46063</v>
      </c>
      <c r="B271" t="s">
        <v>20</v>
      </c>
      <c r="C271" t="s">
        <v>23</v>
      </c>
      <c r="D271" t="s">
        <v>24</v>
      </c>
      <c r="E271">
        <v>130179</v>
      </c>
      <c r="F271">
        <v>5839</v>
      </c>
      <c r="G271">
        <v>1078.21</v>
      </c>
      <c r="H271">
        <v>97203</v>
      </c>
      <c r="I271">
        <v>199</v>
      </c>
      <c r="J271" t="s">
        <v>25</v>
      </c>
    </row>
    <row r="272" spans="1:10" x14ac:dyDescent="0.2">
      <c r="A272" s="1">
        <v>46064</v>
      </c>
      <c r="B272" t="s">
        <v>10</v>
      </c>
      <c r="C272" t="s">
        <v>23</v>
      </c>
      <c r="D272" t="s">
        <v>24</v>
      </c>
      <c r="E272">
        <v>162337</v>
      </c>
      <c r="F272">
        <v>6065</v>
      </c>
      <c r="G272">
        <v>1014.12</v>
      </c>
      <c r="H272">
        <v>131210</v>
      </c>
      <c r="I272">
        <v>316</v>
      </c>
      <c r="J272" t="s">
        <v>25</v>
      </c>
    </row>
    <row r="273" spans="1:10" x14ac:dyDescent="0.2">
      <c r="A273" s="1">
        <v>46064</v>
      </c>
      <c r="B273" t="s">
        <v>10</v>
      </c>
      <c r="C273" t="s">
        <v>26</v>
      </c>
      <c r="D273" t="s">
        <v>24</v>
      </c>
      <c r="E273">
        <v>204227</v>
      </c>
      <c r="F273">
        <v>8783</v>
      </c>
      <c r="G273">
        <v>1699.83</v>
      </c>
      <c r="H273">
        <v>147983</v>
      </c>
      <c r="I273">
        <v>307</v>
      </c>
      <c r="J273" t="s">
        <v>25</v>
      </c>
    </row>
    <row r="274" spans="1:10" x14ac:dyDescent="0.2">
      <c r="A274" s="1">
        <v>46064</v>
      </c>
      <c r="B274" t="s">
        <v>15</v>
      </c>
      <c r="C274" t="s">
        <v>27</v>
      </c>
      <c r="D274" t="s">
        <v>29</v>
      </c>
      <c r="E274">
        <v>95928</v>
      </c>
      <c r="F274">
        <v>4361</v>
      </c>
      <c r="G274">
        <v>783.53</v>
      </c>
      <c r="H274">
        <v>79170</v>
      </c>
      <c r="I274">
        <v>144</v>
      </c>
      <c r="J274" t="s">
        <v>25</v>
      </c>
    </row>
    <row r="275" spans="1:10" x14ac:dyDescent="0.2">
      <c r="A275" s="1">
        <v>46064</v>
      </c>
      <c r="B275" t="s">
        <v>15</v>
      </c>
      <c r="C275" t="s">
        <v>28</v>
      </c>
      <c r="D275" t="s">
        <v>30</v>
      </c>
      <c r="E275">
        <v>107571</v>
      </c>
      <c r="F275">
        <v>3677</v>
      </c>
      <c r="G275">
        <v>597.78</v>
      </c>
      <c r="H275">
        <v>89625</v>
      </c>
      <c r="I275">
        <v>191</v>
      </c>
      <c r="J275" t="s">
        <v>25</v>
      </c>
    </row>
    <row r="276" spans="1:10" x14ac:dyDescent="0.2">
      <c r="A276" s="1">
        <v>46064</v>
      </c>
      <c r="B276" t="s">
        <v>20</v>
      </c>
      <c r="C276" t="s">
        <v>31</v>
      </c>
      <c r="D276" t="s">
        <v>29</v>
      </c>
      <c r="E276">
        <v>154588</v>
      </c>
      <c r="F276">
        <v>5321</v>
      </c>
      <c r="G276">
        <v>1004.78</v>
      </c>
      <c r="H276">
        <v>124911</v>
      </c>
      <c r="I276">
        <v>215</v>
      </c>
      <c r="J276" t="s">
        <v>25</v>
      </c>
    </row>
    <row r="277" spans="1:10" x14ac:dyDescent="0.2">
      <c r="A277" s="1">
        <v>46064</v>
      </c>
      <c r="B277" t="s">
        <v>20</v>
      </c>
      <c r="C277" t="s">
        <v>23</v>
      </c>
      <c r="D277" t="s">
        <v>24</v>
      </c>
      <c r="E277">
        <v>189120</v>
      </c>
      <c r="F277">
        <v>8702</v>
      </c>
      <c r="G277">
        <v>1714.73</v>
      </c>
      <c r="H277">
        <v>155619</v>
      </c>
      <c r="I277">
        <v>474</v>
      </c>
      <c r="J277" t="s">
        <v>25</v>
      </c>
    </row>
    <row r="278" spans="1:10" x14ac:dyDescent="0.2">
      <c r="A278" s="1">
        <v>46065</v>
      </c>
      <c r="B278" t="s">
        <v>10</v>
      </c>
      <c r="C278" t="s">
        <v>23</v>
      </c>
      <c r="D278" t="s">
        <v>24</v>
      </c>
      <c r="E278">
        <v>147083</v>
      </c>
      <c r="F278">
        <v>4864</v>
      </c>
      <c r="G278">
        <v>843.73</v>
      </c>
      <c r="H278">
        <v>109580</v>
      </c>
      <c r="I278">
        <v>181</v>
      </c>
      <c r="J278" t="s">
        <v>25</v>
      </c>
    </row>
    <row r="279" spans="1:10" x14ac:dyDescent="0.2">
      <c r="A279" s="1">
        <v>46065</v>
      </c>
      <c r="B279" t="s">
        <v>10</v>
      </c>
      <c r="C279" t="s">
        <v>26</v>
      </c>
      <c r="D279" t="s">
        <v>30</v>
      </c>
      <c r="E279">
        <v>200280</v>
      </c>
      <c r="F279">
        <v>7251</v>
      </c>
      <c r="G279">
        <v>1180.5899999999999</v>
      </c>
      <c r="H279">
        <v>158234</v>
      </c>
      <c r="I279">
        <v>370</v>
      </c>
      <c r="J279" t="s">
        <v>25</v>
      </c>
    </row>
    <row r="280" spans="1:10" x14ac:dyDescent="0.2">
      <c r="A280" s="1">
        <v>46065</v>
      </c>
      <c r="B280" t="s">
        <v>15</v>
      </c>
      <c r="C280" t="s">
        <v>27</v>
      </c>
      <c r="D280" t="s">
        <v>29</v>
      </c>
      <c r="E280">
        <v>167244</v>
      </c>
      <c r="F280">
        <v>7109</v>
      </c>
      <c r="G280">
        <v>1072.06</v>
      </c>
      <c r="H280">
        <v>126438</v>
      </c>
      <c r="I280">
        <v>276</v>
      </c>
      <c r="J280" t="s">
        <v>25</v>
      </c>
    </row>
    <row r="281" spans="1:10" x14ac:dyDescent="0.2">
      <c r="A281" s="1">
        <v>46065</v>
      </c>
      <c r="B281" t="s">
        <v>15</v>
      </c>
      <c r="C281" t="s">
        <v>28</v>
      </c>
      <c r="D281" t="s">
        <v>29</v>
      </c>
      <c r="E281">
        <v>196083</v>
      </c>
      <c r="F281">
        <v>7796</v>
      </c>
      <c r="G281">
        <v>1464.13</v>
      </c>
      <c r="H281">
        <v>150408</v>
      </c>
      <c r="I281">
        <v>332</v>
      </c>
      <c r="J281" t="s">
        <v>25</v>
      </c>
    </row>
    <row r="282" spans="1:10" x14ac:dyDescent="0.2">
      <c r="A282" s="1">
        <v>46065</v>
      </c>
      <c r="B282" t="s">
        <v>20</v>
      </c>
      <c r="C282" t="s">
        <v>31</v>
      </c>
      <c r="D282" t="s">
        <v>29</v>
      </c>
      <c r="E282">
        <v>117952</v>
      </c>
      <c r="F282">
        <v>3956</v>
      </c>
      <c r="G282">
        <v>580.51</v>
      </c>
      <c r="H282">
        <v>97393</v>
      </c>
      <c r="I282">
        <v>216</v>
      </c>
      <c r="J282" t="s">
        <v>25</v>
      </c>
    </row>
    <row r="283" spans="1:10" x14ac:dyDescent="0.2">
      <c r="A283" s="1">
        <v>46065</v>
      </c>
      <c r="B283" t="s">
        <v>20</v>
      </c>
      <c r="C283" t="s">
        <v>23</v>
      </c>
      <c r="D283" t="s">
        <v>24</v>
      </c>
      <c r="E283">
        <v>143995</v>
      </c>
      <c r="F283">
        <v>6841</v>
      </c>
      <c r="G283">
        <v>1091.3</v>
      </c>
      <c r="H283">
        <v>115122</v>
      </c>
      <c r="I283">
        <v>242</v>
      </c>
      <c r="J283" t="s">
        <v>25</v>
      </c>
    </row>
    <row r="284" spans="1:10" x14ac:dyDescent="0.2">
      <c r="A284" s="1">
        <v>46066</v>
      </c>
      <c r="B284" t="s">
        <v>10</v>
      </c>
      <c r="C284" t="s">
        <v>23</v>
      </c>
      <c r="D284" t="s">
        <v>29</v>
      </c>
      <c r="E284">
        <v>122878</v>
      </c>
      <c r="F284">
        <v>5230</v>
      </c>
      <c r="G284">
        <v>841.27</v>
      </c>
      <c r="H284">
        <v>94342</v>
      </c>
      <c r="I284">
        <v>187</v>
      </c>
      <c r="J284" t="s">
        <v>25</v>
      </c>
    </row>
    <row r="285" spans="1:10" x14ac:dyDescent="0.2">
      <c r="A285" s="1">
        <v>46066</v>
      </c>
      <c r="B285" t="s">
        <v>10</v>
      </c>
      <c r="C285" t="s">
        <v>26</v>
      </c>
      <c r="D285" t="s">
        <v>30</v>
      </c>
      <c r="E285">
        <v>158587</v>
      </c>
      <c r="F285">
        <v>6599</v>
      </c>
      <c r="G285">
        <v>1195.96</v>
      </c>
      <c r="H285">
        <v>114733</v>
      </c>
      <c r="I285">
        <v>264</v>
      </c>
      <c r="J285" t="s">
        <v>25</v>
      </c>
    </row>
    <row r="286" spans="1:10" x14ac:dyDescent="0.2">
      <c r="A286" s="1">
        <v>46066</v>
      </c>
      <c r="B286" t="s">
        <v>15</v>
      </c>
      <c r="C286" t="s">
        <v>27</v>
      </c>
      <c r="D286" t="s">
        <v>24</v>
      </c>
      <c r="E286">
        <v>141774</v>
      </c>
      <c r="F286">
        <v>4674</v>
      </c>
      <c r="G286">
        <v>870.8</v>
      </c>
      <c r="H286">
        <v>106527</v>
      </c>
      <c r="I286">
        <v>194</v>
      </c>
      <c r="J286" t="s">
        <v>25</v>
      </c>
    </row>
    <row r="287" spans="1:10" x14ac:dyDescent="0.2">
      <c r="A287" s="1">
        <v>46066</v>
      </c>
      <c r="B287" t="s">
        <v>15</v>
      </c>
      <c r="C287" t="s">
        <v>28</v>
      </c>
      <c r="D287" t="s">
        <v>29</v>
      </c>
      <c r="E287">
        <v>148683</v>
      </c>
      <c r="F287">
        <v>5769</v>
      </c>
      <c r="G287">
        <v>897.9</v>
      </c>
      <c r="H287">
        <v>108026</v>
      </c>
      <c r="I287">
        <v>268</v>
      </c>
      <c r="J287" t="s">
        <v>25</v>
      </c>
    </row>
    <row r="288" spans="1:10" x14ac:dyDescent="0.2">
      <c r="A288" s="1">
        <v>46066</v>
      </c>
      <c r="B288" t="s">
        <v>20</v>
      </c>
      <c r="C288" t="s">
        <v>31</v>
      </c>
      <c r="D288" t="s">
        <v>24</v>
      </c>
      <c r="E288">
        <v>127268</v>
      </c>
      <c r="F288">
        <v>5368</v>
      </c>
      <c r="G288">
        <v>766.22</v>
      </c>
      <c r="H288">
        <v>98469</v>
      </c>
      <c r="I288">
        <v>207</v>
      </c>
      <c r="J288" t="s">
        <v>25</v>
      </c>
    </row>
    <row r="289" spans="1:10" x14ac:dyDescent="0.2">
      <c r="A289" s="1">
        <v>46066</v>
      </c>
      <c r="B289" t="s">
        <v>20</v>
      </c>
      <c r="C289" t="s">
        <v>23</v>
      </c>
      <c r="D289" t="s">
        <v>24</v>
      </c>
      <c r="E289">
        <v>168409</v>
      </c>
      <c r="F289">
        <v>5944</v>
      </c>
      <c r="G289">
        <v>1055.1600000000001</v>
      </c>
      <c r="H289">
        <v>140410</v>
      </c>
      <c r="I289">
        <v>299</v>
      </c>
      <c r="J289" t="s">
        <v>25</v>
      </c>
    </row>
    <row r="290" spans="1:10" x14ac:dyDescent="0.2">
      <c r="A290" s="1">
        <v>46067</v>
      </c>
      <c r="B290" t="s">
        <v>10</v>
      </c>
      <c r="C290" t="s">
        <v>23</v>
      </c>
      <c r="D290" t="s">
        <v>29</v>
      </c>
      <c r="E290">
        <v>83097</v>
      </c>
      <c r="F290">
        <v>3463</v>
      </c>
      <c r="G290">
        <v>488.96</v>
      </c>
      <c r="H290">
        <v>67031</v>
      </c>
      <c r="I290">
        <v>194</v>
      </c>
      <c r="J290" t="s">
        <v>25</v>
      </c>
    </row>
    <row r="291" spans="1:10" x14ac:dyDescent="0.2">
      <c r="A291" s="1">
        <v>46067</v>
      </c>
      <c r="B291" t="s">
        <v>10</v>
      </c>
      <c r="C291" t="s">
        <v>26</v>
      </c>
      <c r="D291" t="s">
        <v>24</v>
      </c>
      <c r="E291">
        <v>203792</v>
      </c>
      <c r="F291">
        <v>7608</v>
      </c>
      <c r="G291">
        <v>1226.1199999999999</v>
      </c>
      <c r="H291">
        <v>165463</v>
      </c>
      <c r="I291">
        <v>257</v>
      </c>
      <c r="J291" t="s">
        <v>25</v>
      </c>
    </row>
    <row r="292" spans="1:10" x14ac:dyDescent="0.2">
      <c r="A292" s="1">
        <v>46067</v>
      </c>
      <c r="B292" t="s">
        <v>15</v>
      </c>
      <c r="C292" t="s">
        <v>27</v>
      </c>
      <c r="D292" t="s">
        <v>24</v>
      </c>
      <c r="E292">
        <v>164768</v>
      </c>
      <c r="F292">
        <v>5827</v>
      </c>
      <c r="G292">
        <v>1002.99</v>
      </c>
      <c r="H292">
        <v>138112</v>
      </c>
      <c r="I292">
        <v>332</v>
      </c>
      <c r="J292" t="s">
        <v>25</v>
      </c>
    </row>
    <row r="293" spans="1:10" x14ac:dyDescent="0.2">
      <c r="A293" s="1">
        <v>46067</v>
      </c>
      <c r="B293" t="s">
        <v>15</v>
      </c>
      <c r="C293" t="s">
        <v>28</v>
      </c>
      <c r="D293" t="s">
        <v>29</v>
      </c>
      <c r="E293">
        <v>206537</v>
      </c>
      <c r="F293">
        <v>7367</v>
      </c>
      <c r="G293">
        <v>1385.56</v>
      </c>
      <c r="H293">
        <v>171276</v>
      </c>
      <c r="I293">
        <v>309</v>
      </c>
      <c r="J293" t="s">
        <v>25</v>
      </c>
    </row>
    <row r="294" spans="1:10" x14ac:dyDescent="0.2">
      <c r="A294" s="1">
        <v>46067</v>
      </c>
      <c r="B294" t="s">
        <v>19</v>
      </c>
      <c r="C294" t="s">
        <v>23</v>
      </c>
      <c r="D294" t="s">
        <v>24</v>
      </c>
      <c r="E294">
        <v>171961</v>
      </c>
      <c r="F294">
        <v>7520</v>
      </c>
      <c r="G294">
        <v>1476.93</v>
      </c>
      <c r="H294">
        <v>124556</v>
      </c>
      <c r="I294">
        <v>245</v>
      </c>
      <c r="J294" t="s">
        <v>25</v>
      </c>
    </row>
    <row r="295" spans="1:10" x14ac:dyDescent="0.2">
      <c r="A295" s="1">
        <v>46067</v>
      </c>
      <c r="B295" t="s">
        <v>19</v>
      </c>
      <c r="C295" t="s">
        <v>26</v>
      </c>
      <c r="D295" t="s">
        <v>29</v>
      </c>
      <c r="E295">
        <v>161171</v>
      </c>
      <c r="F295">
        <v>6183</v>
      </c>
      <c r="G295">
        <v>1045.51</v>
      </c>
      <c r="H295">
        <v>119078</v>
      </c>
      <c r="I295">
        <v>253</v>
      </c>
      <c r="J295" t="s">
        <v>25</v>
      </c>
    </row>
    <row r="296" spans="1:10" x14ac:dyDescent="0.2">
      <c r="A296" s="1">
        <v>46067</v>
      </c>
      <c r="B296" t="s">
        <v>20</v>
      </c>
      <c r="C296" t="s">
        <v>31</v>
      </c>
      <c r="D296" t="s">
        <v>24</v>
      </c>
      <c r="E296">
        <v>188446</v>
      </c>
      <c r="F296">
        <v>8359</v>
      </c>
      <c r="G296">
        <v>1294.3</v>
      </c>
      <c r="H296">
        <v>141842</v>
      </c>
      <c r="I296">
        <v>298</v>
      </c>
      <c r="J296" t="s">
        <v>25</v>
      </c>
    </row>
    <row r="297" spans="1:10" x14ac:dyDescent="0.2">
      <c r="A297" s="1">
        <v>46067</v>
      </c>
      <c r="B297" t="s">
        <v>20</v>
      </c>
      <c r="C297" t="s">
        <v>23</v>
      </c>
      <c r="D297" t="s">
        <v>24</v>
      </c>
      <c r="E297">
        <v>193420</v>
      </c>
      <c r="F297">
        <v>7429</v>
      </c>
      <c r="G297">
        <v>1404.81</v>
      </c>
      <c r="H297">
        <v>159609</v>
      </c>
      <c r="I297">
        <v>429</v>
      </c>
      <c r="J297" t="s">
        <v>25</v>
      </c>
    </row>
    <row r="298" spans="1:10" x14ac:dyDescent="0.2">
      <c r="A298" s="1">
        <v>46068</v>
      </c>
      <c r="B298" t="s">
        <v>10</v>
      </c>
      <c r="C298" t="s">
        <v>23</v>
      </c>
      <c r="D298" t="s">
        <v>24</v>
      </c>
      <c r="E298">
        <v>71494</v>
      </c>
      <c r="F298">
        <v>2864</v>
      </c>
      <c r="G298">
        <v>521.85</v>
      </c>
      <c r="H298">
        <v>57761</v>
      </c>
      <c r="I298">
        <v>93</v>
      </c>
      <c r="J298" t="s">
        <v>25</v>
      </c>
    </row>
    <row r="299" spans="1:10" x14ac:dyDescent="0.2">
      <c r="A299" s="1">
        <v>46068</v>
      </c>
      <c r="B299" t="s">
        <v>10</v>
      </c>
      <c r="C299" t="s">
        <v>26</v>
      </c>
      <c r="D299" t="s">
        <v>24</v>
      </c>
      <c r="E299">
        <v>76038</v>
      </c>
      <c r="F299">
        <v>3328</v>
      </c>
      <c r="G299">
        <v>624.19000000000005</v>
      </c>
      <c r="H299">
        <v>56520</v>
      </c>
      <c r="I299">
        <v>166</v>
      </c>
      <c r="J299" t="s">
        <v>25</v>
      </c>
    </row>
    <row r="300" spans="1:10" x14ac:dyDescent="0.2">
      <c r="A300" s="1">
        <v>46068</v>
      </c>
      <c r="B300" t="s">
        <v>15</v>
      </c>
      <c r="C300" t="s">
        <v>27</v>
      </c>
      <c r="D300" t="s">
        <v>29</v>
      </c>
      <c r="E300">
        <v>123889</v>
      </c>
      <c r="F300">
        <v>4807</v>
      </c>
      <c r="G300">
        <v>887.42</v>
      </c>
      <c r="H300">
        <v>93692</v>
      </c>
      <c r="I300">
        <v>220</v>
      </c>
      <c r="J300" t="s">
        <v>25</v>
      </c>
    </row>
    <row r="301" spans="1:10" x14ac:dyDescent="0.2">
      <c r="A301" s="1">
        <v>46068</v>
      </c>
      <c r="B301" t="s">
        <v>15</v>
      </c>
      <c r="C301" t="s">
        <v>28</v>
      </c>
      <c r="D301" t="s">
        <v>30</v>
      </c>
      <c r="E301">
        <v>111420</v>
      </c>
      <c r="F301">
        <v>5293</v>
      </c>
      <c r="G301">
        <v>924.01</v>
      </c>
      <c r="H301">
        <v>85257</v>
      </c>
      <c r="I301">
        <v>237</v>
      </c>
      <c r="J301" t="s">
        <v>25</v>
      </c>
    </row>
    <row r="302" spans="1:10" x14ac:dyDescent="0.2">
      <c r="A302" s="1">
        <v>46068</v>
      </c>
      <c r="B302" t="s">
        <v>19</v>
      </c>
      <c r="C302" t="s">
        <v>23</v>
      </c>
      <c r="D302" t="s">
        <v>24</v>
      </c>
      <c r="E302">
        <v>141212</v>
      </c>
      <c r="F302">
        <v>5786</v>
      </c>
      <c r="G302">
        <v>977.84</v>
      </c>
      <c r="H302">
        <v>117053</v>
      </c>
      <c r="I302">
        <v>277</v>
      </c>
      <c r="J302" t="s">
        <v>25</v>
      </c>
    </row>
    <row r="303" spans="1:10" x14ac:dyDescent="0.2">
      <c r="A303" s="1">
        <v>46068</v>
      </c>
      <c r="B303" t="s">
        <v>19</v>
      </c>
      <c r="C303" t="s">
        <v>26</v>
      </c>
      <c r="D303" t="s">
        <v>29</v>
      </c>
      <c r="E303">
        <v>136196</v>
      </c>
      <c r="F303">
        <v>4395</v>
      </c>
      <c r="G303">
        <v>746.37</v>
      </c>
      <c r="H303">
        <v>104494</v>
      </c>
      <c r="I303">
        <v>189</v>
      </c>
      <c r="J303" t="s">
        <v>25</v>
      </c>
    </row>
    <row r="304" spans="1:10" x14ac:dyDescent="0.2">
      <c r="A304" s="1">
        <v>46068</v>
      </c>
      <c r="B304" t="s">
        <v>20</v>
      </c>
      <c r="C304" t="s">
        <v>31</v>
      </c>
      <c r="D304" t="s">
        <v>24</v>
      </c>
      <c r="E304">
        <v>150846</v>
      </c>
      <c r="F304">
        <v>5367</v>
      </c>
      <c r="G304">
        <v>1065.4100000000001</v>
      </c>
      <c r="H304">
        <v>115801</v>
      </c>
      <c r="I304">
        <v>209</v>
      </c>
      <c r="J304" t="s">
        <v>25</v>
      </c>
    </row>
    <row r="305" spans="1:10" x14ac:dyDescent="0.2">
      <c r="A305" s="1">
        <v>46068</v>
      </c>
      <c r="B305" t="s">
        <v>20</v>
      </c>
      <c r="C305" t="s">
        <v>23</v>
      </c>
      <c r="D305" t="s">
        <v>24</v>
      </c>
      <c r="E305">
        <v>155992</v>
      </c>
      <c r="F305">
        <v>6397</v>
      </c>
      <c r="G305">
        <v>1142.31</v>
      </c>
      <c r="H305">
        <v>118537</v>
      </c>
      <c r="I305">
        <v>360</v>
      </c>
      <c r="J305" t="s">
        <v>25</v>
      </c>
    </row>
    <row r="306" spans="1:10" x14ac:dyDescent="0.2">
      <c r="A306" s="1">
        <v>46069</v>
      </c>
      <c r="B306" t="s">
        <v>10</v>
      </c>
      <c r="C306" t="s">
        <v>23</v>
      </c>
      <c r="D306" t="s">
        <v>24</v>
      </c>
      <c r="E306">
        <v>76003</v>
      </c>
      <c r="F306">
        <v>3114</v>
      </c>
      <c r="G306">
        <v>474.76</v>
      </c>
      <c r="H306">
        <v>63314</v>
      </c>
      <c r="I306">
        <v>155</v>
      </c>
      <c r="J306" t="s">
        <v>25</v>
      </c>
    </row>
    <row r="307" spans="1:10" x14ac:dyDescent="0.2">
      <c r="A307" s="1">
        <v>46069</v>
      </c>
      <c r="B307" t="s">
        <v>10</v>
      </c>
      <c r="C307" t="s">
        <v>26</v>
      </c>
      <c r="D307" t="s">
        <v>24</v>
      </c>
      <c r="E307">
        <v>85638</v>
      </c>
      <c r="F307">
        <v>3292</v>
      </c>
      <c r="G307">
        <v>626.41999999999996</v>
      </c>
      <c r="H307">
        <v>67038</v>
      </c>
      <c r="I307">
        <v>188</v>
      </c>
      <c r="J307" t="s">
        <v>25</v>
      </c>
    </row>
    <row r="308" spans="1:10" x14ac:dyDescent="0.2">
      <c r="A308" s="1">
        <v>46069</v>
      </c>
      <c r="B308" t="s">
        <v>15</v>
      </c>
      <c r="C308" t="s">
        <v>27</v>
      </c>
      <c r="D308" t="s">
        <v>24</v>
      </c>
      <c r="E308">
        <v>68358</v>
      </c>
      <c r="F308">
        <v>3026</v>
      </c>
      <c r="G308">
        <v>469.4</v>
      </c>
      <c r="H308">
        <v>51772</v>
      </c>
      <c r="I308">
        <v>127</v>
      </c>
      <c r="J308" t="s">
        <v>25</v>
      </c>
    </row>
    <row r="309" spans="1:10" x14ac:dyDescent="0.2">
      <c r="A309" s="1">
        <v>46069</v>
      </c>
      <c r="B309" t="s">
        <v>15</v>
      </c>
      <c r="C309" t="s">
        <v>28</v>
      </c>
      <c r="D309" t="s">
        <v>30</v>
      </c>
      <c r="E309">
        <v>63656</v>
      </c>
      <c r="F309">
        <v>2364</v>
      </c>
      <c r="G309">
        <v>411.14</v>
      </c>
      <c r="H309">
        <v>48937</v>
      </c>
      <c r="I309">
        <v>76</v>
      </c>
      <c r="J309" t="s">
        <v>25</v>
      </c>
    </row>
    <row r="310" spans="1:10" x14ac:dyDescent="0.2">
      <c r="A310" s="1">
        <v>46069</v>
      </c>
      <c r="B310" t="s">
        <v>20</v>
      </c>
      <c r="C310" t="s">
        <v>31</v>
      </c>
      <c r="D310" t="s">
        <v>24</v>
      </c>
      <c r="E310">
        <v>214342</v>
      </c>
      <c r="F310">
        <v>8787</v>
      </c>
      <c r="G310">
        <v>1487.85</v>
      </c>
      <c r="H310">
        <v>167182</v>
      </c>
      <c r="I310">
        <v>534</v>
      </c>
      <c r="J310" t="s">
        <v>25</v>
      </c>
    </row>
    <row r="311" spans="1:10" x14ac:dyDescent="0.2">
      <c r="A311" s="1">
        <v>46069</v>
      </c>
      <c r="B311" t="s">
        <v>20</v>
      </c>
      <c r="C311" t="s">
        <v>23</v>
      </c>
      <c r="D311" t="s">
        <v>24</v>
      </c>
      <c r="E311">
        <v>123492</v>
      </c>
      <c r="F311">
        <v>4863</v>
      </c>
      <c r="G311">
        <v>821.75</v>
      </c>
      <c r="H311">
        <v>97135</v>
      </c>
      <c r="I311">
        <v>263</v>
      </c>
      <c r="J311" t="s">
        <v>25</v>
      </c>
    </row>
    <row r="312" spans="1:10" x14ac:dyDescent="0.2">
      <c r="A312" s="1">
        <v>46070</v>
      </c>
      <c r="B312" t="s">
        <v>10</v>
      </c>
      <c r="C312" t="s">
        <v>23</v>
      </c>
      <c r="D312" t="s">
        <v>24</v>
      </c>
      <c r="E312">
        <v>48768</v>
      </c>
      <c r="F312">
        <v>1892</v>
      </c>
      <c r="G312">
        <v>273.68</v>
      </c>
      <c r="H312">
        <v>35857</v>
      </c>
      <c r="I312">
        <v>61</v>
      </c>
      <c r="J312" t="s">
        <v>25</v>
      </c>
    </row>
    <row r="313" spans="1:10" x14ac:dyDescent="0.2">
      <c r="A313" s="1">
        <v>46070</v>
      </c>
      <c r="B313" t="s">
        <v>10</v>
      </c>
      <c r="C313" t="s">
        <v>26</v>
      </c>
      <c r="D313" t="s">
        <v>24</v>
      </c>
      <c r="E313">
        <v>56783</v>
      </c>
      <c r="F313">
        <v>1996</v>
      </c>
      <c r="G313">
        <v>383.6</v>
      </c>
      <c r="H313">
        <v>41658</v>
      </c>
      <c r="I313">
        <v>116</v>
      </c>
      <c r="J313" t="s">
        <v>25</v>
      </c>
    </row>
    <row r="314" spans="1:10" x14ac:dyDescent="0.2">
      <c r="A314" s="1">
        <v>46070</v>
      </c>
      <c r="B314" t="s">
        <v>15</v>
      </c>
      <c r="C314" t="s">
        <v>27</v>
      </c>
      <c r="D314" t="s">
        <v>29</v>
      </c>
      <c r="E314">
        <v>57376</v>
      </c>
      <c r="F314">
        <v>2410</v>
      </c>
      <c r="G314">
        <v>413.26</v>
      </c>
      <c r="H314">
        <v>42273</v>
      </c>
      <c r="I314">
        <v>140</v>
      </c>
      <c r="J314" t="s">
        <v>25</v>
      </c>
    </row>
    <row r="315" spans="1:10" x14ac:dyDescent="0.2">
      <c r="A315" s="1">
        <v>46070</v>
      </c>
      <c r="B315" t="s">
        <v>15</v>
      </c>
      <c r="C315" t="s">
        <v>28</v>
      </c>
      <c r="D315" t="s">
        <v>29</v>
      </c>
      <c r="E315">
        <v>87350</v>
      </c>
      <c r="F315">
        <v>2808</v>
      </c>
      <c r="G315">
        <v>412.93</v>
      </c>
      <c r="H315">
        <v>73329</v>
      </c>
      <c r="I315">
        <v>150</v>
      </c>
      <c r="J315" t="s">
        <v>25</v>
      </c>
    </row>
    <row r="316" spans="1:10" x14ac:dyDescent="0.2">
      <c r="A316" s="1">
        <v>46071</v>
      </c>
      <c r="B316" t="s">
        <v>10</v>
      </c>
      <c r="C316" t="s">
        <v>23</v>
      </c>
      <c r="D316" t="s">
        <v>29</v>
      </c>
      <c r="E316">
        <v>103482</v>
      </c>
      <c r="F316">
        <v>3845</v>
      </c>
      <c r="G316">
        <v>743.52</v>
      </c>
      <c r="H316">
        <v>81508</v>
      </c>
      <c r="I316">
        <v>142</v>
      </c>
      <c r="J316" t="s">
        <v>25</v>
      </c>
    </row>
    <row r="317" spans="1:10" x14ac:dyDescent="0.2">
      <c r="A317" s="1">
        <v>46071</v>
      </c>
      <c r="B317" t="s">
        <v>10</v>
      </c>
      <c r="C317" t="s">
        <v>26</v>
      </c>
      <c r="D317" t="s">
        <v>30</v>
      </c>
      <c r="E317">
        <v>103583</v>
      </c>
      <c r="F317">
        <v>4449</v>
      </c>
      <c r="G317">
        <v>837.16</v>
      </c>
      <c r="H317">
        <v>86413</v>
      </c>
      <c r="I317">
        <v>191</v>
      </c>
      <c r="J317" t="s">
        <v>25</v>
      </c>
    </row>
    <row r="318" spans="1:10" x14ac:dyDescent="0.2">
      <c r="A318" s="1">
        <v>46071</v>
      </c>
      <c r="B318" t="s">
        <v>15</v>
      </c>
      <c r="C318" t="s">
        <v>27</v>
      </c>
      <c r="D318" t="s">
        <v>29</v>
      </c>
      <c r="E318">
        <v>96880</v>
      </c>
      <c r="F318">
        <v>3817</v>
      </c>
      <c r="G318">
        <v>748.79</v>
      </c>
      <c r="H318">
        <v>80531</v>
      </c>
      <c r="I318">
        <v>204</v>
      </c>
      <c r="J318" t="s">
        <v>25</v>
      </c>
    </row>
    <row r="319" spans="1:10" x14ac:dyDescent="0.2">
      <c r="A319" s="1">
        <v>46071</v>
      </c>
      <c r="B319" t="s">
        <v>15</v>
      </c>
      <c r="C319" t="s">
        <v>28</v>
      </c>
      <c r="D319" t="s">
        <v>30</v>
      </c>
      <c r="E319">
        <v>56527</v>
      </c>
      <c r="F319">
        <v>2283</v>
      </c>
      <c r="G319">
        <v>433.23</v>
      </c>
      <c r="H319">
        <v>40766</v>
      </c>
      <c r="I319">
        <v>101</v>
      </c>
      <c r="J319" t="s">
        <v>25</v>
      </c>
    </row>
    <row r="320" spans="1:10" x14ac:dyDescent="0.2">
      <c r="A320" s="1">
        <v>46072</v>
      </c>
      <c r="B320" t="s">
        <v>10</v>
      </c>
      <c r="C320" t="s">
        <v>23</v>
      </c>
      <c r="D320" t="s">
        <v>24</v>
      </c>
      <c r="E320">
        <v>96668</v>
      </c>
      <c r="F320">
        <v>3197</v>
      </c>
      <c r="G320">
        <v>634.98</v>
      </c>
      <c r="H320">
        <v>73218</v>
      </c>
      <c r="I320">
        <v>120</v>
      </c>
      <c r="J320" t="s">
        <v>25</v>
      </c>
    </row>
    <row r="321" spans="1:10" x14ac:dyDescent="0.2">
      <c r="A321" s="1">
        <v>46072</v>
      </c>
      <c r="B321" t="s">
        <v>10</v>
      </c>
      <c r="C321" t="s">
        <v>26</v>
      </c>
      <c r="D321" t="s">
        <v>24</v>
      </c>
      <c r="E321">
        <v>105481</v>
      </c>
      <c r="F321">
        <v>4149</v>
      </c>
      <c r="G321">
        <v>604.44000000000005</v>
      </c>
      <c r="H321">
        <v>83857</v>
      </c>
      <c r="I321">
        <v>206</v>
      </c>
      <c r="J321" t="s">
        <v>25</v>
      </c>
    </row>
    <row r="322" spans="1:10" x14ac:dyDescent="0.2">
      <c r="A322" s="1">
        <v>46072</v>
      </c>
      <c r="B322" t="s">
        <v>15</v>
      </c>
      <c r="C322" t="s">
        <v>27</v>
      </c>
      <c r="D322" t="s">
        <v>24</v>
      </c>
      <c r="E322">
        <v>80934</v>
      </c>
      <c r="F322">
        <v>3413</v>
      </c>
      <c r="G322">
        <v>658.71</v>
      </c>
      <c r="H322">
        <v>61622</v>
      </c>
      <c r="I322">
        <v>110</v>
      </c>
      <c r="J322" t="s">
        <v>25</v>
      </c>
    </row>
    <row r="323" spans="1:10" x14ac:dyDescent="0.2">
      <c r="A323" s="1">
        <v>46072</v>
      </c>
      <c r="B323" t="s">
        <v>15</v>
      </c>
      <c r="C323" t="s">
        <v>28</v>
      </c>
      <c r="D323" t="s">
        <v>30</v>
      </c>
      <c r="E323">
        <v>70989</v>
      </c>
      <c r="F323">
        <v>2594</v>
      </c>
      <c r="G323">
        <v>505.03</v>
      </c>
      <c r="H323">
        <v>54742</v>
      </c>
      <c r="I323">
        <v>139</v>
      </c>
      <c r="J323" t="s">
        <v>25</v>
      </c>
    </row>
    <row r="324" spans="1:10" x14ac:dyDescent="0.2">
      <c r="A324" s="1">
        <v>46073</v>
      </c>
      <c r="B324" t="s">
        <v>10</v>
      </c>
      <c r="C324" t="s">
        <v>23</v>
      </c>
      <c r="D324" t="s">
        <v>29</v>
      </c>
      <c r="E324">
        <v>116854</v>
      </c>
      <c r="F324">
        <v>5173</v>
      </c>
      <c r="G324">
        <v>1014.21</v>
      </c>
      <c r="H324">
        <v>92003</v>
      </c>
      <c r="I324">
        <v>265</v>
      </c>
      <c r="J324" t="s">
        <v>25</v>
      </c>
    </row>
    <row r="325" spans="1:10" x14ac:dyDescent="0.2">
      <c r="A325" s="1">
        <v>46073</v>
      </c>
      <c r="B325" t="s">
        <v>10</v>
      </c>
      <c r="C325" t="s">
        <v>26</v>
      </c>
      <c r="D325" t="s">
        <v>24</v>
      </c>
      <c r="E325">
        <v>45154</v>
      </c>
      <c r="F325">
        <v>1873</v>
      </c>
      <c r="G325">
        <v>273.79000000000002</v>
      </c>
      <c r="H325">
        <v>33683</v>
      </c>
      <c r="I325">
        <v>69</v>
      </c>
      <c r="J325" t="s">
        <v>25</v>
      </c>
    </row>
    <row r="326" spans="1:10" x14ac:dyDescent="0.2">
      <c r="A326" s="1">
        <v>46073</v>
      </c>
      <c r="B326" t="s">
        <v>15</v>
      </c>
      <c r="C326" t="s">
        <v>27</v>
      </c>
      <c r="D326" t="s">
        <v>24</v>
      </c>
      <c r="E326">
        <v>51607</v>
      </c>
      <c r="F326">
        <v>2309</v>
      </c>
      <c r="G326">
        <v>404.63</v>
      </c>
      <c r="H326">
        <v>41901</v>
      </c>
      <c r="I326">
        <v>96</v>
      </c>
      <c r="J326" t="s">
        <v>25</v>
      </c>
    </row>
    <row r="327" spans="1:10" x14ac:dyDescent="0.2">
      <c r="A327" s="1">
        <v>46073</v>
      </c>
      <c r="B327" t="s">
        <v>15</v>
      </c>
      <c r="C327" t="s">
        <v>28</v>
      </c>
      <c r="D327" t="s">
        <v>29</v>
      </c>
      <c r="E327">
        <v>131634</v>
      </c>
      <c r="F327">
        <v>6047</v>
      </c>
      <c r="G327">
        <v>1089.1199999999999</v>
      </c>
      <c r="H327">
        <v>102254</v>
      </c>
      <c r="I327">
        <v>223</v>
      </c>
      <c r="J327" t="s">
        <v>25</v>
      </c>
    </row>
    <row r="328" spans="1:10" x14ac:dyDescent="0.2">
      <c r="A328" s="1">
        <v>46074</v>
      </c>
      <c r="B328" t="s">
        <v>10</v>
      </c>
      <c r="C328" t="s">
        <v>23</v>
      </c>
      <c r="D328" t="s">
        <v>24</v>
      </c>
      <c r="E328">
        <v>88716</v>
      </c>
      <c r="F328">
        <v>2968</v>
      </c>
      <c r="G328">
        <v>558.58000000000004</v>
      </c>
      <c r="H328">
        <v>65435</v>
      </c>
      <c r="I328">
        <v>109</v>
      </c>
      <c r="J328" t="s">
        <v>25</v>
      </c>
    </row>
    <row r="329" spans="1:10" x14ac:dyDescent="0.2">
      <c r="A329" s="1">
        <v>46074</v>
      </c>
      <c r="B329" t="s">
        <v>10</v>
      </c>
      <c r="C329" t="s">
        <v>26</v>
      </c>
      <c r="D329" t="s">
        <v>24</v>
      </c>
      <c r="E329">
        <v>108332</v>
      </c>
      <c r="F329">
        <v>3601</v>
      </c>
      <c r="G329">
        <v>713.68</v>
      </c>
      <c r="H329">
        <v>79779</v>
      </c>
      <c r="I329">
        <v>202</v>
      </c>
      <c r="J329" t="s">
        <v>25</v>
      </c>
    </row>
    <row r="330" spans="1:10" x14ac:dyDescent="0.2">
      <c r="A330" s="1">
        <v>46074</v>
      </c>
      <c r="B330" t="s">
        <v>15</v>
      </c>
      <c r="C330" t="s">
        <v>27</v>
      </c>
      <c r="D330" t="s">
        <v>29</v>
      </c>
      <c r="E330">
        <v>170998</v>
      </c>
      <c r="F330">
        <v>6762</v>
      </c>
      <c r="G330">
        <v>1069.43</v>
      </c>
      <c r="H330">
        <v>138713</v>
      </c>
      <c r="I330">
        <v>265</v>
      </c>
      <c r="J330" t="s">
        <v>25</v>
      </c>
    </row>
    <row r="331" spans="1:10" x14ac:dyDescent="0.2">
      <c r="A331" s="1">
        <v>46074</v>
      </c>
      <c r="B331" t="s">
        <v>15</v>
      </c>
      <c r="C331" t="s">
        <v>28</v>
      </c>
      <c r="D331" t="s">
        <v>29</v>
      </c>
      <c r="E331">
        <v>118235</v>
      </c>
      <c r="F331">
        <v>5247</v>
      </c>
      <c r="G331">
        <v>956.92</v>
      </c>
      <c r="H331">
        <v>90165</v>
      </c>
      <c r="I331">
        <v>299</v>
      </c>
      <c r="J331" t="s">
        <v>25</v>
      </c>
    </row>
    <row r="332" spans="1:10" x14ac:dyDescent="0.2">
      <c r="A332" s="1">
        <v>46074</v>
      </c>
      <c r="B332" t="s">
        <v>19</v>
      </c>
      <c r="C332" t="s">
        <v>23</v>
      </c>
      <c r="D332" t="s">
        <v>24</v>
      </c>
      <c r="E332">
        <v>146381</v>
      </c>
      <c r="F332">
        <v>4867</v>
      </c>
      <c r="G332">
        <v>858.16</v>
      </c>
      <c r="H332">
        <v>109151</v>
      </c>
      <c r="I332">
        <v>179</v>
      </c>
      <c r="J332" t="s">
        <v>25</v>
      </c>
    </row>
    <row r="333" spans="1:10" x14ac:dyDescent="0.2">
      <c r="A333" s="1">
        <v>46074</v>
      </c>
      <c r="B333" t="s">
        <v>19</v>
      </c>
      <c r="C333" t="s">
        <v>26</v>
      </c>
      <c r="D333" t="s">
        <v>24</v>
      </c>
      <c r="E333">
        <v>179531</v>
      </c>
      <c r="F333">
        <v>6155</v>
      </c>
      <c r="G333">
        <v>1023.17</v>
      </c>
      <c r="H333">
        <v>138777</v>
      </c>
      <c r="I333">
        <v>325</v>
      </c>
      <c r="J333" t="s">
        <v>25</v>
      </c>
    </row>
    <row r="334" spans="1:10" x14ac:dyDescent="0.2">
      <c r="A334" s="1">
        <v>46075</v>
      </c>
      <c r="B334" t="s">
        <v>10</v>
      </c>
      <c r="C334" t="s">
        <v>23</v>
      </c>
      <c r="D334" t="s">
        <v>29</v>
      </c>
      <c r="E334">
        <v>174764</v>
      </c>
      <c r="F334">
        <v>5928</v>
      </c>
      <c r="G334">
        <v>1149.95</v>
      </c>
      <c r="H334">
        <v>139505</v>
      </c>
      <c r="I334">
        <v>221</v>
      </c>
      <c r="J334" t="s">
        <v>25</v>
      </c>
    </row>
    <row r="335" spans="1:10" x14ac:dyDescent="0.2">
      <c r="A335" s="1">
        <v>46075</v>
      </c>
      <c r="B335" t="s">
        <v>10</v>
      </c>
      <c r="C335" t="s">
        <v>26</v>
      </c>
      <c r="D335" t="s">
        <v>30</v>
      </c>
      <c r="E335">
        <v>134524</v>
      </c>
      <c r="F335">
        <v>5963</v>
      </c>
      <c r="G335">
        <v>958.61</v>
      </c>
      <c r="H335">
        <v>103703</v>
      </c>
      <c r="I335">
        <v>301</v>
      </c>
      <c r="J335" t="s">
        <v>25</v>
      </c>
    </row>
    <row r="336" spans="1:10" x14ac:dyDescent="0.2">
      <c r="A336" s="1">
        <v>46075</v>
      </c>
      <c r="B336" t="s">
        <v>15</v>
      </c>
      <c r="C336" t="s">
        <v>27</v>
      </c>
      <c r="D336" t="s">
        <v>24</v>
      </c>
      <c r="E336">
        <v>119180</v>
      </c>
      <c r="F336">
        <v>4527</v>
      </c>
      <c r="G336">
        <v>887.25</v>
      </c>
      <c r="H336">
        <v>100045</v>
      </c>
      <c r="I336">
        <v>171</v>
      </c>
      <c r="J336" t="s">
        <v>25</v>
      </c>
    </row>
    <row r="337" spans="1:10" x14ac:dyDescent="0.2">
      <c r="A337" s="1">
        <v>46075</v>
      </c>
      <c r="B337" t="s">
        <v>15</v>
      </c>
      <c r="C337" t="s">
        <v>28</v>
      </c>
      <c r="D337" t="s">
        <v>29</v>
      </c>
      <c r="E337">
        <v>145521</v>
      </c>
      <c r="F337">
        <v>5110</v>
      </c>
      <c r="G337">
        <v>895.13</v>
      </c>
      <c r="H337">
        <v>110510</v>
      </c>
      <c r="I337">
        <v>303</v>
      </c>
      <c r="J337" t="s">
        <v>25</v>
      </c>
    </row>
    <row r="338" spans="1:10" x14ac:dyDescent="0.2">
      <c r="A338" s="1">
        <v>46075</v>
      </c>
      <c r="B338" t="s">
        <v>19</v>
      </c>
      <c r="C338" t="s">
        <v>23</v>
      </c>
      <c r="D338" t="s">
        <v>24</v>
      </c>
      <c r="E338">
        <v>141262</v>
      </c>
      <c r="F338">
        <v>6603</v>
      </c>
      <c r="G338">
        <v>1164.81</v>
      </c>
      <c r="H338">
        <v>102276</v>
      </c>
      <c r="I338">
        <v>265</v>
      </c>
      <c r="J338" t="s">
        <v>25</v>
      </c>
    </row>
    <row r="339" spans="1:10" x14ac:dyDescent="0.2">
      <c r="A339" s="1">
        <v>46075</v>
      </c>
      <c r="B339" t="s">
        <v>19</v>
      </c>
      <c r="C339" t="s">
        <v>26</v>
      </c>
      <c r="D339" t="s">
        <v>24</v>
      </c>
      <c r="E339">
        <v>122086</v>
      </c>
      <c r="F339">
        <v>3992</v>
      </c>
      <c r="G339">
        <v>725.47</v>
      </c>
      <c r="H339">
        <v>91609</v>
      </c>
      <c r="I339">
        <v>202</v>
      </c>
      <c r="J339" t="s">
        <v>25</v>
      </c>
    </row>
    <row r="340" spans="1:10" x14ac:dyDescent="0.2">
      <c r="A340" s="1">
        <v>46076</v>
      </c>
      <c r="B340" t="s">
        <v>10</v>
      </c>
      <c r="C340" t="s">
        <v>23</v>
      </c>
      <c r="D340" t="s">
        <v>24</v>
      </c>
      <c r="E340">
        <v>129113</v>
      </c>
      <c r="F340">
        <v>6047</v>
      </c>
      <c r="G340">
        <v>1208.4000000000001</v>
      </c>
      <c r="H340">
        <v>102757</v>
      </c>
      <c r="I340">
        <v>282</v>
      </c>
      <c r="J340" t="s">
        <v>25</v>
      </c>
    </row>
    <row r="341" spans="1:10" x14ac:dyDescent="0.2">
      <c r="A341" s="1">
        <v>46076</v>
      </c>
      <c r="B341" t="s">
        <v>10</v>
      </c>
      <c r="C341" t="s">
        <v>26</v>
      </c>
      <c r="D341" t="s">
        <v>30</v>
      </c>
      <c r="E341">
        <v>133295</v>
      </c>
      <c r="F341">
        <v>6131</v>
      </c>
      <c r="G341">
        <v>1134.45</v>
      </c>
      <c r="H341">
        <v>108887</v>
      </c>
      <c r="I341">
        <v>203</v>
      </c>
      <c r="J341" t="s">
        <v>25</v>
      </c>
    </row>
    <row r="342" spans="1:10" x14ac:dyDescent="0.2">
      <c r="A342" s="1">
        <v>46076</v>
      </c>
      <c r="B342" t="s">
        <v>15</v>
      </c>
      <c r="C342" t="s">
        <v>27</v>
      </c>
      <c r="D342" t="s">
        <v>24</v>
      </c>
      <c r="E342">
        <v>115336</v>
      </c>
      <c r="F342">
        <v>5341</v>
      </c>
      <c r="G342">
        <v>796.83</v>
      </c>
      <c r="H342">
        <v>93231</v>
      </c>
      <c r="I342">
        <v>310</v>
      </c>
      <c r="J342" t="s">
        <v>25</v>
      </c>
    </row>
    <row r="343" spans="1:10" x14ac:dyDescent="0.2">
      <c r="A343" s="1">
        <v>46076</v>
      </c>
      <c r="B343" t="s">
        <v>15</v>
      </c>
      <c r="C343" t="s">
        <v>28</v>
      </c>
      <c r="D343" t="s">
        <v>30</v>
      </c>
      <c r="E343">
        <v>45855</v>
      </c>
      <c r="F343">
        <v>1775</v>
      </c>
      <c r="G343">
        <v>338.58</v>
      </c>
      <c r="H343">
        <v>33324</v>
      </c>
      <c r="I343">
        <v>90</v>
      </c>
      <c r="J343" t="s">
        <v>25</v>
      </c>
    </row>
    <row r="344" spans="1:10" x14ac:dyDescent="0.2">
      <c r="A344" s="1">
        <v>46077</v>
      </c>
      <c r="B344" t="s">
        <v>10</v>
      </c>
      <c r="C344" t="s">
        <v>23</v>
      </c>
      <c r="D344" t="s">
        <v>24</v>
      </c>
      <c r="E344">
        <v>76187</v>
      </c>
      <c r="F344">
        <v>2556</v>
      </c>
      <c r="G344">
        <v>441.28</v>
      </c>
      <c r="H344">
        <v>63845</v>
      </c>
      <c r="I344">
        <v>96</v>
      </c>
      <c r="J344" t="s">
        <v>25</v>
      </c>
    </row>
    <row r="345" spans="1:10" x14ac:dyDescent="0.2">
      <c r="A345" s="1">
        <v>46077</v>
      </c>
      <c r="B345" t="s">
        <v>10</v>
      </c>
      <c r="C345" t="s">
        <v>26</v>
      </c>
      <c r="D345" t="s">
        <v>24</v>
      </c>
      <c r="E345">
        <v>78603</v>
      </c>
      <c r="F345">
        <v>3568</v>
      </c>
      <c r="G345">
        <v>681.11</v>
      </c>
      <c r="H345">
        <v>59579</v>
      </c>
      <c r="I345">
        <v>190</v>
      </c>
      <c r="J345" t="s">
        <v>25</v>
      </c>
    </row>
    <row r="346" spans="1:10" x14ac:dyDescent="0.2">
      <c r="A346" s="1">
        <v>46077</v>
      </c>
      <c r="B346" t="s">
        <v>15</v>
      </c>
      <c r="C346" t="s">
        <v>27</v>
      </c>
      <c r="D346" t="s">
        <v>29</v>
      </c>
      <c r="E346">
        <v>102677</v>
      </c>
      <c r="F346">
        <v>3308</v>
      </c>
      <c r="G346">
        <v>595.01</v>
      </c>
      <c r="H346">
        <v>79057</v>
      </c>
      <c r="I346">
        <v>172</v>
      </c>
      <c r="J346" t="s">
        <v>25</v>
      </c>
    </row>
    <row r="347" spans="1:10" x14ac:dyDescent="0.2">
      <c r="A347" s="1">
        <v>46077</v>
      </c>
      <c r="B347" t="s">
        <v>15</v>
      </c>
      <c r="C347" t="s">
        <v>28</v>
      </c>
      <c r="D347" t="s">
        <v>30</v>
      </c>
      <c r="E347">
        <v>43513</v>
      </c>
      <c r="F347">
        <v>1526</v>
      </c>
      <c r="G347">
        <v>283.33999999999997</v>
      </c>
      <c r="H347">
        <v>32099</v>
      </c>
      <c r="I347">
        <v>61</v>
      </c>
      <c r="J347" t="s">
        <v>25</v>
      </c>
    </row>
    <row r="348" spans="1:10" x14ac:dyDescent="0.2">
      <c r="A348" s="1">
        <v>46078</v>
      </c>
      <c r="B348" t="s">
        <v>10</v>
      </c>
      <c r="C348" t="s">
        <v>23</v>
      </c>
      <c r="D348" t="s">
        <v>24</v>
      </c>
      <c r="E348">
        <v>93117</v>
      </c>
      <c r="F348">
        <v>3046</v>
      </c>
      <c r="G348">
        <v>537.65</v>
      </c>
      <c r="H348">
        <v>74739</v>
      </c>
      <c r="I348">
        <v>134</v>
      </c>
      <c r="J348" t="s">
        <v>25</v>
      </c>
    </row>
    <row r="349" spans="1:10" x14ac:dyDescent="0.2">
      <c r="A349" s="1">
        <v>46078</v>
      </c>
      <c r="B349" t="s">
        <v>10</v>
      </c>
      <c r="C349" t="s">
        <v>26</v>
      </c>
      <c r="D349" t="s">
        <v>24</v>
      </c>
      <c r="E349">
        <v>75784</v>
      </c>
      <c r="F349">
        <v>2757</v>
      </c>
      <c r="G349">
        <v>443.99</v>
      </c>
      <c r="H349">
        <v>57669</v>
      </c>
      <c r="I349">
        <v>135</v>
      </c>
      <c r="J349" t="s">
        <v>25</v>
      </c>
    </row>
    <row r="350" spans="1:10" x14ac:dyDescent="0.2">
      <c r="A350" s="1">
        <v>46078</v>
      </c>
      <c r="B350" t="s">
        <v>15</v>
      </c>
      <c r="C350" t="s">
        <v>27</v>
      </c>
      <c r="D350" t="s">
        <v>24</v>
      </c>
      <c r="E350">
        <v>109211</v>
      </c>
      <c r="F350">
        <v>5120</v>
      </c>
      <c r="G350">
        <v>743.88</v>
      </c>
      <c r="H350">
        <v>90662</v>
      </c>
      <c r="I350">
        <v>191</v>
      </c>
      <c r="J350" t="s">
        <v>25</v>
      </c>
    </row>
    <row r="351" spans="1:10" x14ac:dyDescent="0.2">
      <c r="A351" s="1">
        <v>46078</v>
      </c>
      <c r="B351" t="s">
        <v>15</v>
      </c>
      <c r="C351" t="s">
        <v>28</v>
      </c>
      <c r="D351" t="s">
        <v>30</v>
      </c>
      <c r="E351">
        <v>59334</v>
      </c>
      <c r="F351">
        <v>2200</v>
      </c>
      <c r="G351">
        <v>390.71</v>
      </c>
      <c r="H351">
        <v>42863</v>
      </c>
      <c r="I351">
        <v>81</v>
      </c>
      <c r="J351" t="s">
        <v>25</v>
      </c>
    </row>
    <row r="352" spans="1:10" x14ac:dyDescent="0.2">
      <c r="A352" s="1">
        <v>46079</v>
      </c>
      <c r="B352" t="s">
        <v>10</v>
      </c>
      <c r="C352" t="s">
        <v>23</v>
      </c>
      <c r="D352" t="s">
        <v>24</v>
      </c>
      <c r="E352">
        <v>63511</v>
      </c>
      <c r="F352">
        <v>2680</v>
      </c>
      <c r="G352">
        <v>449.22</v>
      </c>
      <c r="H352">
        <v>52413</v>
      </c>
      <c r="I352">
        <v>161</v>
      </c>
      <c r="J352" t="s">
        <v>25</v>
      </c>
    </row>
    <row r="353" spans="1:10" x14ac:dyDescent="0.2">
      <c r="A353" s="1">
        <v>46079</v>
      </c>
      <c r="B353" t="s">
        <v>10</v>
      </c>
      <c r="C353" t="s">
        <v>26</v>
      </c>
      <c r="D353" t="s">
        <v>30</v>
      </c>
      <c r="E353">
        <v>124245</v>
      </c>
      <c r="F353">
        <v>5252</v>
      </c>
      <c r="G353">
        <v>1019.35</v>
      </c>
      <c r="H353">
        <v>92305</v>
      </c>
      <c r="I353">
        <v>287</v>
      </c>
      <c r="J353" t="s">
        <v>25</v>
      </c>
    </row>
    <row r="354" spans="1:10" x14ac:dyDescent="0.2">
      <c r="A354" s="1">
        <v>46079</v>
      </c>
      <c r="B354" t="s">
        <v>15</v>
      </c>
      <c r="C354" t="s">
        <v>27</v>
      </c>
      <c r="D354" t="s">
        <v>24</v>
      </c>
      <c r="E354">
        <v>75696</v>
      </c>
      <c r="F354">
        <v>2486</v>
      </c>
      <c r="G354">
        <v>453.33</v>
      </c>
      <c r="H354">
        <v>56118</v>
      </c>
      <c r="I354">
        <v>90</v>
      </c>
      <c r="J354" t="s">
        <v>25</v>
      </c>
    </row>
    <row r="355" spans="1:10" x14ac:dyDescent="0.2">
      <c r="A355" s="1">
        <v>46079</v>
      </c>
      <c r="B355" t="s">
        <v>15</v>
      </c>
      <c r="C355" t="s">
        <v>28</v>
      </c>
      <c r="D355" t="s">
        <v>29</v>
      </c>
      <c r="E355">
        <v>89261</v>
      </c>
      <c r="F355">
        <v>3179</v>
      </c>
      <c r="G355">
        <v>480.97</v>
      </c>
      <c r="H355">
        <v>73732</v>
      </c>
      <c r="I355">
        <v>118</v>
      </c>
      <c r="J355" t="s">
        <v>25</v>
      </c>
    </row>
    <row r="356" spans="1:10" x14ac:dyDescent="0.2">
      <c r="A356" s="1">
        <v>46080</v>
      </c>
      <c r="B356" t="s">
        <v>10</v>
      </c>
      <c r="C356" t="s">
        <v>23</v>
      </c>
      <c r="D356" t="s">
        <v>29</v>
      </c>
      <c r="E356">
        <v>68994</v>
      </c>
      <c r="F356">
        <v>2977</v>
      </c>
      <c r="G356">
        <v>464.03</v>
      </c>
      <c r="H356">
        <v>53731</v>
      </c>
      <c r="I356">
        <v>146</v>
      </c>
      <c r="J356" t="s">
        <v>25</v>
      </c>
    </row>
    <row r="357" spans="1:10" x14ac:dyDescent="0.2">
      <c r="A357" s="1">
        <v>46080</v>
      </c>
      <c r="B357" t="s">
        <v>10</v>
      </c>
      <c r="C357" t="s">
        <v>26</v>
      </c>
      <c r="D357" t="s">
        <v>30</v>
      </c>
      <c r="E357">
        <v>119125</v>
      </c>
      <c r="F357">
        <v>4808</v>
      </c>
      <c r="G357">
        <v>912.41</v>
      </c>
      <c r="H357">
        <v>95591</v>
      </c>
      <c r="I357">
        <v>178</v>
      </c>
      <c r="J357" t="s">
        <v>25</v>
      </c>
    </row>
    <row r="358" spans="1:10" x14ac:dyDescent="0.2">
      <c r="A358" s="1">
        <v>46080</v>
      </c>
      <c r="B358" t="s">
        <v>15</v>
      </c>
      <c r="C358" t="s">
        <v>27</v>
      </c>
      <c r="D358" t="s">
        <v>29</v>
      </c>
      <c r="E358">
        <v>55408</v>
      </c>
      <c r="F358">
        <v>2249</v>
      </c>
      <c r="G358">
        <v>343.29</v>
      </c>
      <c r="H358">
        <v>44562</v>
      </c>
      <c r="I358">
        <v>95</v>
      </c>
      <c r="J358" t="s">
        <v>25</v>
      </c>
    </row>
    <row r="359" spans="1:10" x14ac:dyDescent="0.2">
      <c r="A359" s="1">
        <v>46080</v>
      </c>
      <c r="B359" t="s">
        <v>15</v>
      </c>
      <c r="C359" t="s">
        <v>28</v>
      </c>
      <c r="D359" t="s">
        <v>29</v>
      </c>
      <c r="E359">
        <v>62190</v>
      </c>
      <c r="F359">
        <v>2330</v>
      </c>
      <c r="G359">
        <v>461.59</v>
      </c>
      <c r="H359">
        <v>48893</v>
      </c>
      <c r="I359">
        <v>126</v>
      </c>
      <c r="J359" t="s">
        <v>25</v>
      </c>
    </row>
    <row r="360" spans="1:10" x14ac:dyDescent="0.2">
      <c r="A360" s="1">
        <v>46081</v>
      </c>
      <c r="B360" t="s">
        <v>10</v>
      </c>
      <c r="C360" t="s">
        <v>23</v>
      </c>
      <c r="D360" t="s">
        <v>29</v>
      </c>
      <c r="E360">
        <v>65653</v>
      </c>
      <c r="F360">
        <v>2640</v>
      </c>
      <c r="G360">
        <v>402.98</v>
      </c>
      <c r="H360">
        <v>48989</v>
      </c>
      <c r="I360">
        <v>105</v>
      </c>
      <c r="J360" t="s">
        <v>25</v>
      </c>
    </row>
    <row r="361" spans="1:10" x14ac:dyDescent="0.2">
      <c r="A361" s="1">
        <v>46081</v>
      </c>
      <c r="B361" t="s">
        <v>10</v>
      </c>
      <c r="C361" t="s">
        <v>26</v>
      </c>
      <c r="D361" t="s">
        <v>24</v>
      </c>
      <c r="E361">
        <v>143875</v>
      </c>
      <c r="F361">
        <v>6119</v>
      </c>
      <c r="G361">
        <v>925.1</v>
      </c>
      <c r="H361">
        <v>106003</v>
      </c>
      <c r="I361">
        <v>303</v>
      </c>
      <c r="J361" t="s">
        <v>25</v>
      </c>
    </row>
    <row r="362" spans="1:10" x14ac:dyDescent="0.2">
      <c r="A362" s="1">
        <v>46081</v>
      </c>
      <c r="B362" t="s">
        <v>15</v>
      </c>
      <c r="C362" t="s">
        <v>27</v>
      </c>
      <c r="D362" t="s">
        <v>29</v>
      </c>
      <c r="E362">
        <v>152451</v>
      </c>
      <c r="F362">
        <v>5800</v>
      </c>
      <c r="G362">
        <v>1016.76</v>
      </c>
      <c r="H362">
        <v>110383</v>
      </c>
      <c r="I362">
        <v>307</v>
      </c>
      <c r="J362" t="s">
        <v>25</v>
      </c>
    </row>
    <row r="363" spans="1:10" x14ac:dyDescent="0.2">
      <c r="A363" s="1">
        <v>46081</v>
      </c>
      <c r="B363" t="s">
        <v>15</v>
      </c>
      <c r="C363" t="s">
        <v>28</v>
      </c>
      <c r="D363" t="s">
        <v>29</v>
      </c>
      <c r="E363">
        <v>50449</v>
      </c>
      <c r="F363">
        <v>1742</v>
      </c>
      <c r="G363">
        <v>293.58</v>
      </c>
      <c r="H363">
        <v>38361</v>
      </c>
      <c r="I363">
        <v>102</v>
      </c>
      <c r="J363" t="s">
        <v>25</v>
      </c>
    </row>
    <row r="364" spans="1:10" x14ac:dyDescent="0.2">
      <c r="A364" s="1">
        <v>46081</v>
      </c>
      <c r="B364" t="s">
        <v>19</v>
      </c>
      <c r="C364" t="s">
        <v>23</v>
      </c>
      <c r="D364" t="s">
        <v>24</v>
      </c>
      <c r="E364">
        <v>114693</v>
      </c>
      <c r="F364">
        <v>4232</v>
      </c>
      <c r="G364">
        <v>711.02</v>
      </c>
      <c r="H364">
        <v>85141</v>
      </c>
      <c r="I364">
        <v>138</v>
      </c>
      <c r="J364" t="s">
        <v>25</v>
      </c>
    </row>
    <row r="365" spans="1:10" x14ac:dyDescent="0.2">
      <c r="A365" s="1">
        <v>46081</v>
      </c>
      <c r="B365" t="s">
        <v>19</v>
      </c>
      <c r="C365" t="s">
        <v>26</v>
      </c>
      <c r="D365" t="s">
        <v>24</v>
      </c>
      <c r="E365">
        <v>157921</v>
      </c>
      <c r="F365">
        <v>6508</v>
      </c>
      <c r="G365">
        <v>1080.97</v>
      </c>
      <c r="H365">
        <v>121270</v>
      </c>
      <c r="I365">
        <v>371</v>
      </c>
      <c r="J365" t="s">
        <v>25</v>
      </c>
    </row>
    <row r="366" spans="1:10" x14ac:dyDescent="0.2">
      <c r="A366" s="1">
        <v>46082</v>
      </c>
      <c r="B366" t="s">
        <v>10</v>
      </c>
      <c r="C366" t="s">
        <v>23</v>
      </c>
      <c r="D366" t="s">
        <v>29</v>
      </c>
      <c r="E366">
        <v>168756</v>
      </c>
      <c r="F366">
        <v>6407</v>
      </c>
      <c r="G366">
        <v>1026.8699999999999</v>
      </c>
      <c r="H366">
        <v>135245</v>
      </c>
      <c r="I366">
        <v>262</v>
      </c>
      <c r="J366" t="s">
        <v>25</v>
      </c>
    </row>
    <row r="367" spans="1:10" x14ac:dyDescent="0.2">
      <c r="A367" s="1">
        <v>46082</v>
      </c>
      <c r="B367" t="s">
        <v>10</v>
      </c>
      <c r="C367" t="s">
        <v>26</v>
      </c>
      <c r="D367" t="s">
        <v>24</v>
      </c>
      <c r="E367">
        <v>131882</v>
      </c>
      <c r="F367">
        <v>4447</v>
      </c>
      <c r="G367">
        <v>736.22</v>
      </c>
      <c r="H367">
        <v>99217</v>
      </c>
      <c r="I367">
        <v>219</v>
      </c>
      <c r="J367" t="s">
        <v>25</v>
      </c>
    </row>
    <row r="368" spans="1:10" x14ac:dyDescent="0.2">
      <c r="A368" s="1">
        <v>46082</v>
      </c>
      <c r="B368" t="s">
        <v>15</v>
      </c>
      <c r="C368" t="s">
        <v>27</v>
      </c>
      <c r="D368" t="s">
        <v>24</v>
      </c>
      <c r="E368">
        <v>73448</v>
      </c>
      <c r="F368">
        <v>2952</v>
      </c>
      <c r="G368">
        <v>576.65</v>
      </c>
      <c r="H368">
        <v>60696</v>
      </c>
      <c r="I368">
        <v>179</v>
      </c>
      <c r="J368" t="s">
        <v>25</v>
      </c>
    </row>
    <row r="369" spans="1:10" x14ac:dyDescent="0.2">
      <c r="A369" s="1">
        <v>46082</v>
      </c>
      <c r="B369" t="s">
        <v>15</v>
      </c>
      <c r="C369" t="s">
        <v>28</v>
      </c>
      <c r="D369" t="s">
        <v>30</v>
      </c>
      <c r="E369">
        <v>142281</v>
      </c>
      <c r="F369">
        <v>6264</v>
      </c>
      <c r="G369">
        <v>925.78</v>
      </c>
      <c r="H369">
        <v>108130</v>
      </c>
      <c r="I369">
        <v>380</v>
      </c>
      <c r="J369" t="s">
        <v>25</v>
      </c>
    </row>
    <row r="370" spans="1:10" x14ac:dyDescent="0.2">
      <c r="A370" s="1">
        <v>46082</v>
      </c>
      <c r="B370" t="s">
        <v>19</v>
      </c>
      <c r="C370" t="s">
        <v>23</v>
      </c>
      <c r="D370" t="s">
        <v>24</v>
      </c>
      <c r="E370">
        <v>98198</v>
      </c>
      <c r="F370">
        <v>4388</v>
      </c>
      <c r="G370">
        <v>651.55999999999995</v>
      </c>
      <c r="H370">
        <v>74780</v>
      </c>
      <c r="I370">
        <v>192</v>
      </c>
      <c r="J370" t="s">
        <v>25</v>
      </c>
    </row>
    <row r="371" spans="1:10" x14ac:dyDescent="0.2">
      <c r="A371" s="1">
        <v>46082</v>
      </c>
      <c r="B371" t="s">
        <v>19</v>
      </c>
      <c r="C371" t="s">
        <v>26</v>
      </c>
      <c r="D371" t="s">
        <v>24</v>
      </c>
      <c r="E371">
        <v>45643</v>
      </c>
      <c r="F371">
        <v>1941</v>
      </c>
      <c r="G371">
        <v>295.08</v>
      </c>
      <c r="H371">
        <v>33805</v>
      </c>
      <c r="I371">
        <v>80</v>
      </c>
      <c r="J371" t="s">
        <v>25</v>
      </c>
    </row>
    <row r="372" spans="1:10" x14ac:dyDescent="0.2">
      <c r="A372" s="1">
        <v>46083</v>
      </c>
      <c r="B372" t="s">
        <v>10</v>
      </c>
      <c r="C372" t="s">
        <v>23</v>
      </c>
      <c r="D372" t="s">
        <v>24</v>
      </c>
      <c r="E372">
        <v>85744</v>
      </c>
      <c r="F372">
        <v>3920</v>
      </c>
      <c r="G372">
        <v>651.48</v>
      </c>
      <c r="H372">
        <v>69186</v>
      </c>
      <c r="I372">
        <v>143</v>
      </c>
      <c r="J372" t="s">
        <v>25</v>
      </c>
    </row>
    <row r="373" spans="1:10" x14ac:dyDescent="0.2">
      <c r="A373" s="1">
        <v>46083</v>
      </c>
      <c r="B373" t="s">
        <v>10</v>
      </c>
      <c r="C373" t="s">
        <v>26</v>
      </c>
      <c r="D373" t="s">
        <v>30</v>
      </c>
      <c r="E373">
        <v>46342</v>
      </c>
      <c r="F373">
        <v>1836</v>
      </c>
      <c r="G373">
        <v>295.01</v>
      </c>
      <c r="H373">
        <v>35984</v>
      </c>
      <c r="I373">
        <v>96</v>
      </c>
      <c r="J373" t="s">
        <v>25</v>
      </c>
    </row>
    <row r="374" spans="1:10" x14ac:dyDescent="0.2">
      <c r="A374" s="1">
        <v>46083</v>
      </c>
      <c r="B374" t="s">
        <v>15</v>
      </c>
      <c r="C374" t="s">
        <v>27</v>
      </c>
      <c r="D374" t="s">
        <v>24</v>
      </c>
      <c r="E374">
        <v>125977</v>
      </c>
      <c r="F374">
        <v>5378</v>
      </c>
      <c r="G374">
        <v>1021.18</v>
      </c>
      <c r="H374">
        <v>101379</v>
      </c>
      <c r="I374">
        <v>295</v>
      </c>
      <c r="J374" t="s">
        <v>25</v>
      </c>
    </row>
    <row r="375" spans="1:10" x14ac:dyDescent="0.2">
      <c r="A375" s="1">
        <v>46083</v>
      </c>
      <c r="B375" t="s">
        <v>15</v>
      </c>
      <c r="C375" t="s">
        <v>28</v>
      </c>
      <c r="D375" t="s">
        <v>30</v>
      </c>
      <c r="E375">
        <v>111540</v>
      </c>
      <c r="F375">
        <v>3798</v>
      </c>
      <c r="G375">
        <v>705.6</v>
      </c>
      <c r="H375">
        <v>82096</v>
      </c>
      <c r="I375">
        <v>209</v>
      </c>
      <c r="J375" t="s">
        <v>25</v>
      </c>
    </row>
    <row r="376" spans="1:10" x14ac:dyDescent="0.2">
      <c r="A376" s="1">
        <v>46084</v>
      </c>
      <c r="B376" t="s">
        <v>10</v>
      </c>
      <c r="C376" t="s">
        <v>23</v>
      </c>
      <c r="D376" t="s">
        <v>29</v>
      </c>
      <c r="E376">
        <v>160472</v>
      </c>
      <c r="F376">
        <v>7010</v>
      </c>
      <c r="G376">
        <v>1159.98</v>
      </c>
      <c r="H376">
        <v>123124</v>
      </c>
      <c r="I376">
        <v>239</v>
      </c>
      <c r="J376" t="s">
        <v>25</v>
      </c>
    </row>
    <row r="377" spans="1:10" x14ac:dyDescent="0.2">
      <c r="A377" s="1">
        <v>46084</v>
      </c>
      <c r="B377" t="s">
        <v>10</v>
      </c>
      <c r="C377" t="s">
        <v>26</v>
      </c>
      <c r="D377" t="s">
        <v>30</v>
      </c>
      <c r="E377">
        <v>159642</v>
      </c>
      <c r="F377">
        <v>6999</v>
      </c>
      <c r="G377">
        <v>1226.1199999999999</v>
      </c>
      <c r="H377">
        <v>119189</v>
      </c>
      <c r="I377">
        <v>351</v>
      </c>
      <c r="J377" t="s">
        <v>25</v>
      </c>
    </row>
    <row r="378" spans="1:10" x14ac:dyDescent="0.2">
      <c r="A378" s="1">
        <v>46084</v>
      </c>
      <c r="B378" t="s">
        <v>15</v>
      </c>
      <c r="C378" t="s">
        <v>27</v>
      </c>
      <c r="D378" t="s">
        <v>24</v>
      </c>
      <c r="E378">
        <v>108396</v>
      </c>
      <c r="F378">
        <v>4096</v>
      </c>
      <c r="G378">
        <v>696.68</v>
      </c>
      <c r="H378">
        <v>78065</v>
      </c>
      <c r="I378">
        <v>204</v>
      </c>
      <c r="J378" t="s">
        <v>25</v>
      </c>
    </row>
    <row r="379" spans="1:10" x14ac:dyDescent="0.2">
      <c r="A379" s="1">
        <v>46084</v>
      </c>
      <c r="B379" t="s">
        <v>15</v>
      </c>
      <c r="C379" t="s">
        <v>28</v>
      </c>
      <c r="D379" t="s">
        <v>29</v>
      </c>
      <c r="E379">
        <v>58665</v>
      </c>
      <c r="F379">
        <v>2483</v>
      </c>
      <c r="G379">
        <v>368.19</v>
      </c>
      <c r="H379">
        <v>43562</v>
      </c>
      <c r="I379">
        <v>95</v>
      </c>
      <c r="J379" t="s">
        <v>25</v>
      </c>
    </row>
    <row r="380" spans="1:10" x14ac:dyDescent="0.2">
      <c r="A380" s="1">
        <v>46085</v>
      </c>
      <c r="B380" t="s">
        <v>10</v>
      </c>
      <c r="C380" t="s">
        <v>23</v>
      </c>
      <c r="D380" t="s">
        <v>29</v>
      </c>
      <c r="E380">
        <v>61321</v>
      </c>
      <c r="F380">
        <v>2295</v>
      </c>
      <c r="G380">
        <v>411.36</v>
      </c>
      <c r="H380">
        <v>47283</v>
      </c>
      <c r="I380">
        <v>93</v>
      </c>
      <c r="J380" t="s">
        <v>25</v>
      </c>
    </row>
    <row r="381" spans="1:10" x14ac:dyDescent="0.2">
      <c r="A381" s="1">
        <v>46085</v>
      </c>
      <c r="B381" t="s">
        <v>10</v>
      </c>
      <c r="C381" t="s">
        <v>26</v>
      </c>
      <c r="D381" t="s">
        <v>30</v>
      </c>
      <c r="E381">
        <v>160561</v>
      </c>
      <c r="F381">
        <v>7247</v>
      </c>
      <c r="G381">
        <v>1029.72</v>
      </c>
      <c r="H381">
        <v>134071</v>
      </c>
      <c r="I381">
        <v>323</v>
      </c>
      <c r="J381" t="s">
        <v>25</v>
      </c>
    </row>
    <row r="382" spans="1:10" x14ac:dyDescent="0.2">
      <c r="A382" s="1">
        <v>46085</v>
      </c>
      <c r="B382" t="s">
        <v>15</v>
      </c>
      <c r="C382" t="s">
        <v>27</v>
      </c>
      <c r="D382" t="s">
        <v>24</v>
      </c>
      <c r="E382">
        <v>113352</v>
      </c>
      <c r="F382">
        <v>4864</v>
      </c>
      <c r="G382">
        <v>924.42</v>
      </c>
      <c r="H382">
        <v>87937</v>
      </c>
      <c r="I382">
        <v>167</v>
      </c>
      <c r="J382" t="s">
        <v>25</v>
      </c>
    </row>
    <row r="383" spans="1:10" x14ac:dyDescent="0.2">
      <c r="A383" s="1">
        <v>46085</v>
      </c>
      <c r="B383" t="s">
        <v>15</v>
      </c>
      <c r="C383" t="s">
        <v>28</v>
      </c>
      <c r="D383" t="s">
        <v>30</v>
      </c>
      <c r="E383">
        <v>157255</v>
      </c>
      <c r="F383">
        <v>7202</v>
      </c>
      <c r="G383">
        <v>1355.51</v>
      </c>
      <c r="H383">
        <v>113454</v>
      </c>
      <c r="I383">
        <v>299</v>
      </c>
      <c r="J383" t="s">
        <v>25</v>
      </c>
    </row>
    <row r="384" spans="1:10" x14ac:dyDescent="0.2">
      <c r="A384" s="1">
        <v>46086</v>
      </c>
      <c r="B384" t="s">
        <v>10</v>
      </c>
      <c r="C384" t="s">
        <v>23</v>
      </c>
      <c r="D384" t="s">
        <v>29</v>
      </c>
      <c r="E384">
        <v>162440</v>
      </c>
      <c r="F384">
        <v>6379</v>
      </c>
      <c r="G384">
        <v>1079.1199999999999</v>
      </c>
      <c r="H384">
        <v>135668</v>
      </c>
      <c r="I384">
        <v>281</v>
      </c>
      <c r="J384" t="s">
        <v>25</v>
      </c>
    </row>
    <row r="385" spans="1:10" x14ac:dyDescent="0.2">
      <c r="A385" s="1">
        <v>46086</v>
      </c>
      <c r="B385" t="s">
        <v>10</v>
      </c>
      <c r="C385" t="s">
        <v>26</v>
      </c>
      <c r="D385" t="s">
        <v>24</v>
      </c>
      <c r="E385">
        <v>97120</v>
      </c>
      <c r="F385">
        <v>3768</v>
      </c>
      <c r="G385">
        <v>695.29</v>
      </c>
      <c r="H385">
        <v>71277</v>
      </c>
      <c r="I385">
        <v>211</v>
      </c>
      <c r="J385" t="s">
        <v>25</v>
      </c>
    </row>
    <row r="386" spans="1:10" x14ac:dyDescent="0.2">
      <c r="A386" s="1">
        <v>46086</v>
      </c>
      <c r="B386" t="s">
        <v>15</v>
      </c>
      <c r="C386" t="s">
        <v>27</v>
      </c>
      <c r="D386" t="s">
        <v>29</v>
      </c>
      <c r="E386">
        <v>131047</v>
      </c>
      <c r="F386">
        <v>4975</v>
      </c>
      <c r="G386">
        <v>837.85</v>
      </c>
      <c r="H386">
        <v>99622</v>
      </c>
      <c r="I386">
        <v>239</v>
      </c>
      <c r="J386" t="s">
        <v>25</v>
      </c>
    </row>
    <row r="387" spans="1:10" x14ac:dyDescent="0.2">
      <c r="A387" s="1">
        <v>46086</v>
      </c>
      <c r="B387" t="s">
        <v>15</v>
      </c>
      <c r="C387" t="s">
        <v>28</v>
      </c>
      <c r="D387" t="s">
        <v>29</v>
      </c>
      <c r="E387">
        <v>64528</v>
      </c>
      <c r="F387">
        <v>2875</v>
      </c>
      <c r="G387">
        <v>571.67999999999995</v>
      </c>
      <c r="H387">
        <v>50577</v>
      </c>
      <c r="I387">
        <v>125</v>
      </c>
      <c r="J387" t="s">
        <v>25</v>
      </c>
    </row>
    <row r="388" spans="1:10" x14ac:dyDescent="0.2">
      <c r="A388" s="1">
        <v>46087</v>
      </c>
      <c r="B388" t="s">
        <v>10</v>
      </c>
      <c r="C388" t="s">
        <v>23</v>
      </c>
      <c r="D388" t="s">
        <v>24</v>
      </c>
      <c r="E388">
        <v>71124</v>
      </c>
      <c r="F388">
        <v>2283</v>
      </c>
      <c r="G388">
        <v>449.5</v>
      </c>
      <c r="H388">
        <v>57248</v>
      </c>
      <c r="I388">
        <v>90</v>
      </c>
      <c r="J388" t="s">
        <v>25</v>
      </c>
    </row>
    <row r="389" spans="1:10" x14ac:dyDescent="0.2">
      <c r="A389" s="1">
        <v>46087</v>
      </c>
      <c r="B389" t="s">
        <v>10</v>
      </c>
      <c r="C389" t="s">
        <v>26</v>
      </c>
      <c r="D389" t="s">
        <v>30</v>
      </c>
      <c r="E389">
        <v>119601</v>
      </c>
      <c r="F389">
        <v>3920</v>
      </c>
      <c r="G389">
        <v>615.05999999999995</v>
      </c>
      <c r="H389">
        <v>87857</v>
      </c>
      <c r="I389">
        <v>183</v>
      </c>
      <c r="J389" t="s">
        <v>25</v>
      </c>
    </row>
    <row r="390" spans="1:10" x14ac:dyDescent="0.2">
      <c r="A390" s="1">
        <v>46087</v>
      </c>
      <c r="B390" t="s">
        <v>15</v>
      </c>
      <c r="C390" t="s">
        <v>27</v>
      </c>
      <c r="D390" t="s">
        <v>29</v>
      </c>
      <c r="E390">
        <v>54031</v>
      </c>
      <c r="F390">
        <v>2497</v>
      </c>
      <c r="G390">
        <v>452.41</v>
      </c>
      <c r="H390">
        <v>40538</v>
      </c>
      <c r="I390">
        <v>105</v>
      </c>
      <c r="J390" t="s">
        <v>25</v>
      </c>
    </row>
    <row r="391" spans="1:10" x14ac:dyDescent="0.2">
      <c r="A391" s="1">
        <v>46087</v>
      </c>
      <c r="B391" t="s">
        <v>15</v>
      </c>
      <c r="C391" t="s">
        <v>28</v>
      </c>
      <c r="D391" t="s">
        <v>29</v>
      </c>
      <c r="E391">
        <v>49509</v>
      </c>
      <c r="F391">
        <v>2014</v>
      </c>
      <c r="G391">
        <v>303.56</v>
      </c>
      <c r="H391">
        <v>37766</v>
      </c>
      <c r="I391">
        <v>65</v>
      </c>
      <c r="J391" t="s">
        <v>25</v>
      </c>
    </row>
    <row r="392" spans="1:10" x14ac:dyDescent="0.2">
      <c r="A392" s="1">
        <v>46088</v>
      </c>
      <c r="B392" t="s">
        <v>10</v>
      </c>
      <c r="C392" t="s">
        <v>23</v>
      </c>
      <c r="D392" t="s">
        <v>29</v>
      </c>
      <c r="E392">
        <v>96222</v>
      </c>
      <c r="F392">
        <v>4058</v>
      </c>
      <c r="G392">
        <v>713.18</v>
      </c>
      <c r="H392">
        <v>73404</v>
      </c>
      <c r="I392">
        <v>134</v>
      </c>
      <c r="J392" t="s">
        <v>25</v>
      </c>
    </row>
    <row r="393" spans="1:10" x14ac:dyDescent="0.2">
      <c r="A393" s="1">
        <v>46088</v>
      </c>
      <c r="B393" t="s">
        <v>10</v>
      </c>
      <c r="C393" t="s">
        <v>26</v>
      </c>
      <c r="D393" t="s">
        <v>30</v>
      </c>
      <c r="E393">
        <v>87864</v>
      </c>
      <c r="F393">
        <v>3057</v>
      </c>
      <c r="G393">
        <v>526.11</v>
      </c>
      <c r="H393">
        <v>64591</v>
      </c>
      <c r="I393">
        <v>111</v>
      </c>
      <c r="J393" t="s">
        <v>25</v>
      </c>
    </row>
    <row r="394" spans="1:10" x14ac:dyDescent="0.2">
      <c r="A394" s="1">
        <v>46088</v>
      </c>
      <c r="B394" t="s">
        <v>15</v>
      </c>
      <c r="C394" t="s">
        <v>27</v>
      </c>
      <c r="D394" t="s">
        <v>29</v>
      </c>
      <c r="E394">
        <v>118956</v>
      </c>
      <c r="F394">
        <v>5505</v>
      </c>
      <c r="G394">
        <v>884.78</v>
      </c>
      <c r="H394">
        <v>92186</v>
      </c>
      <c r="I394">
        <v>278</v>
      </c>
      <c r="J394" t="s">
        <v>25</v>
      </c>
    </row>
    <row r="395" spans="1:10" x14ac:dyDescent="0.2">
      <c r="A395" s="1">
        <v>46088</v>
      </c>
      <c r="B395" t="s">
        <v>15</v>
      </c>
      <c r="C395" t="s">
        <v>28</v>
      </c>
      <c r="D395" t="s">
        <v>29</v>
      </c>
      <c r="E395">
        <v>52423</v>
      </c>
      <c r="F395">
        <v>1741</v>
      </c>
      <c r="G395">
        <v>282.68</v>
      </c>
      <c r="H395">
        <v>38667</v>
      </c>
      <c r="I395">
        <v>106</v>
      </c>
      <c r="J395" t="s">
        <v>25</v>
      </c>
    </row>
    <row r="396" spans="1:10" x14ac:dyDescent="0.2">
      <c r="A396" s="1">
        <v>46088</v>
      </c>
      <c r="B396" t="s">
        <v>19</v>
      </c>
      <c r="C396" t="s">
        <v>23</v>
      </c>
      <c r="D396" t="s">
        <v>24</v>
      </c>
      <c r="E396">
        <v>110575</v>
      </c>
      <c r="F396">
        <v>4445</v>
      </c>
      <c r="G396">
        <v>815.76</v>
      </c>
      <c r="H396">
        <v>84095</v>
      </c>
      <c r="I396">
        <v>227</v>
      </c>
      <c r="J396" t="s">
        <v>25</v>
      </c>
    </row>
    <row r="397" spans="1:10" x14ac:dyDescent="0.2">
      <c r="A397" s="1">
        <v>46088</v>
      </c>
      <c r="B397" t="s">
        <v>19</v>
      </c>
      <c r="C397" t="s">
        <v>26</v>
      </c>
      <c r="D397" t="s">
        <v>24</v>
      </c>
      <c r="E397">
        <v>117495</v>
      </c>
      <c r="F397">
        <v>4513</v>
      </c>
      <c r="G397">
        <v>681.62</v>
      </c>
      <c r="H397">
        <v>95125</v>
      </c>
      <c r="I397">
        <v>242</v>
      </c>
      <c r="J397" t="s">
        <v>25</v>
      </c>
    </row>
    <row r="398" spans="1:10" x14ac:dyDescent="0.2">
      <c r="A398" s="1">
        <v>46089</v>
      </c>
      <c r="B398" t="s">
        <v>10</v>
      </c>
      <c r="C398" t="s">
        <v>23</v>
      </c>
      <c r="D398" t="s">
        <v>24</v>
      </c>
      <c r="E398">
        <v>119354</v>
      </c>
      <c r="F398">
        <v>5662</v>
      </c>
      <c r="G398">
        <v>1062.3</v>
      </c>
      <c r="H398">
        <v>94111</v>
      </c>
      <c r="I398">
        <v>350</v>
      </c>
      <c r="J398" t="s">
        <v>25</v>
      </c>
    </row>
    <row r="399" spans="1:10" x14ac:dyDescent="0.2">
      <c r="A399" s="1">
        <v>46089</v>
      </c>
      <c r="B399" t="s">
        <v>10</v>
      </c>
      <c r="C399" t="s">
        <v>26</v>
      </c>
      <c r="D399" t="s">
        <v>24</v>
      </c>
      <c r="E399">
        <v>163796</v>
      </c>
      <c r="F399">
        <v>7335</v>
      </c>
      <c r="G399">
        <v>1191.5999999999999</v>
      </c>
      <c r="H399">
        <v>127228</v>
      </c>
      <c r="I399">
        <v>402</v>
      </c>
      <c r="J399" t="s">
        <v>25</v>
      </c>
    </row>
    <row r="400" spans="1:10" x14ac:dyDescent="0.2">
      <c r="A400" s="1">
        <v>46089</v>
      </c>
      <c r="B400" t="s">
        <v>15</v>
      </c>
      <c r="C400" t="s">
        <v>27</v>
      </c>
      <c r="D400" t="s">
        <v>29</v>
      </c>
      <c r="E400">
        <v>92320</v>
      </c>
      <c r="F400">
        <v>4057</v>
      </c>
      <c r="G400">
        <v>757.44</v>
      </c>
      <c r="H400">
        <v>69537</v>
      </c>
      <c r="I400">
        <v>211</v>
      </c>
      <c r="J400" t="s">
        <v>25</v>
      </c>
    </row>
    <row r="401" spans="1:10" x14ac:dyDescent="0.2">
      <c r="A401" s="1">
        <v>46089</v>
      </c>
      <c r="B401" t="s">
        <v>15</v>
      </c>
      <c r="C401" t="s">
        <v>28</v>
      </c>
      <c r="D401" t="s">
        <v>29</v>
      </c>
      <c r="E401">
        <v>76385</v>
      </c>
      <c r="F401">
        <v>3273</v>
      </c>
      <c r="G401">
        <v>511.77</v>
      </c>
      <c r="H401">
        <v>58729</v>
      </c>
      <c r="I401">
        <v>106</v>
      </c>
      <c r="J401" t="s">
        <v>25</v>
      </c>
    </row>
    <row r="402" spans="1:10" x14ac:dyDescent="0.2">
      <c r="A402" s="1">
        <v>46089</v>
      </c>
      <c r="B402" t="s">
        <v>19</v>
      </c>
      <c r="C402" t="s">
        <v>23</v>
      </c>
      <c r="D402" t="s">
        <v>24</v>
      </c>
      <c r="E402">
        <v>157484</v>
      </c>
      <c r="F402">
        <v>5366</v>
      </c>
      <c r="G402">
        <v>837.22</v>
      </c>
      <c r="H402">
        <v>124709</v>
      </c>
      <c r="I402">
        <v>328</v>
      </c>
      <c r="J402" t="s">
        <v>25</v>
      </c>
    </row>
    <row r="403" spans="1:10" x14ac:dyDescent="0.2">
      <c r="A403" s="1">
        <v>46089</v>
      </c>
      <c r="B403" t="s">
        <v>19</v>
      </c>
      <c r="C403" t="s">
        <v>26</v>
      </c>
      <c r="D403" t="s">
        <v>24</v>
      </c>
      <c r="E403">
        <v>62052</v>
      </c>
      <c r="F403">
        <v>2205</v>
      </c>
      <c r="G403">
        <v>311.08999999999997</v>
      </c>
      <c r="H403">
        <v>47094</v>
      </c>
      <c r="I403">
        <v>74</v>
      </c>
      <c r="J403" t="s">
        <v>25</v>
      </c>
    </row>
    <row r="404" spans="1:10" x14ac:dyDescent="0.2">
      <c r="A404" s="1">
        <v>46090</v>
      </c>
      <c r="B404" t="s">
        <v>10</v>
      </c>
      <c r="C404" t="s">
        <v>23</v>
      </c>
      <c r="D404" t="s">
        <v>29</v>
      </c>
      <c r="E404">
        <v>169573</v>
      </c>
      <c r="F404">
        <v>7358</v>
      </c>
      <c r="G404">
        <v>1395.21</v>
      </c>
      <c r="H404">
        <v>134055</v>
      </c>
      <c r="I404">
        <v>375</v>
      </c>
      <c r="J404" t="s">
        <v>25</v>
      </c>
    </row>
    <row r="405" spans="1:10" x14ac:dyDescent="0.2">
      <c r="A405" s="1">
        <v>46090</v>
      </c>
      <c r="B405" t="s">
        <v>10</v>
      </c>
      <c r="C405" t="s">
        <v>26</v>
      </c>
      <c r="D405" t="s">
        <v>30</v>
      </c>
      <c r="E405">
        <v>137759</v>
      </c>
      <c r="F405">
        <v>5265</v>
      </c>
      <c r="G405">
        <v>1030.8499999999999</v>
      </c>
      <c r="H405">
        <v>99394</v>
      </c>
      <c r="I405">
        <v>222</v>
      </c>
      <c r="J405" t="s">
        <v>25</v>
      </c>
    </row>
    <row r="406" spans="1:10" x14ac:dyDescent="0.2">
      <c r="A406" s="1">
        <v>46090</v>
      </c>
      <c r="B406" t="s">
        <v>15</v>
      </c>
      <c r="C406" t="s">
        <v>27</v>
      </c>
      <c r="D406" t="s">
        <v>29</v>
      </c>
      <c r="E406">
        <v>121219</v>
      </c>
      <c r="F406">
        <v>4173</v>
      </c>
      <c r="G406">
        <v>798.13</v>
      </c>
      <c r="H406">
        <v>94535</v>
      </c>
      <c r="I406">
        <v>200</v>
      </c>
      <c r="J406" t="s">
        <v>25</v>
      </c>
    </row>
    <row r="407" spans="1:10" x14ac:dyDescent="0.2">
      <c r="A407" s="1">
        <v>46090</v>
      </c>
      <c r="B407" t="s">
        <v>15</v>
      </c>
      <c r="C407" t="s">
        <v>28</v>
      </c>
      <c r="D407" t="s">
        <v>30</v>
      </c>
      <c r="E407">
        <v>160171</v>
      </c>
      <c r="F407">
        <v>6125</v>
      </c>
      <c r="G407">
        <v>1005.58</v>
      </c>
      <c r="H407">
        <v>128022</v>
      </c>
      <c r="I407">
        <v>300</v>
      </c>
      <c r="J407" t="s">
        <v>25</v>
      </c>
    </row>
    <row r="408" spans="1:10" x14ac:dyDescent="0.2">
      <c r="A408" s="1">
        <v>46091</v>
      </c>
      <c r="B408" t="s">
        <v>10</v>
      </c>
      <c r="C408" t="s">
        <v>23</v>
      </c>
      <c r="D408" t="s">
        <v>24</v>
      </c>
      <c r="E408">
        <v>153082</v>
      </c>
      <c r="F408">
        <v>6090</v>
      </c>
      <c r="G408">
        <v>1212.5</v>
      </c>
      <c r="H408">
        <v>111745</v>
      </c>
      <c r="I408">
        <v>331</v>
      </c>
      <c r="J408" t="s">
        <v>25</v>
      </c>
    </row>
    <row r="409" spans="1:10" x14ac:dyDescent="0.2">
      <c r="A409" s="1">
        <v>46091</v>
      </c>
      <c r="B409" t="s">
        <v>10</v>
      </c>
      <c r="C409" t="s">
        <v>26</v>
      </c>
      <c r="D409" t="s">
        <v>30</v>
      </c>
      <c r="E409">
        <v>97305</v>
      </c>
      <c r="F409">
        <v>3568</v>
      </c>
      <c r="G409">
        <v>567.03</v>
      </c>
      <c r="H409">
        <v>77935</v>
      </c>
      <c r="I409">
        <v>117</v>
      </c>
      <c r="J409" t="s">
        <v>25</v>
      </c>
    </row>
    <row r="410" spans="1:10" x14ac:dyDescent="0.2">
      <c r="A410" s="1">
        <v>46091</v>
      </c>
      <c r="B410" t="s">
        <v>15</v>
      </c>
      <c r="C410" t="s">
        <v>27</v>
      </c>
      <c r="D410" t="s">
        <v>24</v>
      </c>
      <c r="E410">
        <v>151869</v>
      </c>
      <c r="F410">
        <v>5714</v>
      </c>
      <c r="G410">
        <v>947.91</v>
      </c>
      <c r="H410">
        <v>127493</v>
      </c>
      <c r="I410">
        <v>186</v>
      </c>
      <c r="J410" t="s">
        <v>25</v>
      </c>
    </row>
    <row r="411" spans="1:10" x14ac:dyDescent="0.2">
      <c r="A411" s="1">
        <v>46091</v>
      </c>
      <c r="B411" t="s">
        <v>15</v>
      </c>
      <c r="C411" t="s">
        <v>28</v>
      </c>
      <c r="D411" t="s">
        <v>29</v>
      </c>
      <c r="E411">
        <v>140312</v>
      </c>
      <c r="F411">
        <v>6160</v>
      </c>
      <c r="G411">
        <v>1228.19</v>
      </c>
      <c r="H411">
        <v>107343</v>
      </c>
      <c r="I411">
        <v>296</v>
      </c>
      <c r="J411" t="s">
        <v>25</v>
      </c>
    </row>
    <row r="412" spans="1:10" x14ac:dyDescent="0.2">
      <c r="A412" s="1">
        <v>46092</v>
      </c>
      <c r="B412" t="s">
        <v>10</v>
      </c>
      <c r="C412" t="s">
        <v>23</v>
      </c>
      <c r="D412" t="s">
        <v>29</v>
      </c>
      <c r="E412">
        <v>148948</v>
      </c>
      <c r="F412">
        <v>7027</v>
      </c>
      <c r="G412">
        <v>1035.8499999999999</v>
      </c>
      <c r="H412">
        <v>114316</v>
      </c>
      <c r="I412">
        <v>269</v>
      </c>
      <c r="J412" t="s">
        <v>25</v>
      </c>
    </row>
    <row r="413" spans="1:10" x14ac:dyDescent="0.2">
      <c r="A413" s="1">
        <v>46092</v>
      </c>
      <c r="B413" t="s">
        <v>10</v>
      </c>
      <c r="C413" t="s">
        <v>26</v>
      </c>
      <c r="D413" t="s">
        <v>24</v>
      </c>
      <c r="E413">
        <v>142750</v>
      </c>
      <c r="F413">
        <v>5228</v>
      </c>
      <c r="G413">
        <v>1003.22</v>
      </c>
      <c r="H413">
        <v>115916</v>
      </c>
      <c r="I413">
        <v>321</v>
      </c>
      <c r="J413" t="s">
        <v>25</v>
      </c>
    </row>
    <row r="414" spans="1:10" x14ac:dyDescent="0.2">
      <c r="A414" s="1">
        <v>46092</v>
      </c>
      <c r="B414" t="s">
        <v>15</v>
      </c>
      <c r="C414" t="s">
        <v>27</v>
      </c>
      <c r="D414" t="s">
        <v>29</v>
      </c>
      <c r="E414">
        <v>139227</v>
      </c>
      <c r="F414">
        <v>5365</v>
      </c>
      <c r="G414">
        <v>992.94</v>
      </c>
      <c r="H414">
        <v>107230</v>
      </c>
      <c r="I414">
        <v>268</v>
      </c>
      <c r="J414" t="s">
        <v>25</v>
      </c>
    </row>
    <row r="415" spans="1:10" x14ac:dyDescent="0.2">
      <c r="A415" s="1">
        <v>46092</v>
      </c>
      <c r="B415" t="s">
        <v>15</v>
      </c>
      <c r="C415" t="s">
        <v>28</v>
      </c>
      <c r="D415" t="s">
        <v>29</v>
      </c>
      <c r="E415">
        <v>107382</v>
      </c>
      <c r="F415">
        <v>4519</v>
      </c>
      <c r="G415">
        <v>812.76</v>
      </c>
      <c r="H415">
        <v>86165</v>
      </c>
      <c r="I415">
        <v>230</v>
      </c>
      <c r="J415" t="s">
        <v>25</v>
      </c>
    </row>
    <row r="416" spans="1:10" x14ac:dyDescent="0.2">
      <c r="A416" s="1">
        <v>46093</v>
      </c>
      <c r="B416" t="s">
        <v>10</v>
      </c>
      <c r="C416" t="s">
        <v>23</v>
      </c>
      <c r="D416" t="s">
        <v>29</v>
      </c>
      <c r="E416">
        <v>131089</v>
      </c>
      <c r="F416">
        <v>5318</v>
      </c>
      <c r="G416">
        <v>869.65</v>
      </c>
      <c r="H416">
        <v>107897</v>
      </c>
      <c r="I416">
        <v>249</v>
      </c>
      <c r="J416" t="s">
        <v>25</v>
      </c>
    </row>
    <row r="417" spans="1:10" x14ac:dyDescent="0.2">
      <c r="A417" s="1">
        <v>46093</v>
      </c>
      <c r="B417" t="s">
        <v>10</v>
      </c>
      <c r="C417" t="s">
        <v>26</v>
      </c>
      <c r="D417" t="s">
        <v>30</v>
      </c>
      <c r="E417">
        <v>94279</v>
      </c>
      <c r="F417">
        <v>4263</v>
      </c>
      <c r="G417">
        <v>711.78</v>
      </c>
      <c r="H417">
        <v>78333</v>
      </c>
      <c r="I417">
        <v>159</v>
      </c>
      <c r="J417" t="s">
        <v>25</v>
      </c>
    </row>
    <row r="418" spans="1:10" x14ac:dyDescent="0.2">
      <c r="A418" s="1">
        <v>46093</v>
      </c>
      <c r="B418" t="s">
        <v>15</v>
      </c>
      <c r="C418" t="s">
        <v>27</v>
      </c>
      <c r="D418" t="s">
        <v>29</v>
      </c>
      <c r="E418">
        <v>46068</v>
      </c>
      <c r="F418">
        <v>1866</v>
      </c>
      <c r="G418">
        <v>298.64</v>
      </c>
      <c r="H418">
        <v>35734</v>
      </c>
      <c r="I418">
        <v>69</v>
      </c>
      <c r="J418" t="s">
        <v>25</v>
      </c>
    </row>
    <row r="419" spans="1:10" x14ac:dyDescent="0.2">
      <c r="A419" s="1">
        <v>46093</v>
      </c>
      <c r="B419" t="s">
        <v>15</v>
      </c>
      <c r="C419" t="s">
        <v>28</v>
      </c>
      <c r="D419" t="s">
        <v>30</v>
      </c>
      <c r="E419">
        <v>110819</v>
      </c>
      <c r="F419">
        <v>4574</v>
      </c>
      <c r="G419">
        <v>755.1</v>
      </c>
      <c r="H419">
        <v>85351</v>
      </c>
      <c r="I419">
        <v>172</v>
      </c>
      <c r="J419" t="s">
        <v>25</v>
      </c>
    </row>
    <row r="420" spans="1:10" x14ac:dyDescent="0.2">
      <c r="A420" s="1">
        <v>46094</v>
      </c>
      <c r="B420" t="s">
        <v>10</v>
      </c>
      <c r="C420" t="s">
        <v>23</v>
      </c>
      <c r="D420" t="s">
        <v>24</v>
      </c>
      <c r="E420">
        <v>150952</v>
      </c>
      <c r="F420">
        <v>5371</v>
      </c>
      <c r="G420">
        <v>948.42</v>
      </c>
      <c r="H420">
        <v>117803</v>
      </c>
      <c r="I420">
        <v>184</v>
      </c>
      <c r="J420" t="s">
        <v>25</v>
      </c>
    </row>
    <row r="421" spans="1:10" x14ac:dyDescent="0.2">
      <c r="A421" s="1">
        <v>46094</v>
      </c>
      <c r="B421" t="s">
        <v>10</v>
      </c>
      <c r="C421" t="s">
        <v>26</v>
      </c>
      <c r="D421" t="s">
        <v>30</v>
      </c>
      <c r="E421">
        <v>49389</v>
      </c>
      <c r="F421">
        <v>1837</v>
      </c>
      <c r="G421">
        <v>284.73</v>
      </c>
      <c r="H421">
        <v>38934</v>
      </c>
      <c r="I421">
        <v>84</v>
      </c>
      <c r="J421" t="s">
        <v>25</v>
      </c>
    </row>
    <row r="422" spans="1:10" x14ac:dyDescent="0.2">
      <c r="A422" s="1">
        <v>46094</v>
      </c>
      <c r="B422" t="s">
        <v>15</v>
      </c>
      <c r="C422" t="s">
        <v>27</v>
      </c>
      <c r="D422" t="s">
        <v>24</v>
      </c>
      <c r="E422">
        <v>108595</v>
      </c>
      <c r="F422">
        <v>3514</v>
      </c>
      <c r="G422">
        <v>618.75</v>
      </c>
      <c r="H422">
        <v>88481</v>
      </c>
      <c r="I422">
        <v>153</v>
      </c>
      <c r="J422" t="s">
        <v>25</v>
      </c>
    </row>
    <row r="423" spans="1:10" x14ac:dyDescent="0.2">
      <c r="A423" s="1">
        <v>46094</v>
      </c>
      <c r="B423" t="s">
        <v>15</v>
      </c>
      <c r="C423" t="s">
        <v>28</v>
      </c>
      <c r="D423" t="s">
        <v>30</v>
      </c>
      <c r="E423">
        <v>72997</v>
      </c>
      <c r="F423">
        <v>2870</v>
      </c>
      <c r="G423">
        <v>526.30999999999995</v>
      </c>
      <c r="H423">
        <v>54654</v>
      </c>
      <c r="I423">
        <v>132</v>
      </c>
      <c r="J423" t="s">
        <v>25</v>
      </c>
    </row>
    <row r="424" spans="1:10" x14ac:dyDescent="0.2">
      <c r="A424" s="1">
        <v>46095</v>
      </c>
      <c r="B424" t="s">
        <v>10</v>
      </c>
      <c r="C424" t="s">
        <v>23</v>
      </c>
      <c r="D424" t="s">
        <v>24</v>
      </c>
      <c r="E424">
        <v>100490</v>
      </c>
      <c r="F424">
        <v>3428</v>
      </c>
      <c r="G424">
        <v>493.25</v>
      </c>
      <c r="H424">
        <v>72725</v>
      </c>
      <c r="I424">
        <v>169</v>
      </c>
      <c r="J424" t="s">
        <v>25</v>
      </c>
    </row>
    <row r="425" spans="1:10" x14ac:dyDescent="0.2">
      <c r="A425" s="1">
        <v>46095</v>
      </c>
      <c r="B425" t="s">
        <v>10</v>
      </c>
      <c r="C425" t="s">
        <v>26</v>
      </c>
      <c r="D425" t="s">
        <v>30</v>
      </c>
      <c r="E425">
        <v>87253</v>
      </c>
      <c r="F425">
        <v>3746</v>
      </c>
      <c r="G425">
        <v>624.16</v>
      </c>
      <c r="H425">
        <v>65354</v>
      </c>
      <c r="I425">
        <v>139</v>
      </c>
      <c r="J425" t="s">
        <v>25</v>
      </c>
    </row>
    <row r="426" spans="1:10" x14ac:dyDescent="0.2">
      <c r="A426" s="1">
        <v>46095</v>
      </c>
      <c r="B426" t="s">
        <v>15</v>
      </c>
      <c r="C426" t="s">
        <v>27</v>
      </c>
      <c r="D426" t="s">
        <v>29</v>
      </c>
      <c r="E426">
        <v>130733</v>
      </c>
      <c r="F426">
        <v>5525</v>
      </c>
      <c r="G426">
        <v>1039.92</v>
      </c>
      <c r="H426">
        <v>107272</v>
      </c>
      <c r="I426">
        <v>321</v>
      </c>
      <c r="J426" t="s">
        <v>25</v>
      </c>
    </row>
    <row r="427" spans="1:10" x14ac:dyDescent="0.2">
      <c r="A427" s="1">
        <v>46095</v>
      </c>
      <c r="B427" t="s">
        <v>15</v>
      </c>
      <c r="C427" t="s">
        <v>28</v>
      </c>
      <c r="D427" t="s">
        <v>30</v>
      </c>
      <c r="E427">
        <v>87222</v>
      </c>
      <c r="F427">
        <v>3436</v>
      </c>
      <c r="G427">
        <v>679.46</v>
      </c>
      <c r="H427">
        <v>62871</v>
      </c>
      <c r="I427">
        <v>113</v>
      </c>
      <c r="J427" t="s">
        <v>25</v>
      </c>
    </row>
    <row r="428" spans="1:10" x14ac:dyDescent="0.2">
      <c r="A428" s="1">
        <v>46095</v>
      </c>
      <c r="B428" t="s">
        <v>19</v>
      </c>
      <c r="C428" t="s">
        <v>23</v>
      </c>
      <c r="D428" t="s">
        <v>24</v>
      </c>
      <c r="E428">
        <v>134063</v>
      </c>
      <c r="F428">
        <v>6425</v>
      </c>
      <c r="G428">
        <v>1231.8699999999999</v>
      </c>
      <c r="H428">
        <v>97657</v>
      </c>
      <c r="I428">
        <v>285</v>
      </c>
      <c r="J428" t="s">
        <v>25</v>
      </c>
    </row>
    <row r="429" spans="1:10" x14ac:dyDescent="0.2">
      <c r="A429" s="1">
        <v>46095</v>
      </c>
      <c r="B429" t="s">
        <v>19</v>
      </c>
      <c r="C429" t="s">
        <v>26</v>
      </c>
      <c r="D429" t="s">
        <v>24</v>
      </c>
      <c r="E429">
        <v>167497</v>
      </c>
      <c r="F429">
        <v>6799</v>
      </c>
      <c r="G429">
        <v>1243.8599999999999</v>
      </c>
      <c r="H429">
        <v>132797</v>
      </c>
      <c r="I429">
        <v>419</v>
      </c>
      <c r="J429" t="s">
        <v>25</v>
      </c>
    </row>
    <row r="430" spans="1:10" x14ac:dyDescent="0.2">
      <c r="A430" s="1">
        <v>46096</v>
      </c>
      <c r="B430" t="s">
        <v>10</v>
      </c>
      <c r="C430" t="s">
        <v>23</v>
      </c>
      <c r="D430" t="s">
        <v>24</v>
      </c>
      <c r="E430">
        <v>120220</v>
      </c>
      <c r="F430">
        <v>4771</v>
      </c>
      <c r="G430">
        <v>875.77</v>
      </c>
      <c r="H430">
        <v>90784</v>
      </c>
      <c r="I430">
        <v>209</v>
      </c>
      <c r="J430" t="s">
        <v>25</v>
      </c>
    </row>
    <row r="431" spans="1:10" x14ac:dyDescent="0.2">
      <c r="A431" s="1">
        <v>46096</v>
      </c>
      <c r="B431" t="s">
        <v>10</v>
      </c>
      <c r="C431" t="s">
        <v>26</v>
      </c>
      <c r="D431" t="s">
        <v>24</v>
      </c>
      <c r="E431">
        <v>107416</v>
      </c>
      <c r="F431">
        <v>4123</v>
      </c>
      <c r="G431">
        <v>806.64</v>
      </c>
      <c r="H431">
        <v>85450</v>
      </c>
      <c r="I431">
        <v>186</v>
      </c>
      <c r="J431" t="s">
        <v>25</v>
      </c>
    </row>
    <row r="432" spans="1:10" x14ac:dyDescent="0.2">
      <c r="A432" s="1">
        <v>46096</v>
      </c>
      <c r="B432" t="s">
        <v>15</v>
      </c>
      <c r="C432" t="s">
        <v>27</v>
      </c>
      <c r="D432" t="s">
        <v>24</v>
      </c>
      <c r="E432">
        <v>63156</v>
      </c>
      <c r="F432">
        <v>2168</v>
      </c>
      <c r="G432">
        <v>337.67</v>
      </c>
      <c r="H432">
        <v>51726</v>
      </c>
      <c r="I432">
        <v>118</v>
      </c>
      <c r="J432" t="s">
        <v>25</v>
      </c>
    </row>
    <row r="433" spans="1:10" x14ac:dyDescent="0.2">
      <c r="A433" s="1">
        <v>46096</v>
      </c>
      <c r="B433" t="s">
        <v>15</v>
      </c>
      <c r="C433" t="s">
        <v>28</v>
      </c>
      <c r="D433" t="s">
        <v>30</v>
      </c>
      <c r="E433">
        <v>168522</v>
      </c>
      <c r="F433">
        <v>5848</v>
      </c>
      <c r="G433">
        <v>963.6</v>
      </c>
      <c r="H433">
        <v>128208</v>
      </c>
      <c r="I433">
        <v>347</v>
      </c>
      <c r="J433" t="s">
        <v>25</v>
      </c>
    </row>
    <row r="434" spans="1:10" x14ac:dyDescent="0.2">
      <c r="A434" s="1">
        <v>46096</v>
      </c>
      <c r="B434" t="s">
        <v>19</v>
      </c>
      <c r="C434" t="s">
        <v>23</v>
      </c>
      <c r="D434" t="s">
        <v>24</v>
      </c>
      <c r="E434">
        <v>81296</v>
      </c>
      <c r="F434">
        <v>2945</v>
      </c>
      <c r="G434">
        <v>470.62</v>
      </c>
      <c r="H434">
        <v>65300</v>
      </c>
      <c r="I434">
        <v>134</v>
      </c>
      <c r="J434" t="s">
        <v>25</v>
      </c>
    </row>
    <row r="435" spans="1:10" x14ac:dyDescent="0.2">
      <c r="A435" s="1">
        <v>46096</v>
      </c>
      <c r="B435" t="s">
        <v>19</v>
      </c>
      <c r="C435" t="s">
        <v>26</v>
      </c>
      <c r="D435" t="s">
        <v>24</v>
      </c>
      <c r="E435">
        <v>173721</v>
      </c>
      <c r="F435">
        <v>6239</v>
      </c>
      <c r="G435">
        <v>970.79</v>
      </c>
      <c r="H435">
        <v>131234</v>
      </c>
      <c r="I435">
        <v>282</v>
      </c>
      <c r="J435" t="s">
        <v>25</v>
      </c>
    </row>
    <row r="436" spans="1:10" x14ac:dyDescent="0.2">
      <c r="A436" s="1">
        <v>46096</v>
      </c>
      <c r="B436" t="s">
        <v>21</v>
      </c>
      <c r="C436" t="s">
        <v>23</v>
      </c>
      <c r="D436" t="s">
        <v>24</v>
      </c>
      <c r="E436">
        <v>164699</v>
      </c>
      <c r="F436">
        <v>5950</v>
      </c>
      <c r="G436">
        <v>931.28</v>
      </c>
      <c r="H436">
        <v>119289</v>
      </c>
      <c r="I436">
        <v>215</v>
      </c>
      <c r="J436" t="s">
        <v>25</v>
      </c>
    </row>
    <row r="437" spans="1:10" x14ac:dyDescent="0.2">
      <c r="A437" s="1">
        <v>46096</v>
      </c>
      <c r="B437" t="s">
        <v>21</v>
      </c>
      <c r="C437" t="s">
        <v>26</v>
      </c>
      <c r="D437" t="s">
        <v>29</v>
      </c>
      <c r="E437">
        <v>49920</v>
      </c>
      <c r="F437">
        <v>1773</v>
      </c>
      <c r="G437">
        <v>287.67</v>
      </c>
      <c r="H437">
        <v>38115</v>
      </c>
      <c r="I437">
        <v>72</v>
      </c>
      <c r="J437" t="s">
        <v>25</v>
      </c>
    </row>
    <row r="438" spans="1:10" x14ac:dyDescent="0.2">
      <c r="A438" s="1">
        <v>46097</v>
      </c>
      <c r="B438" t="s">
        <v>10</v>
      </c>
      <c r="C438" t="s">
        <v>23</v>
      </c>
      <c r="D438" t="s">
        <v>24</v>
      </c>
      <c r="E438">
        <v>142221</v>
      </c>
      <c r="F438">
        <v>5993</v>
      </c>
      <c r="G438">
        <v>1009.92</v>
      </c>
      <c r="H438">
        <v>109906</v>
      </c>
      <c r="I438">
        <v>244</v>
      </c>
      <c r="J438" t="s">
        <v>25</v>
      </c>
    </row>
    <row r="439" spans="1:10" x14ac:dyDescent="0.2">
      <c r="A439" s="1">
        <v>46097</v>
      </c>
      <c r="B439" t="s">
        <v>10</v>
      </c>
      <c r="C439" t="s">
        <v>26</v>
      </c>
      <c r="D439" t="s">
        <v>24</v>
      </c>
      <c r="E439">
        <v>70466</v>
      </c>
      <c r="F439">
        <v>2939</v>
      </c>
      <c r="G439">
        <v>562.96</v>
      </c>
      <c r="H439">
        <v>52911</v>
      </c>
      <c r="I439">
        <v>114</v>
      </c>
      <c r="J439" t="s">
        <v>25</v>
      </c>
    </row>
    <row r="440" spans="1:10" x14ac:dyDescent="0.2">
      <c r="A440" s="1">
        <v>46097</v>
      </c>
      <c r="B440" t="s">
        <v>15</v>
      </c>
      <c r="C440" t="s">
        <v>27</v>
      </c>
      <c r="D440" t="s">
        <v>24</v>
      </c>
      <c r="E440">
        <v>144878</v>
      </c>
      <c r="F440">
        <v>5338</v>
      </c>
      <c r="G440">
        <v>934.44</v>
      </c>
      <c r="H440">
        <v>108822</v>
      </c>
      <c r="I440">
        <v>286</v>
      </c>
      <c r="J440" t="s">
        <v>25</v>
      </c>
    </row>
    <row r="441" spans="1:10" x14ac:dyDescent="0.2">
      <c r="A441" s="1">
        <v>46097</v>
      </c>
      <c r="B441" t="s">
        <v>15</v>
      </c>
      <c r="C441" t="s">
        <v>28</v>
      </c>
      <c r="D441" t="s">
        <v>29</v>
      </c>
      <c r="E441">
        <v>126772</v>
      </c>
      <c r="F441">
        <v>5311</v>
      </c>
      <c r="G441">
        <v>797.84</v>
      </c>
      <c r="H441">
        <v>96512</v>
      </c>
      <c r="I441">
        <v>194</v>
      </c>
      <c r="J441" t="s">
        <v>25</v>
      </c>
    </row>
    <row r="442" spans="1:10" x14ac:dyDescent="0.2">
      <c r="A442" s="1">
        <v>46097</v>
      </c>
      <c r="B442" t="s">
        <v>21</v>
      </c>
      <c r="C442" t="s">
        <v>23</v>
      </c>
      <c r="D442" t="s">
        <v>24</v>
      </c>
      <c r="E442">
        <v>134672</v>
      </c>
      <c r="F442">
        <v>5116</v>
      </c>
      <c r="G442">
        <v>981.89</v>
      </c>
      <c r="H442">
        <v>104805</v>
      </c>
      <c r="I442">
        <v>189</v>
      </c>
      <c r="J442" t="s">
        <v>25</v>
      </c>
    </row>
    <row r="443" spans="1:10" x14ac:dyDescent="0.2">
      <c r="A443" s="1">
        <v>46097</v>
      </c>
      <c r="B443" t="s">
        <v>21</v>
      </c>
      <c r="C443" t="s">
        <v>26</v>
      </c>
      <c r="D443" t="s">
        <v>29</v>
      </c>
      <c r="E443">
        <v>75384</v>
      </c>
      <c r="F443">
        <v>2996</v>
      </c>
      <c r="G443">
        <v>487.73</v>
      </c>
      <c r="H443">
        <v>60325</v>
      </c>
      <c r="I443">
        <v>101</v>
      </c>
      <c r="J443" t="s">
        <v>25</v>
      </c>
    </row>
    <row r="444" spans="1:10" x14ac:dyDescent="0.2">
      <c r="A444" s="1">
        <v>46098</v>
      </c>
      <c r="B444" t="s">
        <v>10</v>
      </c>
      <c r="C444" t="s">
        <v>23</v>
      </c>
      <c r="D444" t="s">
        <v>24</v>
      </c>
      <c r="E444">
        <v>98203</v>
      </c>
      <c r="F444">
        <v>3466</v>
      </c>
      <c r="G444">
        <v>516.45000000000005</v>
      </c>
      <c r="H444">
        <v>77878</v>
      </c>
      <c r="I444">
        <v>186</v>
      </c>
      <c r="J444" t="s">
        <v>25</v>
      </c>
    </row>
    <row r="445" spans="1:10" x14ac:dyDescent="0.2">
      <c r="A445" s="1">
        <v>46098</v>
      </c>
      <c r="B445" t="s">
        <v>10</v>
      </c>
      <c r="C445" t="s">
        <v>26</v>
      </c>
      <c r="D445" t="s">
        <v>24</v>
      </c>
      <c r="E445">
        <v>156254</v>
      </c>
      <c r="F445">
        <v>5492</v>
      </c>
      <c r="G445">
        <v>933.24</v>
      </c>
      <c r="H445">
        <v>123179</v>
      </c>
      <c r="I445">
        <v>280</v>
      </c>
      <c r="J445" t="s">
        <v>25</v>
      </c>
    </row>
    <row r="446" spans="1:10" x14ac:dyDescent="0.2">
      <c r="A446" s="1">
        <v>46098</v>
      </c>
      <c r="B446" t="s">
        <v>15</v>
      </c>
      <c r="C446" t="s">
        <v>27</v>
      </c>
      <c r="D446" t="s">
        <v>24</v>
      </c>
      <c r="E446">
        <v>172656</v>
      </c>
      <c r="F446">
        <v>7861</v>
      </c>
      <c r="G446">
        <v>1469.89</v>
      </c>
      <c r="H446">
        <v>135171</v>
      </c>
      <c r="I446">
        <v>305</v>
      </c>
      <c r="J446" t="s">
        <v>25</v>
      </c>
    </row>
    <row r="447" spans="1:10" x14ac:dyDescent="0.2">
      <c r="A447" s="1">
        <v>46098</v>
      </c>
      <c r="B447" t="s">
        <v>15</v>
      </c>
      <c r="C447" t="s">
        <v>28</v>
      </c>
      <c r="D447" t="s">
        <v>30</v>
      </c>
      <c r="E447">
        <v>107447</v>
      </c>
      <c r="F447">
        <v>4580</v>
      </c>
      <c r="G447">
        <v>750.71</v>
      </c>
      <c r="H447">
        <v>78636</v>
      </c>
      <c r="I447">
        <v>191</v>
      </c>
      <c r="J447" t="s">
        <v>25</v>
      </c>
    </row>
    <row r="448" spans="1:10" x14ac:dyDescent="0.2">
      <c r="A448" s="1">
        <v>46098</v>
      </c>
      <c r="B448" t="s">
        <v>21</v>
      </c>
      <c r="C448" t="s">
        <v>23</v>
      </c>
      <c r="D448" t="s">
        <v>24</v>
      </c>
      <c r="E448">
        <v>91756</v>
      </c>
      <c r="F448">
        <v>3748</v>
      </c>
      <c r="G448">
        <v>644.98</v>
      </c>
      <c r="H448">
        <v>74226</v>
      </c>
      <c r="I448">
        <v>218</v>
      </c>
      <c r="J448" t="s">
        <v>25</v>
      </c>
    </row>
    <row r="449" spans="1:10" x14ac:dyDescent="0.2">
      <c r="A449" s="1">
        <v>46098</v>
      </c>
      <c r="B449" t="s">
        <v>21</v>
      </c>
      <c r="C449" t="s">
        <v>26</v>
      </c>
      <c r="D449" t="s">
        <v>29</v>
      </c>
      <c r="E449">
        <v>121603</v>
      </c>
      <c r="F449">
        <v>4993</v>
      </c>
      <c r="G449">
        <v>773.31</v>
      </c>
      <c r="H449">
        <v>91290</v>
      </c>
      <c r="I449">
        <v>270</v>
      </c>
      <c r="J449" t="s">
        <v>25</v>
      </c>
    </row>
    <row r="450" spans="1:10" x14ac:dyDescent="0.2">
      <c r="A450" s="1">
        <v>46099</v>
      </c>
      <c r="B450" t="s">
        <v>10</v>
      </c>
      <c r="C450" t="s">
        <v>23</v>
      </c>
      <c r="D450" t="s">
        <v>24</v>
      </c>
      <c r="E450">
        <v>84406</v>
      </c>
      <c r="F450">
        <v>3632</v>
      </c>
      <c r="G450">
        <v>607.87</v>
      </c>
      <c r="H450">
        <v>61179</v>
      </c>
      <c r="I450">
        <v>182</v>
      </c>
      <c r="J450" t="s">
        <v>25</v>
      </c>
    </row>
    <row r="451" spans="1:10" x14ac:dyDescent="0.2">
      <c r="A451" s="1">
        <v>46099</v>
      </c>
      <c r="B451" t="s">
        <v>10</v>
      </c>
      <c r="C451" t="s">
        <v>26</v>
      </c>
      <c r="D451" t="s">
        <v>30</v>
      </c>
      <c r="E451">
        <v>61066</v>
      </c>
      <c r="F451">
        <v>2680</v>
      </c>
      <c r="G451">
        <v>493.12</v>
      </c>
      <c r="H451">
        <v>50690</v>
      </c>
      <c r="I451">
        <v>158</v>
      </c>
      <c r="J451" t="s">
        <v>25</v>
      </c>
    </row>
    <row r="452" spans="1:10" x14ac:dyDescent="0.2">
      <c r="A452" s="1">
        <v>46099</v>
      </c>
      <c r="B452" t="s">
        <v>15</v>
      </c>
      <c r="C452" t="s">
        <v>27</v>
      </c>
      <c r="D452" t="s">
        <v>24</v>
      </c>
      <c r="E452">
        <v>134539</v>
      </c>
      <c r="F452">
        <v>4956</v>
      </c>
      <c r="G452">
        <v>755.61</v>
      </c>
      <c r="H452">
        <v>100806</v>
      </c>
      <c r="I452">
        <v>271</v>
      </c>
      <c r="J452" t="s">
        <v>25</v>
      </c>
    </row>
    <row r="453" spans="1:10" x14ac:dyDescent="0.2">
      <c r="A453" s="1">
        <v>46099</v>
      </c>
      <c r="B453" t="s">
        <v>15</v>
      </c>
      <c r="C453" t="s">
        <v>28</v>
      </c>
      <c r="D453" t="s">
        <v>29</v>
      </c>
      <c r="E453">
        <v>124607</v>
      </c>
      <c r="F453">
        <v>4183</v>
      </c>
      <c r="G453">
        <v>806.89</v>
      </c>
      <c r="H453">
        <v>90480</v>
      </c>
      <c r="I453">
        <v>232</v>
      </c>
      <c r="J453" t="s">
        <v>25</v>
      </c>
    </row>
    <row r="454" spans="1:10" x14ac:dyDescent="0.2">
      <c r="A454" s="1">
        <v>46099</v>
      </c>
      <c r="B454" t="s">
        <v>21</v>
      </c>
      <c r="C454" t="s">
        <v>23</v>
      </c>
      <c r="D454" t="s">
        <v>24</v>
      </c>
      <c r="E454">
        <v>78968</v>
      </c>
      <c r="F454">
        <v>3131</v>
      </c>
      <c r="G454">
        <v>521.35</v>
      </c>
      <c r="H454">
        <v>61367</v>
      </c>
      <c r="I454">
        <v>109</v>
      </c>
      <c r="J454" t="s">
        <v>25</v>
      </c>
    </row>
    <row r="455" spans="1:10" x14ac:dyDescent="0.2">
      <c r="A455" s="1">
        <v>46099</v>
      </c>
      <c r="B455" t="s">
        <v>21</v>
      </c>
      <c r="C455" t="s">
        <v>26</v>
      </c>
      <c r="D455" t="s">
        <v>29</v>
      </c>
      <c r="E455">
        <v>147444</v>
      </c>
      <c r="F455">
        <v>5867</v>
      </c>
      <c r="G455">
        <v>1021.8</v>
      </c>
      <c r="H455">
        <v>116452</v>
      </c>
      <c r="I455">
        <v>339</v>
      </c>
      <c r="J455" t="s">
        <v>25</v>
      </c>
    </row>
    <row r="456" spans="1:10" x14ac:dyDescent="0.2">
      <c r="A456" s="1">
        <v>46100</v>
      </c>
      <c r="B456" t="s">
        <v>10</v>
      </c>
      <c r="C456" t="s">
        <v>23</v>
      </c>
      <c r="D456" t="s">
        <v>24</v>
      </c>
      <c r="E456">
        <v>168179</v>
      </c>
      <c r="F456">
        <v>7767</v>
      </c>
      <c r="G456">
        <v>1449.66</v>
      </c>
      <c r="H456">
        <v>125020</v>
      </c>
      <c r="I456">
        <v>436</v>
      </c>
      <c r="J456" t="s">
        <v>25</v>
      </c>
    </row>
    <row r="457" spans="1:10" x14ac:dyDescent="0.2">
      <c r="A457" s="1">
        <v>46100</v>
      </c>
      <c r="B457" t="s">
        <v>10</v>
      </c>
      <c r="C457" t="s">
        <v>26</v>
      </c>
      <c r="D457" t="s">
        <v>30</v>
      </c>
      <c r="E457">
        <v>45583</v>
      </c>
      <c r="F457">
        <v>1642</v>
      </c>
      <c r="G457">
        <v>269.99</v>
      </c>
      <c r="H457">
        <v>34300</v>
      </c>
      <c r="I457">
        <v>83</v>
      </c>
      <c r="J457" t="s">
        <v>25</v>
      </c>
    </row>
    <row r="458" spans="1:10" x14ac:dyDescent="0.2">
      <c r="A458" s="1">
        <v>46100</v>
      </c>
      <c r="B458" t="s">
        <v>15</v>
      </c>
      <c r="C458" t="s">
        <v>27</v>
      </c>
      <c r="D458" t="s">
        <v>29</v>
      </c>
      <c r="E458">
        <v>131938</v>
      </c>
      <c r="F458">
        <v>5242</v>
      </c>
      <c r="G458">
        <v>823.13</v>
      </c>
      <c r="H458">
        <v>105211</v>
      </c>
      <c r="I458">
        <v>209</v>
      </c>
      <c r="J458" t="s">
        <v>25</v>
      </c>
    </row>
    <row r="459" spans="1:10" x14ac:dyDescent="0.2">
      <c r="A459" s="1">
        <v>46100</v>
      </c>
      <c r="B459" t="s">
        <v>15</v>
      </c>
      <c r="C459" t="s">
        <v>28</v>
      </c>
      <c r="D459" t="s">
        <v>30</v>
      </c>
      <c r="E459">
        <v>103628</v>
      </c>
      <c r="F459">
        <v>3772</v>
      </c>
      <c r="G459">
        <v>655.11</v>
      </c>
      <c r="H459">
        <v>78452</v>
      </c>
      <c r="I459">
        <v>170</v>
      </c>
      <c r="J459" t="s">
        <v>25</v>
      </c>
    </row>
    <row r="460" spans="1:10" x14ac:dyDescent="0.2">
      <c r="A460" s="1">
        <v>46100</v>
      </c>
      <c r="B460" t="s">
        <v>21</v>
      </c>
      <c r="C460" t="s">
        <v>23</v>
      </c>
      <c r="D460" t="s">
        <v>24</v>
      </c>
      <c r="E460">
        <v>128580</v>
      </c>
      <c r="F460">
        <v>4127</v>
      </c>
      <c r="G460">
        <v>799</v>
      </c>
      <c r="H460">
        <v>100439</v>
      </c>
      <c r="I460">
        <v>193</v>
      </c>
      <c r="J460" t="s">
        <v>25</v>
      </c>
    </row>
    <row r="461" spans="1:10" x14ac:dyDescent="0.2">
      <c r="A461" s="1">
        <v>46100</v>
      </c>
      <c r="B461" t="s">
        <v>21</v>
      </c>
      <c r="C461" t="s">
        <v>26</v>
      </c>
      <c r="D461" t="s">
        <v>29</v>
      </c>
      <c r="E461">
        <v>56670</v>
      </c>
      <c r="F461">
        <v>2502</v>
      </c>
      <c r="G461">
        <v>451.31</v>
      </c>
      <c r="H461">
        <v>41445</v>
      </c>
      <c r="I461">
        <v>144</v>
      </c>
      <c r="J461" t="s">
        <v>25</v>
      </c>
    </row>
    <row r="462" spans="1:10" x14ac:dyDescent="0.2">
      <c r="A462" s="1">
        <v>46101</v>
      </c>
      <c r="B462" t="s">
        <v>10</v>
      </c>
      <c r="C462" t="s">
        <v>23</v>
      </c>
      <c r="D462" t="s">
        <v>29</v>
      </c>
      <c r="E462">
        <v>154190</v>
      </c>
      <c r="F462">
        <v>6628</v>
      </c>
      <c r="G462">
        <v>1255.03</v>
      </c>
      <c r="H462">
        <v>114598</v>
      </c>
      <c r="I462">
        <v>233</v>
      </c>
      <c r="J462" t="s">
        <v>25</v>
      </c>
    </row>
    <row r="463" spans="1:10" x14ac:dyDescent="0.2">
      <c r="A463" s="1">
        <v>46101</v>
      </c>
      <c r="B463" t="s">
        <v>10</v>
      </c>
      <c r="C463" t="s">
        <v>26</v>
      </c>
      <c r="D463" t="s">
        <v>24</v>
      </c>
      <c r="E463">
        <v>81829</v>
      </c>
      <c r="F463">
        <v>3020</v>
      </c>
      <c r="G463">
        <v>478.14</v>
      </c>
      <c r="H463">
        <v>66442</v>
      </c>
      <c r="I463">
        <v>139</v>
      </c>
      <c r="J463" t="s">
        <v>25</v>
      </c>
    </row>
    <row r="464" spans="1:10" x14ac:dyDescent="0.2">
      <c r="A464" s="1">
        <v>46101</v>
      </c>
      <c r="B464" t="s">
        <v>15</v>
      </c>
      <c r="C464" t="s">
        <v>27</v>
      </c>
      <c r="D464" t="s">
        <v>29</v>
      </c>
      <c r="E464">
        <v>149358</v>
      </c>
      <c r="F464">
        <v>5281</v>
      </c>
      <c r="G464">
        <v>952.23</v>
      </c>
      <c r="H464">
        <v>113340</v>
      </c>
      <c r="I464">
        <v>199</v>
      </c>
      <c r="J464" t="s">
        <v>25</v>
      </c>
    </row>
    <row r="465" spans="1:10" x14ac:dyDescent="0.2">
      <c r="A465" s="1">
        <v>46101</v>
      </c>
      <c r="B465" t="s">
        <v>15</v>
      </c>
      <c r="C465" t="s">
        <v>28</v>
      </c>
      <c r="D465" t="s">
        <v>29</v>
      </c>
      <c r="E465">
        <v>74769</v>
      </c>
      <c r="F465">
        <v>3412</v>
      </c>
      <c r="G465">
        <v>602.58000000000004</v>
      </c>
      <c r="H465">
        <v>55243</v>
      </c>
      <c r="I465">
        <v>207</v>
      </c>
      <c r="J465" t="s">
        <v>25</v>
      </c>
    </row>
    <row r="466" spans="1:10" x14ac:dyDescent="0.2">
      <c r="A466" s="1">
        <v>46101</v>
      </c>
      <c r="B466" t="s">
        <v>21</v>
      </c>
      <c r="C466" t="s">
        <v>23</v>
      </c>
      <c r="D466" t="s">
        <v>24</v>
      </c>
      <c r="E466">
        <v>156850</v>
      </c>
      <c r="F466">
        <v>6512</v>
      </c>
      <c r="G466">
        <v>1074.57</v>
      </c>
      <c r="H466">
        <v>126605</v>
      </c>
      <c r="I466">
        <v>253</v>
      </c>
      <c r="J466" t="s">
        <v>25</v>
      </c>
    </row>
    <row r="467" spans="1:10" x14ac:dyDescent="0.2">
      <c r="A467" s="1">
        <v>46101</v>
      </c>
      <c r="B467" t="s">
        <v>21</v>
      </c>
      <c r="C467" t="s">
        <v>26</v>
      </c>
      <c r="D467" t="s">
        <v>29</v>
      </c>
      <c r="E467">
        <v>125921</v>
      </c>
      <c r="F467">
        <v>5911</v>
      </c>
      <c r="G467">
        <v>1123.48</v>
      </c>
      <c r="H467">
        <v>96265</v>
      </c>
      <c r="I467">
        <v>243</v>
      </c>
      <c r="J467" t="s">
        <v>25</v>
      </c>
    </row>
    <row r="468" spans="1:10" x14ac:dyDescent="0.2">
      <c r="A468" s="1">
        <v>46102</v>
      </c>
      <c r="B468" t="s">
        <v>10</v>
      </c>
      <c r="C468" t="s">
        <v>23</v>
      </c>
      <c r="D468" t="s">
        <v>29</v>
      </c>
      <c r="E468">
        <v>172478</v>
      </c>
      <c r="F468">
        <v>6389</v>
      </c>
      <c r="G468">
        <v>1012.54</v>
      </c>
      <c r="H468">
        <v>135842</v>
      </c>
      <c r="I468">
        <v>350</v>
      </c>
      <c r="J468" t="s">
        <v>25</v>
      </c>
    </row>
    <row r="469" spans="1:10" x14ac:dyDescent="0.2">
      <c r="A469" s="1">
        <v>46102</v>
      </c>
      <c r="B469" t="s">
        <v>10</v>
      </c>
      <c r="C469" t="s">
        <v>26</v>
      </c>
      <c r="D469" t="s">
        <v>24</v>
      </c>
      <c r="E469">
        <v>175377</v>
      </c>
      <c r="F469">
        <v>8249</v>
      </c>
      <c r="G469">
        <v>1182.23</v>
      </c>
      <c r="H469">
        <v>134874</v>
      </c>
      <c r="I469">
        <v>423</v>
      </c>
      <c r="J469" t="s">
        <v>25</v>
      </c>
    </row>
    <row r="470" spans="1:10" x14ac:dyDescent="0.2">
      <c r="A470" s="1">
        <v>46102</v>
      </c>
      <c r="B470" t="s">
        <v>15</v>
      </c>
      <c r="C470" t="s">
        <v>27</v>
      </c>
      <c r="D470" t="s">
        <v>24</v>
      </c>
      <c r="E470">
        <v>123350</v>
      </c>
      <c r="F470">
        <v>5461</v>
      </c>
      <c r="G470">
        <v>770.92</v>
      </c>
      <c r="H470">
        <v>99237</v>
      </c>
      <c r="I470">
        <v>208</v>
      </c>
      <c r="J470" t="s">
        <v>25</v>
      </c>
    </row>
    <row r="471" spans="1:10" x14ac:dyDescent="0.2">
      <c r="A471" s="1">
        <v>46102</v>
      </c>
      <c r="B471" t="s">
        <v>15</v>
      </c>
      <c r="C471" t="s">
        <v>28</v>
      </c>
      <c r="D471" t="s">
        <v>29</v>
      </c>
      <c r="E471">
        <v>95730</v>
      </c>
      <c r="F471">
        <v>4338</v>
      </c>
      <c r="G471">
        <v>613.48</v>
      </c>
      <c r="H471">
        <v>73836</v>
      </c>
      <c r="I471">
        <v>188</v>
      </c>
      <c r="J471" t="s">
        <v>25</v>
      </c>
    </row>
    <row r="472" spans="1:10" x14ac:dyDescent="0.2">
      <c r="A472" s="1">
        <v>46102</v>
      </c>
      <c r="B472" t="s">
        <v>19</v>
      </c>
      <c r="C472" t="s">
        <v>23</v>
      </c>
      <c r="D472" t="s">
        <v>24</v>
      </c>
      <c r="E472">
        <v>82130</v>
      </c>
      <c r="F472">
        <v>3439</v>
      </c>
      <c r="G472">
        <v>572.27</v>
      </c>
      <c r="H472">
        <v>61833</v>
      </c>
      <c r="I472">
        <v>117</v>
      </c>
      <c r="J472" t="s">
        <v>25</v>
      </c>
    </row>
    <row r="473" spans="1:10" x14ac:dyDescent="0.2">
      <c r="A473" s="1">
        <v>46102</v>
      </c>
      <c r="B473" t="s">
        <v>19</v>
      </c>
      <c r="C473" t="s">
        <v>26</v>
      </c>
      <c r="D473" t="s">
        <v>29</v>
      </c>
      <c r="E473">
        <v>100959</v>
      </c>
      <c r="F473">
        <v>4398</v>
      </c>
      <c r="G473">
        <v>864.16</v>
      </c>
      <c r="H473">
        <v>79873</v>
      </c>
      <c r="I473">
        <v>266</v>
      </c>
      <c r="J473" t="s">
        <v>25</v>
      </c>
    </row>
    <row r="474" spans="1:10" x14ac:dyDescent="0.2">
      <c r="A474" s="1">
        <v>46102</v>
      </c>
      <c r="B474" t="s">
        <v>21</v>
      </c>
      <c r="C474" t="s">
        <v>23</v>
      </c>
      <c r="D474" t="s">
        <v>24</v>
      </c>
      <c r="E474">
        <v>157860</v>
      </c>
      <c r="F474">
        <v>6036</v>
      </c>
      <c r="G474">
        <v>1192.6199999999999</v>
      </c>
      <c r="H474">
        <v>127042</v>
      </c>
      <c r="I474">
        <v>238</v>
      </c>
      <c r="J474" t="s">
        <v>25</v>
      </c>
    </row>
    <row r="475" spans="1:10" x14ac:dyDescent="0.2">
      <c r="A475" s="1">
        <v>46102</v>
      </c>
      <c r="B475" t="s">
        <v>21</v>
      </c>
      <c r="C475" t="s">
        <v>26</v>
      </c>
      <c r="D475" t="s">
        <v>29</v>
      </c>
      <c r="E475">
        <v>55606</v>
      </c>
      <c r="F475">
        <v>1869</v>
      </c>
      <c r="G475">
        <v>333.39</v>
      </c>
      <c r="H475">
        <v>41878</v>
      </c>
      <c r="I475">
        <v>80</v>
      </c>
      <c r="J475" t="s">
        <v>25</v>
      </c>
    </row>
    <row r="476" spans="1:10" x14ac:dyDescent="0.2">
      <c r="A476" s="1">
        <v>46103</v>
      </c>
      <c r="B476" t="s">
        <v>10</v>
      </c>
      <c r="C476" t="s">
        <v>23</v>
      </c>
      <c r="D476" t="s">
        <v>29</v>
      </c>
      <c r="E476">
        <v>64418</v>
      </c>
      <c r="F476">
        <v>2547</v>
      </c>
      <c r="G476">
        <v>491.19</v>
      </c>
      <c r="H476">
        <v>46952</v>
      </c>
      <c r="I476">
        <v>156</v>
      </c>
      <c r="J476" t="s">
        <v>25</v>
      </c>
    </row>
    <row r="477" spans="1:10" x14ac:dyDescent="0.2">
      <c r="A477" s="1">
        <v>46103</v>
      </c>
      <c r="B477" t="s">
        <v>10</v>
      </c>
      <c r="C477" t="s">
        <v>26</v>
      </c>
      <c r="D477" t="s">
        <v>30</v>
      </c>
      <c r="E477">
        <v>71360</v>
      </c>
      <c r="F477">
        <v>3281</v>
      </c>
      <c r="G477">
        <v>575.45000000000005</v>
      </c>
      <c r="H477">
        <v>56295</v>
      </c>
      <c r="I477">
        <v>160</v>
      </c>
      <c r="J477" t="s">
        <v>25</v>
      </c>
    </row>
    <row r="478" spans="1:10" x14ac:dyDescent="0.2">
      <c r="A478" s="1">
        <v>46103</v>
      </c>
      <c r="B478" t="s">
        <v>15</v>
      </c>
      <c r="C478" t="s">
        <v>27</v>
      </c>
      <c r="D478" t="s">
        <v>29</v>
      </c>
      <c r="E478">
        <v>87284</v>
      </c>
      <c r="F478">
        <v>3250</v>
      </c>
      <c r="G478">
        <v>561.58000000000004</v>
      </c>
      <c r="H478">
        <v>69764</v>
      </c>
      <c r="I478">
        <v>158</v>
      </c>
      <c r="J478" t="s">
        <v>25</v>
      </c>
    </row>
    <row r="479" spans="1:10" x14ac:dyDescent="0.2">
      <c r="A479" s="1">
        <v>46103</v>
      </c>
      <c r="B479" t="s">
        <v>15</v>
      </c>
      <c r="C479" t="s">
        <v>28</v>
      </c>
      <c r="D479" t="s">
        <v>29</v>
      </c>
      <c r="E479">
        <v>162997</v>
      </c>
      <c r="F479">
        <v>5272</v>
      </c>
      <c r="G479">
        <v>982.31</v>
      </c>
      <c r="H479">
        <v>118687</v>
      </c>
      <c r="I479">
        <v>293</v>
      </c>
      <c r="J479" t="s">
        <v>25</v>
      </c>
    </row>
    <row r="480" spans="1:10" x14ac:dyDescent="0.2">
      <c r="A480" s="1">
        <v>46103</v>
      </c>
      <c r="B480" t="s">
        <v>19</v>
      </c>
      <c r="C480" t="s">
        <v>23</v>
      </c>
      <c r="D480" t="s">
        <v>24</v>
      </c>
      <c r="E480">
        <v>107051</v>
      </c>
      <c r="F480">
        <v>4975</v>
      </c>
      <c r="G480">
        <v>829.58</v>
      </c>
      <c r="H480">
        <v>88440</v>
      </c>
      <c r="I480">
        <v>186</v>
      </c>
      <c r="J480" t="s">
        <v>25</v>
      </c>
    </row>
    <row r="481" spans="1:10" x14ac:dyDescent="0.2">
      <c r="A481" s="1">
        <v>46103</v>
      </c>
      <c r="B481" t="s">
        <v>19</v>
      </c>
      <c r="C481" t="s">
        <v>26</v>
      </c>
      <c r="D481" t="s">
        <v>24</v>
      </c>
      <c r="E481">
        <v>84294</v>
      </c>
      <c r="F481">
        <v>3318</v>
      </c>
      <c r="G481">
        <v>530.82000000000005</v>
      </c>
      <c r="H481">
        <v>67546</v>
      </c>
      <c r="I481">
        <v>176</v>
      </c>
      <c r="J481" t="s">
        <v>25</v>
      </c>
    </row>
    <row r="482" spans="1:10" x14ac:dyDescent="0.2">
      <c r="A482" s="1">
        <v>46103</v>
      </c>
      <c r="B482" t="s">
        <v>21</v>
      </c>
      <c r="C482" t="s">
        <v>23</v>
      </c>
      <c r="D482" t="s">
        <v>24</v>
      </c>
      <c r="E482">
        <v>148352</v>
      </c>
      <c r="F482">
        <v>6521</v>
      </c>
      <c r="G482">
        <v>921.99</v>
      </c>
      <c r="H482">
        <v>108935</v>
      </c>
      <c r="I482">
        <v>289</v>
      </c>
      <c r="J482" t="s">
        <v>25</v>
      </c>
    </row>
    <row r="483" spans="1:10" x14ac:dyDescent="0.2">
      <c r="A483" s="1">
        <v>46103</v>
      </c>
      <c r="B483" t="s">
        <v>21</v>
      </c>
      <c r="C483" t="s">
        <v>26</v>
      </c>
      <c r="D483" t="s">
        <v>29</v>
      </c>
      <c r="E483">
        <v>128371</v>
      </c>
      <c r="F483">
        <v>5747</v>
      </c>
      <c r="G483">
        <v>1091.3599999999999</v>
      </c>
      <c r="H483">
        <v>93355</v>
      </c>
      <c r="I483">
        <v>354</v>
      </c>
      <c r="J483" t="s">
        <v>25</v>
      </c>
    </row>
    <row r="484" spans="1:10" x14ac:dyDescent="0.2">
      <c r="A484" s="1">
        <v>46104</v>
      </c>
      <c r="B484" t="s">
        <v>10</v>
      </c>
      <c r="C484" t="s">
        <v>23</v>
      </c>
      <c r="D484" t="s">
        <v>29</v>
      </c>
      <c r="E484">
        <v>48259</v>
      </c>
      <c r="F484">
        <v>1981</v>
      </c>
      <c r="G484">
        <v>395.68</v>
      </c>
      <c r="H484">
        <v>40304</v>
      </c>
      <c r="I484">
        <v>115</v>
      </c>
      <c r="J484" t="s">
        <v>25</v>
      </c>
    </row>
    <row r="485" spans="1:10" x14ac:dyDescent="0.2">
      <c r="A485" s="1">
        <v>46104</v>
      </c>
      <c r="B485" t="s">
        <v>10</v>
      </c>
      <c r="C485" t="s">
        <v>26</v>
      </c>
      <c r="D485" t="s">
        <v>30</v>
      </c>
      <c r="E485">
        <v>137308</v>
      </c>
      <c r="F485">
        <v>5474</v>
      </c>
      <c r="G485">
        <v>955.15</v>
      </c>
      <c r="H485">
        <v>109314</v>
      </c>
      <c r="I485">
        <v>295</v>
      </c>
      <c r="J485" t="s">
        <v>25</v>
      </c>
    </row>
    <row r="486" spans="1:10" x14ac:dyDescent="0.2">
      <c r="A486" s="1">
        <v>46104</v>
      </c>
      <c r="B486" t="s">
        <v>15</v>
      </c>
      <c r="C486" t="s">
        <v>27</v>
      </c>
      <c r="D486" t="s">
        <v>24</v>
      </c>
      <c r="E486">
        <v>140628</v>
      </c>
      <c r="F486">
        <v>6256</v>
      </c>
      <c r="G486">
        <v>1075.44</v>
      </c>
      <c r="H486">
        <v>114728</v>
      </c>
      <c r="I486">
        <v>359</v>
      </c>
      <c r="J486" t="s">
        <v>25</v>
      </c>
    </row>
    <row r="487" spans="1:10" x14ac:dyDescent="0.2">
      <c r="A487" s="1">
        <v>46104</v>
      </c>
      <c r="B487" t="s">
        <v>15</v>
      </c>
      <c r="C487" t="s">
        <v>28</v>
      </c>
      <c r="D487" t="s">
        <v>30</v>
      </c>
      <c r="E487">
        <v>143292</v>
      </c>
      <c r="F487">
        <v>6700</v>
      </c>
      <c r="G487">
        <v>1183.23</v>
      </c>
      <c r="H487">
        <v>120244</v>
      </c>
      <c r="I487">
        <v>365</v>
      </c>
      <c r="J487" t="s">
        <v>25</v>
      </c>
    </row>
    <row r="488" spans="1:10" x14ac:dyDescent="0.2">
      <c r="A488" s="1">
        <v>46104</v>
      </c>
      <c r="B488" t="s">
        <v>21</v>
      </c>
      <c r="C488" t="s">
        <v>23</v>
      </c>
      <c r="D488" t="s">
        <v>24</v>
      </c>
      <c r="E488">
        <v>92675</v>
      </c>
      <c r="F488">
        <v>3656</v>
      </c>
      <c r="G488">
        <v>706.93</v>
      </c>
      <c r="H488">
        <v>77784</v>
      </c>
      <c r="I488">
        <v>133</v>
      </c>
      <c r="J488" t="s">
        <v>25</v>
      </c>
    </row>
    <row r="489" spans="1:10" x14ac:dyDescent="0.2">
      <c r="A489" s="1">
        <v>46104</v>
      </c>
      <c r="B489" t="s">
        <v>21</v>
      </c>
      <c r="C489" t="s">
        <v>26</v>
      </c>
      <c r="D489" t="s">
        <v>29</v>
      </c>
      <c r="E489">
        <v>57942</v>
      </c>
      <c r="F489">
        <v>2022</v>
      </c>
      <c r="G489">
        <v>352.87</v>
      </c>
      <c r="H489">
        <v>44875</v>
      </c>
      <c r="I489">
        <v>112</v>
      </c>
      <c r="J489" t="s">
        <v>25</v>
      </c>
    </row>
    <row r="490" spans="1:10" x14ac:dyDescent="0.2">
      <c r="A490" s="1">
        <v>46105</v>
      </c>
      <c r="B490" t="s">
        <v>10</v>
      </c>
      <c r="C490" t="s">
        <v>23</v>
      </c>
      <c r="D490" t="s">
        <v>29</v>
      </c>
      <c r="E490">
        <v>49159</v>
      </c>
      <c r="F490">
        <v>1888</v>
      </c>
      <c r="G490">
        <v>297.60000000000002</v>
      </c>
      <c r="H490">
        <v>39073</v>
      </c>
      <c r="I490">
        <v>82</v>
      </c>
      <c r="J490" t="s">
        <v>25</v>
      </c>
    </row>
    <row r="491" spans="1:10" x14ac:dyDescent="0.2">
      <c r="A491" s="1">
        <v>46105</v>
      </c>
      <c r="B491" t="s">
        <v>10</v>
      </c>
      <c r="C491" t="s">
        <v>26</v>
      </c>
      <c r="D491" t="s">
        <v>24</v>
      </c>
      <c r="E491">
        <v>83877</v>
      </c>
      <c r="F491">
        <v>3116</v>
      </c>
      <c r="G491">
        <v>464.38</v>
      </c>
      <c r="H491">
        <v>69003</v>
      </c>
      <c r="I491">
        <v>154</v>
      </c>
      <c r="J491" t="s">
        <v>25</v>
      </c>
    </row>
    <row r="492" spans="1:10" x14ac:dyDescent="0.2">
      <c r="A492" s="1">
        <v>46105</v>
      </c>
      <c r="B492" t="s">
        <v>15</v>
      </c>
      <c r="C492" t="s">
        <v>27</v>
      </c>
      <c r="D492" t="s">
        <v>29</v>
      </c>
      <c r="E492">
        <v>136211</v>
      </c>
      <c r="F492">
        <v>5356</v>
      </c>
      <c r="G492">
        <v>963.67</v>
      </c>
      <c r="H492">
        <v>110656</v>
      </c>
      <c r="I492">
        <v>263</v>
      </c>
      <c r="J492" t="s">
        <v>25</v>
      </c>
    </row>
    <row r="493" spans="1:10" x14ac:dyDescent="0.2">
      <c r="A493" s="1">
        <v>46105</v>
      </c>
      <c r="B493" t="s">
        <v>15</v>
      </c>
      <c r="C493" t="s">
        <v>28</v>
      </c>
      <c r="D493" t="s">
        <v>29</v>
      </c>
      <c r="E493">
        <v>167313</v>
      </c>
      <c r="F493">
        <v>7675</v>
      </c>
      <c r="G493">
        <v>1144.77</v>
      </c>
      <c r="H493">
        <v>135985</v>
      </c>
      <c r="I493">
        <v>293</v>
      </c>
      <c r="J493" t="s">
        <v>25</v>
      </c>
    </row>
    <row r="494" spans="1:10" x14ac:dyDescent="0.2">
      <c r="A494" s="1">
        <v>46105</v>
      </c>
      <c r="B494" t="s">
        <v>21</v>
      </c>
      <c r="C494" t="s">
        <v>23</v>
      </c>
      <c r="D494" t="s">
        <v>24</v>
      </c>
      <c r="E494">
        <v>62691</v>
      </c>
      <c r="F494">
        <v>2032</v>
      </c>
      <c r="G494">
        <v>357.87</v>
      </c>
      <c r="H494">
        <v>51492</v>
      </c>
      <c r="I494">
        <v>112</v>
      </c>
      <c r="J494" t="s">
        <v>25</v>
      </c>
    </row>
    <row r="495" spans="1:10" x14ac:dyDescent="0.2">
      <c r="A495" s="1">
        <v>46105</v>
      </c>
      <c r="B495" t="s">
        <v>21</v>
      </c>
      <c r="C495" t="s">
        <v>26</v>
      </c>
      <c r="D495" t="s">
        <v>29</v>
      </c>
      <c r="E495">
        <v>57301</v>
      </c>
      <c r="F495">
        <v>2133</v>
      </c>
      <c r="G495">
        <v>338.98</v>
      </c>
      <c r="H495">
        <v>42838</v>
      </c>
      <c r="I495">
        <v>81</v>
      </c>
      <c r="J495" t="s">
        <v>25</v>
      </c>
    </row>
    <row r="496" spans="1:10" x14ac:dyDescent="0.2">
      <c r="A496" s="1">
        <v>46106</v>
      </c>
      <c r="B496" t="s">
        <v>10</v>
      </c>
      <c r="C496" t="s">
        <v>23</v>
      </c>
      <c r="D496" t="s">
        <v>29</v>
      </c>
      <c r="E496">
        <v>73322</v>
      </c>
      <c r="F496">
        <v>2844</v>
      </c>
      <c r="G496">
        <v>444.42</v>
      </c>
      <c r="H496">
        <v>61030</v>
      </c>
      <c r="I496">
        <v>109</v>
      </c>
      <c r="J496" t="s">
        <v>25</v>
      </c>
    </row>
    <row r="497" spans="1:10" x14ac:dyDescent="0.2">
      <c r="A497" s="1">
        <v>46106</v>
      </c>
      <c r="B497" t="s">
        <v>10</v>
      </c>
      <c r="C497" t="s">
        <v>26</v>
      </c>
      <c r="D497" t="s">
        <v>30</v>
      </c>
      <c r="E497">
        <v>50150</v>
      </c>
      <c r="F497">
        <v>1714</v>
      </c>
      <c r="G497">
        <v>332.4</v>
      </c>
      <c r="H497">
        <v>38753</v>
      </c>
      <c r="I497">
        <v>97</v>
      </c>
      <c r="J497" t="s">
        <v>25</v>
      </c>
    </row>
    <row r="498" spans="1:10" x14ac:dyDescent="0.2">
      <c r="A498" s="1">
        <v>46106</v>
      </c>
      <c r="B498" t="s">
        <v>15</v>
      </c>
      <c r="C498" t="s">
        <v>27</v>
      </c>
      <c r="D498" t="s">
        <v>29</v>
      </c>
      <c r="E498">
        <v>49831</v>
      </c>
      <c r="F498">
        <v>1948</v>
      </c>
      <c r="G498">
        <v>359.67</v>
      </c>
      <c r="H498">
        <v>40302</v>
      </c>
      <c r="I498">
        <v>84</v>
      </c>
      <c r="J498" t="s">
        <v>25</v>
      </c>
    </row>
    <row r="499" spans="1:10" x14ac:dyDescent="0.2">
      <c r="A499" s="1">
        <v>46106</v>
      </c>
      <c r="B499" t="s">
        <v>15</v>
      </c>
      <c r="C499" t="s">
        <v>28</v>
      </c>
      <c r="D499" t="s">
        <v>29</v>
      </c>
      <c r="E499">
        <v>120225</v>
      </c>
      <c r="F499">
        <v>4615</v>
      </c>
      <c r="G499">
        <v>703.04</v>
      </c>
      <c r="H499">
        <v>92051</v>
      </c>
      <c r="I499">
        <v>260</v>
      </c>
      <c r="J499" t="s">
        <v>25</v>
      </c>
    </row>
    <row r="500" spans="1:10" x14ac:dyDescent="0.2">
      <c r="A500" s="1">
        <v>46106</v>
      </c>
      <c r="B500" t="s">
        <v>21</v>
      </c>
      <c r="C500" t="s">
        <v>23</v>
      </c>
      <c r="D500" t="s">
        <v>24</v>
      </c>
      <c r="E500">
        <v>75335</v>
      </c>
      <c r="F500">
        <v>3021</v>
      </c>
      <c r="G500">
        <v>527.76</v>
      </c>
      <c r="H500">
        <v>58910</v>
      </c>
      <c r="I500">
        <v>111</v>
      </c>
      <c r="J500" t="s">
        <v>25</v>
      </c>
    </row>
    <row r="501" spans="1:10" x14ac:dyDescent="0.2">
      <c r="A501" s="1">
        <v>46106</v>
      </c>
      <c r="B501" t="s">
        <v>21</v>
      </c>
      <c r="C501" t="s">
        <v>26</v>
      </c>
      <c r="D501" t="s">
        <v>29</v>
      </c>
      <c r="E501">
        <v>66007</v>
      </c>
      <c r="F501">
        <v>3105</v>
      </c>
      <c r="G501">
        <v>572.67999999999995</v>
      </c>
      <c r="H501">
        <v>50363</v>
      </c>
      <c r="I501">
        <v>192</v>
      </c>
      <c r="J501" t="s">
        <v>25</v>
      </c>
    </row>
    <row r="502" spans="1:10" x14ac:dyDescent="0.2">
      <c r="A502" s="1">
        <v>46107</v>
      </c>
      <c r="B502" t="s">
        <v>10</v>
      </c>
      <c r="C502" t="s">
        <v>23</v>
      </c>
      <c r="D502" t="s">
        <v>29</v>
      </c>
      <c r="E502">
        <v>78041</v>
      </c>
      <c r="F502">
        <v>2759</v>
      </c>
      <c r="G502">
        <v>401.29</v>
      </c>
      <c r="H502">
        <v>60936</v>
      </c>
      <c r="I502">
        <v>127</v>
      </c>
      <c r="J502" t="s">
        <v>25</v>
      </c>
    </row>
    <row r="503" spans="1:10" x14ac:dyDescent="0.2">
      <c r="A503" s="1">
        <v>46107</v>
      </c>
      <c r="B503" t="s">
        <v>10</v>
      </c>
      <c r="C503" t="s">
        <v>26</v>
      </c>
      <c r="D503" t="s">
        <v>24</v>
      </c>
      <c r="E503">
        <v>123360</v>
      </c>
      <c r="F503">
        <v>3979</v>
      </c>
      <c r="G503">
        <v>647.79</v>
      </c>
      <c r="H503">
        <v>95036</v>
      </c>
      <c r="I503">
        <v>242</v>
      </c>
      <c r="J503" t="s">
        <v>25</v>
      </c>
    </row>
    <row r="504" spans="1:10" x14ac:dyDescent="0.2">
      <c r="A504" s="1">
        <v>46107</v>
      </c>
      <c r="B504" t="s">
        <v>15</v>
      </c>
      <c r="C504" t="s">
        <v>27</v>
      </c>
      <c r="D504" t="s">
        <v>24</v>
      </c>
      <c r="E504">
        <v>105934</v>
      </c>
      <c r="F504">
        <v>4000</v>
      </c>
      <c r="G504">
        <v>634.4</v>
      </c>
      <c r="H504">
        <v>77102</v>
      </c>
      <c r="I504">
        <v>241</v>
      </c>
      <c r="J504" t="s">
        <v>25</v>
      </c>
    </row>
    <row r="505" spans="1:10" x14ac:dyDescent="0.2">
      <c r="A505" s="1">
        <v>46107</v>
      </c>
      <c r="B505" t="s">
        <v>15</v>
      </c>
      <c r="C505" t="s">
        <v>28</v>
      </c>
      <c r="D505" t="s">
        <v>29</v>
      </c>
      <c r="E505">
        <v>84580</v>
      </c>
      <c r="F505">
        <v>4059</v>
      </c>
      <c r="G505">
        <v>588.83000000000004</v>
      </c>
      <c r="H505">
        <v>67429</v>
      </c>
      <c r="I505">
        <v>177</v>
      </c>
      <c r="J505" t="s">
        <v>25</v>
      </c>
    </row>
    <row r="506" spans="1:10" x14ac:dyDescent="0.2">
      <c r="A506" s="1">
        <v>46107</v>
      </c>
      <c r="B506" t="s">
        <v>21</v>
      </c>
      <c r="C506" t="s">
        <v>23</v>
      </c>
      <c r="D506" t="s">
        <v>24</v>
      </c>
      <c r="E506">
        <v>48200</v>
      </c>
      <c r="F506">
        <v>2276</v>
      </c>
      <c r="G506">
        <v>356.16</v>
      </c>
      <c r="H506">
        <v>38448</v>
      </c>
      <c r="I506">
        <v>94</v>
      </c>
      <c r="J506" t="s">
        <v>25</v>
      </c>
    </row>
    <row r="507" spans="1:10" x14ac:dyDescent="0.2">
      <c r="A507" s="1">
        <v>46107</v>
      </c>
      <c r="B507" t="s">
        <v>21</v>
      </c>
      <c r="C507" t="s">
        <v>26</v>
      </c>
      <c r="D507" t="s">
        <v>29</v>
      </c>
      <c r="E507">
        <v>87926</v>
      </c>
      <c r="F507">
        <v>3063</v>
      </c>
      <c r="G507">
        <v>430.52</v>
      </c>
      <c r="H507">
        <v>68778</v>
      </c>
      <c r="I507">
        <v>110</v>
      </c>
      <c r="J507" t="s">
        <v>25</v>
      </c>
    </row>
    <row r="508" spans="1:10" x14ac:dyDescent="0.2">
      <c r="A508" s="1">
        <v>46108</v>
      </c>
      <c r="B508" t="s">
        <v>10</v>
      </c>
      <c r="C508" t="s">
        <v>23</v>
      </c>
      <c r="D508" t="s">
        <v>29</v>
      </c>
      <c r="E508">
        <v>175388</v>
      </c>
      <c r="F508">
        <v>5721</v>
      </c>
      <c r="G508">
        <v>1005.59</v>
      </c>
      <c r="H508">
        <v>130695</v>
      </c>
      <c r="I508">
        <v>310</v>
      </c>
      <c r="J508" t="s">
        <v>25</v>
      </c>
    </row>
    <row r="509" spans="1:10" x14ac:dyDescent="0.2">
      <c r="A509" s="1">
        <v>46108</v>
      </c>
      <c r="B509" t="s">
        <v>10</v>
      </c>
      <c r="C509" t="s">
        <v>26</v>
      </c>
      <c r="D509" t="s">
        <v>30</v>
      </c>
      <c r="E509">
        <v>108834</v>
      </c>
      <c r="F509">
        <v>4558</v>
      </c>
      <c r="G509">
        <v>863.26</v>
      </c>
      <c r="H509">
        <v>83835</v>
      </c>
      <c r="I509">
        <v>169</v>
      </c>
      <c r="J509" t="s">
        <v>25</v>
      </c>
    </row>
    <row r="510" spans="1:10" x14ac:dyDescent="0.2">
      <c r="A510" s="1">
        <v>46108</v>
      </c>
      <c r="B510" t="s">
        <v>15</v>
      </c>
      <c r="C510" t="s">
        <v>27</v>
      </c>
      <c r="D510" t="s">
        <v>24</v>
      </c>
      <c r="E510">
        <v>171926</v>
      </c>
      <c r="F510">
        <v>7728</v>
      </c>
      <c r="G510">
        <v>1391.97</v>
      </c>
      <c r="H510">
        <v>131318</v>
      </c>
      <c r="I510">
        <v>461</v>
      </c>
      <c r="J510" t="s">
        <v>25</v>
      </c>
    </row>
    <row r="511" spans="1:10" x14ac:dyDescent="0.2">
      <c r="A511" s="1">
        <v>46108</v>
      </c>
      <c r="B511" t="s">
        <v>15</v>
      </c>
      <c r="C511" t="s">
        <v>28</v>
      </c>
      <c r="D511" t="s">
        <v>30</v>
      </c>
      <c r="E511">
        <v>50607</v>
      </c>
      <c r="F511">
        <v>2022</v>
      </c>
      <c r="G511">
        <v>320.20999999999998</v>
      </c>
      <c r="H511">
        <v>40234</v>
      </c>
      <c r="I511">
        <v>119</v>
      </c>
      <c r="J511" t="s">
        <v>25</v>
      </c>
    </row>
    <row r="512" spans="1:10" x14ac:dyDescent="0.2">
      <c r="A512" s="1">
        <v>46108</v>
      </c>
      <c r="B512" t="s">
        <v>21</v>
      </c>
      <c r="C512" t="s">
        <v>23</v>
      </c>
      <c r="D512" t="s">
        <v>24</v>
      </c>
      <c r="E512">
        <v>151469</v>
      </c>
      <c r="F512">
        <v>5625</v>
      </c>
      <c r="G512">
        <v>1051.8499999999999</v>
      </c>
      <c r="H512">
        <v>115084</v>
      </c>
      <c r="I512">
        <v>329</v>
      </c>
      <c r="J512" t="s">
        <v>25</v>
      </c>
    </row>
    <row r="513" spans="1:10" x14ac:dyDescent="0.2">
      <c r="A513" s="1">
        <v>46108</v>
      </c>
      <c r="B513" t="s">
        <v>21</v>
      </c>
      <c r="C513" t="s">
        <v>26</v>
      </c>
      <c r="D513" t="s">
        <v>29</v>
      </c>
      <c r="E513">
        <v>170730</v>
      </c>
      <c r="F513">
        <v>7845</v>
      </c>
      <c r="G513">
        <v>1528.32</v>
      </c>
      <c r="H513">
        <v>123878</v>
      </c>
      <c r="I513">
        <v>339</v>
      </c>
      <c r="J513" t="s">
        <v>25</v>
      </c>
    </row>
    <row r="514" spans="1:10" x14ac:dyDescent="0.2">
      <c r="A514" s="1">
        <v>46109</v>
      </c>
      <c r="B514" t="s">
        <v>10</v>
      </c>
      <c r="C514" t="s">
        <v>23</v>
      </c>
      <c r="D514" t="s">
        <v>24</v>
      </c>
      <c r="E514">
        <v>72450</v>
      </c>
      <c r="F514">
        <v>2434</v>
      </c>
      <c r="G514">
        <v>391.68</v>
      </c>
      <c r="H514">
        <v>54100</v>
      </c>
      <c r="I514">
        <v>108</v>
      </c>
      <c r="J514" t="s">
        <v>25</v>
      </c>
    </row>
    <row r="515" spans="1:10" x14ac:dyDescent="0.2">
      <c r="A515" s="1">
        <v>46109</v>
      </c>
      <c r="B515" t="s">
        <v>10</v>
      </c>
      <c r="C515" t="s">
        <v>26</v>
      </c>
      <c r="D515" t="s">
        <v>24</v>
      </c>
      <c r="E515">
        <v>64652</v>
      </c>
      <c r="F515">
        <v>3070</v>
      </c>
      <c r="G515">
        <v>515.35</v>
      </c>
      <c r="H515">
        <v>49769</v>
      </c>
      <c r="I515">
        <v>180</v>
      </c>
      <c r="J515" t="s">
        <v>25</v>
      </c>
    </row>
    <row r="516" spans="1:10" x14ac:dyDescent="0.2">
      <c r="A516" s="1">
        <v>46109</v>
      </c>
      <c r="B516" t="s">
        <v>15</v>
      </c>
      <c r="C516" t="s">
        <v>27</v>
      </c>
      <c r="D516" t="s">
        <v>29</v>
      </c>
      <c r="E516">
        <v>68400</v>
      </c>
      <c r="F516">
        <v>3126</v>
      </c>
      <c r="G516">
        <v>589.46</v>
      </c>
      <c r="H516">
        <v>49253</v>
      </c>
      <c r="I516">
        <v>144</v>
      </c>
      <c r="J516" t="s">
        <v>25</v>
      </c>
    </row>
    <row r="517" spans="1:10" x14ac:dyDescent="0.2">
      <c r="A517" s="1">
        <v>46109</v>
      </c>
      <c r="B517" t="s">
        <v>15</v>
      </c>
      <c r="C517" t="s">
        <v>28</v>
      </c>
      <c r="D517" t="s">
        <v>29</v>
      </c>
      <c r="E517">
        <v>67343</v>
      </c>
      <c r="F517">
        <v>2502</v>
      </c>
      <c r="G517">
        <v>431.34</v>
      </c>
      <c r="H517">
        <v>56219</v>
      </c>
      <c r="I517">
        <v>130</v>
      </c>
      <c r="J517" t="s">
        <v>25</v>
      </c>
    </row>
    <row r="518" spans="1:10" x14ac:dyDescent="0.2">
      <c r="A518" s="1">
        <v>46109</v>
      </c>
      <c r="B518" t="s">
        <v>19</v>
      </c>
      <c r="C518" t="s">
        <v>23</v>
      </c>
      <c r="D518" t="s">
        <v>24</v>
      </c>
      <c r="E518">
        <v>126911</v>
      </c>
      <c r="F518">
        <v>5061</v>
      </c>
      <c r="G518">
        <v>960.91</v>
      </c>
      <c r="H518">
        <v>100075</v>
      </c>
      <c r="I518">
        <v>181</v>
      </c>
      <c r="J518" t="s">
        <v>25</v>
      </c>
    </row>
    <row r="519" spans="1:10" x14ac:dyDescent="0.2">
      <c r="A519" s="1">
        <v>46109</v>
      </c>
      <c r="B519" t="s">
        <v>19</v>
      </c>
      <c r="C519" t="s">
        <v>26</v>
      </c>
      <c r="D519" t="s">
        <v>29</v>
      </c>
      <c r="E519">
        <v>69797</v>
      </c>
      <c r="F519">
        <v>2485</v>
      </c>
      <c r="G519">
        <v>360.15</v>
      </c>
      <c r="H519">
        <v>51047</v>
      </c>
      <c r="I519">
        <v>109</v>
      </c>
      <c r="J519" t="s">
        <v>25</v>
      </c>
    </row>
    <row r="520" spans="1:10" x14ac:dyDescent="0.2">
      <c r="A520" s="1">
        <v>46109</v>
      </c>
      <c r="B520" t="s">
        <v>21</v>
      </c>
      <c r="C520" t="s">
        <v>23</v>
      </c>
      <c r="D520" t="s">
        <v>24</v>
      </c>
      <c r="E520">
        <v>88060</v>
      </c>
      <c r="F520">
        <v>3136</v>
      </c>
      <c r="G520">
        <v>473.78</v>
      </c>
      <c r="H520">
        <v>70370</v>
      </c>
      <c r="I520">
        <v>131</v>
      </c>
      <c r="J520" t="s">
        <v>25</v>
      </c>
    </row>
    <row r="521" spans="1:10" x14ac:dyDescent="0.2">
      <c r="A521" s="1">
        <v>46109</v>
      </c>
      <c r="B521" t="s">
        <v>21</v>
      </c>
      <c r="C521" t="s">
        <v>26</v>
      </c>
      <c r="D521" t="s">
        <v>29</v>
      </c>
      <c r="E521">
        <v>159382</v>
      </c>
      <c r="F521">
        <v>6606</v>
      </c>
      <c r="G521">
        <v>1129.72</v>
      </c>
      <c r="H521">
        <v>133644</v>
      </c>
      <c r="I521">
        <v>264</v>
      </c>
      <c r="J521" t="s">
        <v>25</v>
      </c>
    </row>
    <row r="522" spans="1:10" x14ac:dyDescent="0.2">
      <c r="A522" s="1">
        <v>46110</v>
      </c>
      <c r="B522" t="s">
        <v>10</v>
      </c>
      <c r="C522" t="s">
        <v>23</v>
      </c>
      <c r="D522" t="s">
        <v>24</v>
      </c>
      <c r="E522">
        <v>101379</v>
      </c>
      <c r="F522">
        <v>3928</v>
      </c>
      <c r="G522">
        <v>705.75</v>
      </c>
      <c r="H522">
        <v>80041</v>
      </c>
      <c r="I522">
        <v>235</v>
      </c>
      <c r="J522" t="s">
        <v>25</v>
      </c>
    </row>
    <row r="523" spans="1:10" x14ac:dyDescent="0.2">
      <c r="A523" s="1">
        <v>46110</v>
      </c>
      <c r="B523" t="s">
        <v>10</v>
      </c>
      <c r="C523" t="s">
        <v>26</v>
      </c>
      <c r="D523" t="s">
        <v>24</v>
      </c>
      <c r="E523">
        <v>172942</v>
      </c>
      <c r="F523">
        <v>8041</v>
      </c>
      <c r="G523">
        <v>1311.5</v>
      </c>
      <c r="H523">
        <v>125514</v>
      </c>
      <c r="I523">
        <v>305</v>
      </c>
      <c r="J523" t="s">
        <v>25</v>
      </c>
    </row>
    <row r="524" spans="1:10" x14ac:dyDescent="0.2">
      <c r="A524" s="1">
        <v>46110</v>
      </c>
      <c r="B524" t="s">
        <v>15</v>
      </c>
      <c r="C524" t="s">
        <v>27</v>
      </c>
      <c r="D524" t="s">
        <v>24</v>
      </c>
      <c r="E524">
        <v>47940</v>
      </c>
      <c r="F524">
        <v>1643</v>
      </c>
      <c r="G524">
        <v>233.38</v>
      </c>
      <c r="H524">
        <v>39088</v>
      </c>
      <c r="I524">
        <v>60</v>
      </c>
      <c r="J524" t="s">
        <v>25</v>
      </c>
    </row>
    <row r="525" spans="1:10" x14ac:dyDescent="0.2">
      <c r="A525" s="1">
        <v>46110</v>
      </c>
      <c r="B525" t="s">
        <v>15</v>
      </c>
      <c r="C525" t="s">
        <v>28</v>
      </c>
      <c r="D525" t="s">
        <v>29</v>
      </c>
      <c r="E525">
        <v>47495</v>
      </c>
      <c r="F525">
        <v>1954</v>
      </c>
      <c r="G525">
        <v>330.29</v>
      </c>
      <c r="H525">
        <v>36156</v>
      </c>
      <c r="I525">
        <v>99</v>
      </c>
      <c r="J525" t="s">
        <v>25</v>
      </c>
    </row>
    <row r="526" spans="1:10" x14ac:dyDescent="0.2">
      <c r="A526" s="1">
        <v>46110</v>
      </c>
      <c r="B526" t="s">
        <v>19</v>
      </c>
      <c r="C526" t="s">
        <v>23</v>
      </c>
      <c r="D526" t="s">
        <v>24</v>
      </c>
      <c r="E526">
        <v>122535</v>
      </c>
      <c r="F526">
        <v>5867</v>
      </c>
      <c r="G526">
        <v>980.91</v>
      </c>
      <c r="H526">
        <v>92089</v>
      </c>
      <c r="I526">
        <v>265</v>
      </c>
      <c r="J526" t="s">
        <v>25</v>
      </c>
    </row>
    <row r="527" spans="1:10" x14ac:dyDescent="0.2">
      <c r="A527" s="1">
        <v>46110</v>
      </c>
      <c r="B527" t="s">
        <v>19</v>
      </c>
      <c r="C527" t="s">
        <v>26</v>
      </c>
      <c r="D527" t="s">
        <v>24</v>
      </c>
      <c r="E527">
        <v>157185</v>
      </c>
      <c r="F527">
        <v>6962</v>
      </c>
      <c r="G527">
        <v>1360.61</v>
      </c>
      <c r="H527">
        <v>119534</v>
      </c>
      <c r="I527">
        <v>409</v>
      </c>
      <c r="J527" t="s">
        <v>25</v>
      </c>
    </row>
    <row r="528" spans="1:10" x14ac:dyDescent="0.2">
      <c r="A528" s="1">
        <v>46110</v>
      </c>
      <c r="B528" t="s">
        <v>21</v>
      </c>
      <c r="C528" t="s">
        <v>23</v>
      </c>
      <c r="D528" t="s">
        <v>24</v>
      </c>
      <c r="E528">
        <v>103600</v>
      </c>
      <c r="F528">
        <v>4652</v>
      </c>
      <c r="G528">
        <v>787.31</v>
      </c>
      <c r="H528">
        <v>81415</v>
      </c>
      <c r="I528">
        <v>241</v>
      </c>
      <c r="J528" t="s">
        <v>25</v>
      </c>
    </row>
    <row r="529" spans="1:10" x14ac:dyDescent="0.2">
      <c r="A529" s="1">
        <v>46110</v>
      </c>
      <c r="B529" t="s">
        <v>21</v>
      </c>
      <c r="C529" t="s">
        <v>26</v>
      </c>
      <c r="D529" t="s">
        <v>29</v>
      </c>
      <c r="E529">
        <v>133945</v>
      </c>
      <c r="F529">
        <v>4849</v>
      </c>
      <c r="G529">
        <v>906.36</v>
      </c>
      <c r="H529">
        <v>103295</v>
      </c>
      <c r="I529">
        <v>158</v>
      </c>
      <c r="J529" t="s">
        <v>25</v>
      </c>
    </row>
    <row r="530" spans="1:10" x14ac:dyDescent="0.2">
      <c r="A530" s="1">
        <v>46111</v>
      </c>
      <c r="B530" t="s">
        <v>10</v>
      </c>
      <c r="C530" t="s">
        <v>23</v>
      </c>
      <c r="D530" t="s">
        <v>24</v>
      </c>
      <c r="E530">
        <v>61616</v>
      </c>
      <c r="F530">
        <v>2195</v>
      </c>
      <c r="G530">
        <v>367.54</v>
      </c>
      <c r="H530">
        <v>45185</v>
      </c>
      <c r="I530">
        <v>106</v>
      </c>
      <c r="J530" t="s">
        <v>25</v>
      </c>
    </row>
    <row r="531" spans="1:10" x14ac:dyDescent="0.2">
      <c r="A531" s="1">
        <v>46111</v>
      </c>
      <c r="B531" t="s">
        <v>10</v>
      </c>
      <c r="C531" t="s">
        <v>26</v>
      </c>
      <c r="D531" t="s">
        <v>30</v>
      </c>
      <c r="E531">
        <v>67020</v>
      </c>
      <c r="F531">
        <v>3081</v>
      </c>
      <c r="G531">
        <v>488.1</v>
      </c>
      <c r="H531">
        <v>51762</v>
      </c>
      <c r="I531">
        <v>189</v>
      </c>
      <c r="J531" t="s">
        <v>25</v>
      </c>
    </row>
    <row r="532" spans="1:10" x14ac:dyDescent="0.2">
      <c r="A532" s="1">
        <v>46111</v>
      </c>
      <c r="B532" t="s">
        <v>15</v>
      </c>
      <c r="C532" t="s">
        <v>27</v>
      </c>
      <c r="D532" t="s">
        <v>24</v>
      </c>
      <c r="E532">
        <v>131501</v>
      </c>
      <c r="F532">
        <v>4592</v>
      </c>
      <c r="G532">
        <v>868.81</v>
      </c>
      <c r="H532">
        <v>108655</v>
      </c>
      <c r="I532">
        <v>217</v>
      </c>
      <c r="J532" t="s">
        <v>25</v>
      </c>
    </row>
    <row r="533" spans="1:10" x14ac:dyDescent="0.2">
      <c r="A533" s="1">
        <v>46111</v>
      </c>
      <c r="B533" t="s">
        <v>15</v>
      </c>
      <c r="C533" t="s">
        <v>28</v>
      </c>
      <c r="D533" t="s">
        <v>30</v>
      </c>
      <c r="E533">
        <v>161465</v>
      </c>
      <c r="F533">
        <v>5740</v>
      </c>
      <c r="G533">
        <v>809.36</v>
      </c>
      <c r="H533">
        <v>130465</v>
      </c>
      <c r="I533">
        <v>244</v>
      </c>
      <c r="J533" t="s">
        <v>25</v>
      </c>
    </row>
    <row r="534" spans="1:10" x14ac:dyDescent="0.2">
      <c r="A534" s="1">
        <v>46111</v>
      </c>
      <c r="B534" t="s">
        <v>21</v>
      </c>
      <c r="C534" t="s">
        <v>23</v>
      </c>
      <c r="D534" t="s">
        <v>24</v>
      </c>
      <c r="E534">
        <v>141411</v>
      </c>
      <c r="F534">
        <v>6470</v>
      </c>
      <c r="G534">
        <v>1109.6199999999999</v>
      </c>
      <c r="H534">
        <v>115395</v>
      </c>
      <c r="I534">
        <v>277</v>
      </c>
      <c r="J534" t="s">
        <v>25</v>
      </c>
    </row>
    <row r="535" spans="1:10" x14ac:dyDescent="0.2">
      <c r="A535" s="1">
        <v>46111</v>
      </c>
      <c r="B535" t="s">
        <v>21</v>
      </c>
      <c r="C535" t="s">
        <v>26</v>
      </c>
      <c r="D535" t="s">
        <v>29</v>
      </c>
      <c r="E535">
        <v>163699</v>
      </c>
      <c r="F535">
        <v>7719</v>
      </c>
      <c r="G535">
        <v>1326.53</v>
      </c>
      <c r="H535">
        <v>125219</v>
      </c>
      <c r="I535">
        <v>270</v>
      </c>
      <c r="J535" t="s">
        <v>25</v>
      </c>
    </row>
    <row r="536" spans="1:10" x14ac:dyDescent="0.2">
      <c r="A536" s="1">
        <v>46112</v>
      </c>
      <c r="B536" t="s">
        <v>10</v>
      </c>
      <c r="C536" t="s">
        <v>23</v>
      </c>
      <c r="D536" t="s">
        <v>24</v>
      </c>
      <c r="E536">
        <v>153683</v>
      </c>
      <c r="F536">
        <v>6477</v>
      </c>
      <c r="G536">
        <v>1147.02</v>
      </c>
      <c r="H536">
        <v>126202</v>
      </c>
      <c r="I536">
        <v>353</v>
      </c>
      <c r="J536" t="s">
        <v>25</v>
      </c>
    </row>
    <row r="537" spans="1:10" x14ac:dyDescent="0.2">
      <c r="A537" s="1">
        <v>46112</v>
      </c>
      <c r="B537" t="s">
        <v>10</v>
      </c>
      <c r="C537" t="s">
        <v>26</v>
      </c>
      <c r="D537" t="s">
        <v>24</v>
      </c>
      <c r="E537">
        <v>137651</v>
      </c>
      <c r="F537">
        <v>6479</v>
      </c>
      <c r="G537">
        <v>1144.06</v>
      </c>
      <c r="H537">
        <v>113286</v>
      </c>
      <c r="I537">
        <v>261</v>
      </c>
      <c r="J537" t="s">
        <v>25</v>
      </c>
    </row>
    <row r="538" spans="1:10" x14ac:dyDescent="0.2">
      <c r="A538" s="1">
        <v>46112</v>
      </c>
      <c r="B538" t="s">
        <v>15</v>
      </c>
      <c r="C538" t="s">
        <v>27</v>
      </c>
      <c r="D538" t="s">
        <v>29</v>
      </c>
      <c r="E538">
        <v>96020</v>
      </c>
      <c r="F538">
        <v>3671</v>
      </c>
      <c r="G538">
        <v>628.86</v>
      </c>
      <c r="H538">
        <v>73988</v>
      </c>
      <c r="I538">
        <v>169</v>
      </c>
      <c r="J538" t="s">
        <v>25</v>
      </c>
    </row>
    <row r="539" spans="1:10" x14ac:dyDescent="0.2">
      <c r="A539" s="1">
        <v>46112</v>
      </c>
      <c r="B539" t="s">
        <v>15</v>
      </c>
      <c r="C539" t="s">
        <v>28</v>
      </c>
      <c r="D539" t="s">
        <v>29</v>
      </c>
      <c r="E539">
        <v>68693</v>
      </c>
      <c r="F539">
        <v>2991</v>
      </c>
      <c r="G539">
        <v>472.58</v>
      </c>
      <c r="H539">
        <v>50076</v>
      </c>
      <c r="I539">
        <v>159</v>
      </c>
      <c r="J539" t="s">
        <v>25</v>
      </c>
    </row>
    <row r="540" spans="1:10" x14ac:dyDescent="0.2">
      <c r="A540" s="1">
        <v>46112</v>
      </c>
      <c r="B540" t="s">
        <v>21</v>
      </c>
      <c r="C540" t="s">
        <v>23</v>
      </c>
      <c r="D540" t="s">
        <v>24</v>
      </c>
      <c r="E540">
        <v>81069</v>
      </c>
      <c r="F540">
        <v>3791</v>
      </c>
      <c r="G540">
        <v>670.2</v>
      </c>
      <c r="H540">
        <v>67701</v>
      </c>
      <c r="I540">
        <v>128</v>
      </c>
      <c r="J540" t="s">
        <v>25</v>
      </c>
    </row>
    <row r="541" spans="1:10" x14ac:dyDescent="0.2">
      <c r="A541" s="1">
        <v>46112</v>
      </c>
      <c r="B541" t="s">
        <v>21</v>
      </c>
      <c r="C541" t="s">
        <v>26</v>
      </c>
      <c r="D541" t="s">
        <v>29</v>
      </c>
      <c r="E541">
        <v>69405</v>
      </c>
      <c r="F541">
        <v>2380</v>
      </c>
      <c r="G541">
        <v>450.64</v>
      </c>
      <c r="H541">
        <v>56339</v>
      </c>
      <c r="I541">
        <v>133</v>
      </c>
      <c r="J541" t="s">
        <v>25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0A84B-9BFC-224D-85FE-6FA10B551724}">
  <dimension ref="A1:K818"/>
  <sheetViews>
    <sheetView workbookViewId="0">
      <selection activeCell="J2" sqref="J2:J818"/>
    </sheetView>
  </sheetViews>
  <sheetFormatPr baseColWidth="10" defaultRowHeight="16" x14ac:dyDescent="0.2"/>
  <cols>
    <col min="1" max="1" width="10.5" bestFit="1" customWidth="1"/>
    <col min="2" max="2" width="34.6640625" bestFit="1" customWidth="1"/>
    <col min="3" max="3" width="16.33203125" bestFit="1" customWidth="1"/>
    <col min="4" max="4" width="23" bestFit="1" customWidth="1"/>
    <col min="5" max="5" width="13.33203125" bestFit="1" customWidth="1"/>
    <col min="6" max="6" width="14" bestFit="1" customWidth="1"/>
    <col min="7" max="7" width="8.6640625" bestFit="1" customWidth="1"/>
    <col min="8" max="8" width="12.5" bestFit="1" customWidth="1"/>
    <col min="9" max="9" width="13.6640625" bestFit="1" customWidth="1"/>
    <col min="10" max="10" width="14.6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32</v>
      </c>
      <c r="E1" t="s">
        <v>33</v>
      </c>
      <c r="F1" t="s">
        <v>4</v>
      </c>
      <c r="G1" t="s">
        <v>5</v>
      </c>
      <c r="H1" t="s">
        <v>6</v>
      </c>
      <c r="I1" t="s">
        <v>8</v>
      </c>
      <c r="J1" t="s">
        <v>34</v>
      </c>
      <c r="K1" t="s">
        <v>9</v>
      </c>
    </row>
    <row r="2" spans="1:11" x14ac:dyDescent="0.2">
      <c r="A2" s="1">
        <v>46023</v>
      </c>
      <c r="B2" t="s">
        <v>35</v>
      </c>
      <c r="C2" t="s">
        <v>36</v>
      </c>
      <c r="D2" t="s">
        <v>37</v>
      </c>
      <c r="E2" t="s">
        <v>38</v>
      </c>
      <c r="F2">
        <v>20418</v>
      </c>
      <c r="G2">
        <v>1408</v>
      </c>
      <c r="H2">
        <v>376.86</v>
      </c>
      <c r="I2">
        <v>82</v>
      </c>
      <c r="J2" t="s">
        <v>39</v>
      </c>
      <c r="K2" t="s">
        <v>40</v>
      </c>
    </row>
    <row r="3" spans="1:11" x14ac:dyDescent="0.2">
      <c r="A3" s="1">
        <v>46023</v>
      </c>
      <c r="B3" t="s">
        <v>35</v>
      </c>
      <c r="C3" t="s">
        <v>36</v>
      </c>
      <c r="D3" t="s">
        <v>41</v>
      </c>
      <c r="E3" t="s">
        <v>42</v>
      </c>
      <c r="F3">
        <v>33621</v>
      </c>
      <c r="G3">
        <v>1815</v>
      </c>
      <c r="H3">
        <v>394.19</v>
      </c>
      <c r="I3">
        <v>165</v>
      </c>
      <c r="J3" t="s">
        <v>43</v>
      </c>
      <c r="K3" t="s">
        <v>40</v>
      </c>
    </row>
    <row r="4" spans="1:11" x14ac:dyDescent="0.2">
      <c r="A4" s="1">
        <v>46023</v>
      </c>
      <c r="B4" t="s">
        <v>44</v>
      </c>
      <c r="C4" t="s">
        <v>45</v>
      </c>
      <c r="D4" t="s">
        <v>46</v>
      </c>
      <c r="E4" t="s">
        <v>42</v>
      </c>
      <c r="F4">
        <v>20847</v>
      </c>
      <c r="G4">
        <v>1026</v>
      </c>
      <c r="H4">
        <v>248.87</v>
      </c>
      <c r="I4">
        <v>86</v>
      </c>
      <c r="J4" t="s">
        <v>47</v>
      </c>
      <c r="K4" t="s">
        <v>40</v>
      </c>
    </row>
    <row r="5" spans="1:11" x14ac:dyDescent="0.2">
      <c r="A5" s="1">
        <v>46023</v>
      </c>
      <c r="B5" t="s">
        <v>44</v>
      </c>
      <c r="C5" t="s">
        <v>48</v>
      </c>
      <c r="D5" t="s">
        <v>49</v>
      </c>
      <c r="E5" t="s">
        <v>50</v>
      </c>
      <c r="F5">
        <v>25344</v>
      </c>
      <c r="G5">
        <v>1477</v>
      </c>
      <c r="H5">
        <v>279.33</v>
      </c>
      <c r="I5">
        <v>86</v>
      </c>
      <c r="J5" t="s">
        <v>51</v>
      </c>
      <c r="K5" t="s">
        <v>40</v>
      </c>
    </row>
    <row r="6" spans="1:11" x14ac:dyDescent="0.2">
      <c r="A6" s="1">
        <v>46023</v>
      </c>
      <c r="B6" t="s">
        <v>52</v>
      </c>
      <c r="C6" t="s">
        <v>53</v>
      </c>
      <c r="D6" t="s">
        <v>54</v>
      </c>
      <c r="E6" t="s">
        <v>54</v>
      </c>
      <c r="F6">
        <v>117973</v>
      </c>
      <c r="G6">
        <v>1578</v>
      </c>
      <c r="H6">
        <v>304.98</v>
      </c>
      <c r="I6">
        <v>101</v>
      </c>
      <c r="J6" t="s">
        <v>54</v>
      </c>
      <c r="K6" t="s">
        <v>40</v>
      </c>
    </row>
    <row r="7" spans="1:11" x14ac:dyDescent="0.2">
      <c r="A7" s="1">
        <v>46023</v>
      </c>
      <c r="B7" t="s">
        <v>52</v>
      </c>
      <c r="C7" t="s">
        <v>55</v>
      </c>
      <c r="D7" t="s">
        <v>54</v>
      </c>
      <c r="E7" t="s">
        <v>54</v>
      </c>
      <c r="F7">
        <v>148335</v>
      </c>
      <c r="G7">
        <v>1638</v>
      </c>
      <c r="H7">
        <v>408.78</v>
      </c>
      <c r="I7">
        <v>143</v>
      </c>
      <c r="J7" t="s">
        <v>54</v>
      </c>
      <c r="K7" t="s">
        <v>40</v>
      </c>
    </row>
    <row r="8" spans="1:11" x14ac:dyDescent="0.2">
      <c r="A8" s="1">
        <v>46023</v>
      </c>
      <c r="B8" t="s">
        <v>56</v>
      </c>
      <c r="C8" t="s">
        <v>57</v>
      </c>
      <c r="D8" t="s">
        <v>58</v>
      </c>
      <c r="E8" t="s">
        <v>42</v>
      </c>
      <c r="F8">
        <v>37676</v>
      </c>
      <c r="G8">
        <v>2436</v>
      </c>
      <c r="H8">
        <v>554.85</v>
      </c>
      <c r="I8">
        <v>156</v>
      </c>
      <c r="J8" t="s">
        <v>43</v>
      </c>
      <c r="K8" t="s">
        <v>40</v>
      </c>
    </row>
    <row r="9" spans="1:11" x14ac:dyDescent="0.2">
      <c r="A9" s="1">
        <v>46023</v>
      </c>
      <c r="B9" t="s">
        <v>56</v>
      </c>
      <c r="C9" t="s">
        <v>57</v>
      </c>
      <c r="D9" t="s">
        <v>59</v>
      </c>
      <c r="E9" t="s">
        <v>38</v>
      </c>
      <c r="F9">
        <v>15854</v>
      </c>
      <c r="G9">
        <v>1039</v>
      </c>
      <c r="H9">
        <v>197.66</v>
      </c>
      <c r="I9">
        <v>70</v>
      </c>
      <c r="J9" t="s">
        <v>43</v>
      </c>
      <c r="K9" t="s">
        <v>40</v>
      </c>
    </row>
    <row r="10" spans="1:11" x14ac:dyDescent="0.2">
      <c r="A10" s="1">
        <v>46023</v>
      </c>
      <c r="B10" t="s">
        <v>60</v>
      </c>
      <c r="C10" t="s">
        <v>61</v>
      </c>
      <c r="D10" t="s">
        <v>62</v>
      </c>
      <c r="E10" t="s">
        <v>42</v>
      </c>
      <c r="F10">
        <v>29611</v>
      </c>
      <c r="G10">
        <v>1518</v>
      </c>
      <c r="H10">
        <v>390.65</v>
      </c>
      <c r="I10">
        <v>129</v>
      </c>
      <c r="J10" t="s">
        <v>47</v>
      </c>
      <c r="K10" t="s">
        <v>40</v>
      </c>
    </row>
    <row r="11" spans="1:11" x14ac:dyDescent="0.2">
      <c r="A11" s="1">
        <v>46024</v>
      </c>
      <c r="B11" t="s">
        <v>35</v>
      </c>
      <c r="C11" t="s">
        <v>36</v>
      </c>
      <c r="D11" t="s">
        <v>37</v>
      </c>
      <c r="E11" t="s">
        <v>38</v>
      </c>
      <c r="F11">
        <v>18725</v>
      </c>
      <c r="G11">
        <v>1187</v>
      </c>
      <c r="H11">
        <v>294.04000000000002</v>
      </c>
      <c r="I11">
        <v>68</v>
      </c>
      <c r="J11" t="s">
        <v>39</v>
      </c>
      <c r="K11" t="s">
        <v>40</v>
      </c>
    </row>
    <row r="12" spans="1:11" x14ac:dyDescent="0.2">
      <c r="A12" s="1">
        <v>46024</v>
      </c>
      <c r="B12" t="s">
        <v>35</v>
      </c>
      <c r="C12" t="s">
        <v>36</v>
      </c>
      <c r="D12" t="s">
        <v>41</v>
      </c>
      <c r="E12" t="s">
        <v>42</v>
      </c>
      <c r="F12">
        <v>10555</v>
      </c>
      <c r="G12">
        <v>661</v>
      </c>
      <c r="H12">
        <v>129.83000000000001</v>
      </c>
      <c r="I12">
        <v>45</v>
      </c>
      <c r="J12" t="s">
        <v>43</v>
      </c>
      <c r="K12" t="s">
        <v>40</v>
      </c>
    </row>
    <row r="13" spans="1:11" x14ac:dyDescent="0.2">
      <c r="A13" s="1">
        <v>46024</v>
      </c>
      <c r="B13" t="s">
        <v>44</v>
      </c>
      <c r="C13" t="s">
        <v>45</v>
      </c>
      <c r="D13" t="s">
        <v>46</v>
      </c>
      <c r="E13" t="s">
        <v>42</v>
      </c>
      <c r="F13">
        <v>23962</v>
      </c>
      <c r="G13">
        <v>1511</v>
      </c>
      <c r="H13">
        <v>294.85000000000002</v>
      </c>
      <c r="I13">
        <v>107</v>
      </c>
      <c r="J13" t="s">
        <v>47</v>
      </c>
      <c r="K13" t="s">
        <v>40</v>
      </c>
    </row>
    <row r="14" spans="1:11" x14ac:dyDescent="0.2">
      <c r="A14" s="1">
        <v>46024</v>
      </c>
      <c r="B14" t="s">
        <v>44</v>
      </c>
      <c r="C14" t="s">
        <v>48</v>
      </c>
      <c r="D14" t="s">
        <v>49</v>
      </c>
      <c r="E14" t="s">
        <v>50</v>
      </c>
      <c r="F14">
        <v>38992</v>
      </c>
      <c r="G14">
        <v>2676</v>
      </c>
      <c r="H14">
        <v>504.88</v>
      </c>
      <c r="I14">
        <v>157</v>
      </c>
      <c r="J14" t="s">
        <v>51</v>
      </c>
      <c r="K14" t="s">
        <v>40</v>
      </c>
    </row>
    <row r="15" spans="1:11" x14ac:dyDescent="0.2">
      <c r="A15" s="1">
        <v>46024</v>
      </c>
      <c r="B15" t="s">
        <v>52</v>
      </c>
      <c r="C15" t="s">
        <v>53</v>
      </c>
      <c r="D15" t="s">
        <v>54</v>
      </c>
      <c r="E15" t="s">
        <v>54</v>
      </c>
      <c r="F15">
        <v>106142</v>
      </c>
      <c r="G15">
        <v>1480</v>
      </c>
      <c r="H15">
        <v>323.24</v>
      </c>
      <c r="I15">
        <v>138</v>
      </c>
      <c r="J15" t="s">
        <v>54</v>
      </c>
      <c r="K15" t="s">
        <v>40</v>
      </c>
    </row>
    <row r="16" spans="1:11" x14ac:dyDescent="0.2">
      <c r="A16" s="1">
        <v>46024</v>
      </c>
      <c r="B16" t="s">
        <v>52</v>
      </c>
      <c r="C16" t="s">
        <v>55</v>
      </c>
      <c r="D16" t="s">
        <v>54</v>
      </c>
      <c r="E16" t="s">
        <v>54</v>
      </c>
      <c r="F16">
        <v>131222</v>
      </c>
      <c r="G16">
        <v>1962</v>
      </c>
      <c r="H16">
        <v>401.78</v>
      </c>
      <c r="I16">
        <v>158</v>
      </c>
      <c r="J16" t="s">
        <v>54</v>
      </c>
      <c r="K16" t="s">
        <v>40</v>
      </c>
    </row>
    <row r="17" spans="1:11" x14ac:dyDescent="0.2">
      <c r="A17" s="1">
        <v>46024</v>
      </c>
      <c r="B17" t="s">
        <v>56</v>
      </c>
      <c r="C17" t="s">
        <v>57</v>
      </c>
      <c r="D17" t="s">
        <v>58</v>
      </c>
      <c r="E17" t="s">
        <v>42</v>
      </c>
      <c r="F17">
        <v>26263</v>
      </c>
      <c r="G17">
        <v>1609</v>
      </c>
      <c r="H17">
        <v>386.16</v>
      </c>
      <c r="I17">
        <v>127</v>
      </c>
      <c r="J17" t="s">
        <v>43</v>
      </c>
      <c r="K17" t="s">
        <v>40</v>
      </c>
    </row>
    <row r="18" spans="1:11" x14ac:dyDescent="0.2">
      <c r="A18" s="1">
        <v>46024</v>
      </c>
      <c r="B18" t="s">
        <v>56</v>
      </c>
      <c r="C18" t="s">
        <v>57</v>
      </c>
      <c r="D18" t="s">
        <v>59</v>
      </c>
      <c r="E18" t="s">
        <v>38</v>
      </c>
      <c r="F18">
        <v>11757</v>
      </c>
      <c r="G18">
        <v>803</v>
      </c>
      <c r="H18">
        <v>197.41</v>
      </c>
      <c r="I18">
        <v>53</v>
      </c>
      <c r="J18" t="s">
        <v>43</v>
      </c>
      <c r="K18" t="s">
        <v>40</v>
      </c>
    </row>
    <row r="19" spans="1:11" x14ac:dyDescent="0.2">
      <c r="A19" s="1">
        <v>46024</v>
      </c>
      <c r="B19" t="s">
        <v>60</v>
      </c>
      <c r="C19" t="s">
        <v>61</v>
      </c>
      <c r="D19" t="s">
        <v>62</v>
      </c>
      <c r="E19" t="s">
        <v>42</v>
      </c>
      <c r="F19">
        <v>43931</v>
      </c>
      <c r="G19">
        <v>2748</v>
      </c>
      <c r="H19">
        <v>546.48</v>
      </c>
      <c r="I19">
        <v>194</v>
      </c>
      <c r="J19" t="s">
        <v>47</v>
      </c>
      <c r="K19" t="s">
        <v>40</v>
      </c>
    </row>
    <row r="20" spans="1:11" x14ac:dyDescent="0.2">
      <c r="A20" s="1">
        <v>46025</v>
      </c>
      <c r="B20" t="s">
        <v>35</v>
      </c>
      <c r="C20" t="s">
        <v>36</v>
      </c>
      <c r="D20" t="s">
        <v>37</v>
      </c>
      <c r="E20" t="s">
        <v>38</v>
      </c>
      <c r="F20">
        <v>19006</v>
      </c>
      <c r="G20">
        <v>1269</v>
      </c>
      <c r="H20">
        <v>329.15</v>
      </c>
      <c r="I20">
        <v>81</v>
      </c>
      <c r="J20" t="s">
        <v>39</v>
      </c>
      <c r="K20" t="s">
        <v>40</v>
      </c>
    </row>
    <row r="21" spans="1:11" x14ac:dyDescent="0.2">
      <c r="A21" s="1">
        <v>46025</v>
      </c>
      <c r="B21" t="s">
        <v>35</v>
      </c>
      <c r="C21" t="s">
        <v>36</v>
      </c>
      <c r="D21" t="s">
        <v>41</v>
      </c>
      <c r="E21" t="s">
        <v>42</v>
      </c>
      <c r="F21">
        <v>49404</v>
      </c>
      <c r="G21">
        <v>2505</v>
      </c>
      <c r="H21">
        <v>576.04999999999995</v>
      </c>
      <c r="I21">
        <v>197</v>
      </c>
      <c r="J21" t="s">
        <v>43</v>
      </c>
      <c r="K21" t="s">
        <v>40</v>
      </c>
    </row>
    <row r="22" spans="1:11" x14ac:dyDescent="0.2">
      <c r="A22" s="1">
        <v>46025</v>
      </c>
      <c r="B22" t="s">
        <v>44</v>
      </c>
      <c r="C22" t="s">
        <v>45</v>
      </c>
      <c r="D22" t="s">
        <v>46</v>
      </c>
      <c r="E22" t="s">
        <v>42</v>
      </c>
      <c r="F22">
        <v>62469</v>
      </c>
      <c r="G22">
        <v>4330</v>
      </c>
      <c r="H22">
        <v>784.63</v>
      </c>
      <c r="I22">
        <v>300</v>
      </c>
      <c r="J22" t="s">
        <v>47</v>
      </c>
      <c r="K22" t="s">
        <v>40</v>
      </c>
    </row>
    <row r="23" spans="1:11" x14ac:dyDescent="0.2">
      <c r="A23" s="1">
        <v>46025</v>
      </c>
      <c r="B23" t="s">
        <v>44</v>
      </c>
      <c r="C23" t="s">
        <v>48</v>
      </c>
      <c r="D23" t="s">
        <v>49</v>
      </c>
      <c r="E23" t="s">
        <v>50</v>
      </c>
      <c r="F23">
        <v>43036</v>
      </c>
      <c r="G23">
        <v>2202</v>
      </c>
      <c r="H23">
        <v>585.91</v>
      </c>
      <c r="I23">
        <v>171</v>
      </c>
      <c r="J23" t="s">
        <v>51</v>
      </c>
      <c r="K23" t="s">
        <v>40</v>
      </c>
    </row>
    <row r="24" spans="1:11" x14ac:dyDescent="0.2">
      <c r="A24" s="1">
        <v>46025</v>
      </c>
      <c r="B24" t="s">
        <v>52</v>
      </c>
      <c r="C24" t="s">
        <v>53</v>
      </c>
      <c r="D24" t="s">
        <v>54</v>
      </c>
      <c r="E24" t="s">
        <v>54</v>
      </c>
      <c r="F24">
        <v>193053</v>
      </c>
      <c r="G24">
        <v>2650</v>
      </c>
      <c r="H24">
        <v>522.78</v>
      </c>
      <c r="I24">
        <v>195</v>
      </c>
      <c r="J24" t="s">
        <v>54</v>
      </c>
      <c r="K24" t="s">
        <v>40</v>
      </c>
    </row>
    <row r="25" spans="1:11" x14ac:dyDescent="0.2">
      <c r="A25" s="1">
        <v>46025</v>
      </c>
      <c r="B25" t="s">
        <v>52</v>
      </c>
      <c r="C25" t="s">
        <v>55</v>
      </c>
      <c r="D25" t="s">
        <v>54</v>
      </c>
      <c r="E25" t="s">
        <v>54</v>
      </c>
      <c r="F25">
        <v>139393</v>
      </c>
      <c r="G25">
        <v>1544</v>
      </c>
      <c r="H25">
        <v>288.35000000000002</v>
      </c>
      <c r="I25">
        <v>101</v>
      </c>
      <c r="J25" t="s">
        <v>54</v>
      </c>
      <c r="K25" t="s">
        <v>40</v>
      </c>
    </row>
    <row r="26" spans="1:11" x14ac:dyDescent="0.2">
      <c r="A26" s="1">
        <v>46025</v>
      </c>
      <c r="B26" t="s">
        <v>56</v>
      </c>
      <c r="C26" t="s">
        <v>57</v>
      </c>
      <c r="D26" t="s">
        <v>58</v>
      </c>
      <c r="E26" t="s">
        <v>42</v>
      </c>
      <c r="F26">
        <v>17654</v>
      </c>
      <c r="G26">
        <v>1238</v>
      </c>
      <c r="H26">
        <v>340.29</v>
      </c>
      <c r="I26">
        <v>87</v>
      </c>
      <c r="J26" t="s">
        <v>43</v>
      </c>
      <c r="K26" t="s">
        <v>40</v>
      </c>
    </row>
    <row r="27" spans="1:11" x14ac:dyDescent="0.2">
      <c r="A27" s="1">
        <v>46025</v>
      </c>
      <c r="B27" t="s">
        <v>56</v>
      </c>
      <c r="C27" t="s">
        <v>57</v>
      </c>
      <c r="D27" t="s">
        <v>59</v>
      </c>
      <c r="E27" t="s">
        <v>38</v>
      </c>
      <c r="F27">
        <v>40285</v>
      </c>
      <c r="G27">
        <v>2541</v>
      </c>
      <c r="H27">
        <v>584.70000000000005</v>
      </c>
      <c r="I27">
        <v>181</v>
      </c>
      <c r="J27" t="s">
        <v>43</v>
      </c>
      <c r="K27" t="s">
        <v>40</v>
      </c>
    </row>
    <row r="28" spans="1:11" x14ac:dyDescent="0.2">
      <c r="A28" s="1">
        <v>46025</v>
      </c>
      <c r="B28" t="s">
        <v>60</v>
      </c>
      <c r="C28" t="s">
        <v>61</v>
      </c>
      <c r="D28" t="s">
        <v>62</v>
      </c>
      <c r="E28" t="s">
        <v>42</v>
      </c>
      <c r="F28">
        <v>50908</v>
      </c>
      <c r="G28">
        <v>2544</v>
      </c>
      <c r="H28">
        <v>594.41999999999996</v>
      </c>
      <c r="I28">
        <v>202</v>
      </c>
      <c r="J28" t="s">
        <v>47</v>
      </c>
      <c r="K28" t="s">
        <v>40</v>
      </c>
    </row>
    <row r="29" spans="1:11" x14ac:dyDescent="0.2">
      <c r="A29" s="1">
        <v>46026</v>
      </c>
      <c r="B29" t="s">
        <v>35</v>
      </c>
      <c r="C29" t="s">
        <v>36</v>
      </c>
      <c r="D29" t="s">
        <v>37</v>
      </c>
      <c r="E29" t="s">
        <v>38</v>
      </c>
      <c r="F29">
        <v>39457</v>
      </c>
      <c r="G29">
        <v>1973</v>
      </c>
      <c r="H29">
        <v>370.73</v>
      </c>
      <c r="I29">
        <v>181</v>
      </c>
      <c r="J29" t="s">
        <v>39</v>
      </c>
      <c r="K29" t="s">
        <v>40</v>
      </c>
    </row>
    <row r="30" spans="1:11" x14ac:dyDescent="0.2">
      <c r="A30" s="1">
        <v>46026</v>
      </c>
      <c r="B30" t="s">
        <v>35</v>
      </c>
      <c r="C30" t="s">
        <v>36</v>
      </c>
      <c r="D30" t="s">
        <v>41</v>
      </c>
      <c r="E30" t="s">
        <v>42</v>
      </c>
      <c r="F30">
        <v>28254</v>
      </c>
      <c r="G30">
        <v>1719</v>
      </c>
      <c r="H30">
        <v>376.59</v>
      </c>
      <c r="I30">
        <v>138</v>
      </c>
      <c r="J30" t="s">
        <v>43</v>
      </c>
      <c r="K30" t="s">
        <v>40</v>
      </c>
    </row>
    <row r="31" spans="1:11" x14ac:dyDescent="0.2">
      <c r="A31" s="1">
        <v>46026</v>
      </c>
      <c r="B31" t="s">
        <v>44</v>
      </c>
      <c r="C31" t="s">
        <v>45</v>
      </c>
      <c r="D31" t="s">
        <v>46</v>
      </c>
      <c r="E31" t="s">
        <v>42</v>
      </c>
      <c r="F31">
        <v>20064</v>
      </c>
      <c r="G31">
        <v>1112</v>
      </c>
      <c r="H31">
        <v>248.81</v>
      </c>
      <c r="I31">
        <v>103</v>
      </c>
      <c r="J31" t="s">
        <v>47</v>
      </c>
      <c r="K31" t="s">
        <v>40</v>
      </c>
    </row>
    <row r="32" spans="1:11" x14ac:dyDescent="0.2">
      <c r="A32" s="1">
        <v>46026</v>
      </c>
      <c r="B32" t="s">
        <v>44</v>
      </c>
      <c r="C32" t="s">
        <v>48</v>
      </c>
      <c r="D32" t="s">
        <v>49</v>
      </c>
      <c r="E32" t="s">
        <v>50</v>
      </c>
      <c r="F32">
        <v>35894</v>
      </c>
      <c r="G32">
        <v>1772</v>
      </c>
      <c r="H32">
        <v>334.24</v>
      </c>
      <c r="I32">
        <v>128</v>
      </c>
      <c r="J32" t="s">
        <v>51</v>
      </c>
      <c r="K32" t="s">
        <v>40</v>
      </c>
    </row>
    <row r="33" spans="1:11" x14ac:dyDescent="0.2">
      <c r="A33" s="1">
        <v>46026</v>
      </c>
      <c r="B33" t="s">
        <v>52</v>
      </c>
      <c r="C33" t="s">
        <v>53</v>
      </c>
      <c r="D33" t="s">
        <v>54</v>
      </c>
      <c r="E33" t="s">
        <v>54</v>
      </c>
      <c r="F33">
        <v>209193</v>
      </c>
      <c r="G33">
        <v>2941</v>
      </c>
      <c r="H33">
        <v>545.55999999999995</v>
      </c>
      <c r="I33">
        <v>240</v>
      </c>
      <c r="J33" t="s">
        <v>54</v>
      </c>
      <c r="K33" t="s">
        <v>40</v>
      </c>
    </row>
    <row r="34" spans="1:11" x14ac:dyDescent="0.2">
      <c r="A34" s="1">
        <v>46026</v>
      </c>
      <c r="B34" t="s">
        <v>52</v>
      </c>
      <c r="C34" t="s">
        <v>55</v>
      </c>
      <c r="D34" t="s">
        <v>54</v>
      </c>
      <c r="E34" t="s">
        <v>54</v>
      </c>
      <c r="F34">
        <v>158230</v>
      </c>
      <c r="G34">
        <v>1835</v>
      </c>
      <c r="H34">
        <v>460.2</v>
      </c>
      <c r="I34">
        <v>152</v>
      </c>
      <c r="J34" t="s">
        <v>54</v>
      </c>
      <c r="K34" t="s">
        <v>40</v>
      </c>
    </row>
    <row r="35" spans="1:11" x14ac:dyDescent="0.2">
      <c r="A35" s="1">
        <v>46026</v>
      </c>
      <c r="B35" t="s">
        <v>56</v>
      </c>
      <c r="C35" t="s">
        <v>57</v>
      </c>
      <c r="D35" t="s">
        <v>58</v>
      </c>
      <c r="E35" t="s">
        <v>42</v>
      </c>
      <c r="F35">
        <v>29030</v>
      </c>
      <c r="G35">
        <v>1739</v>
      </c>
      <c r="H35">
        <v>373.31</v>
      </c>
      <c r="I35">
        <v>131</v>
      </c>
      <c r="J35" t="s">
        <v>43</v>
      </c>
      <c r="K35" t="s">
        <v>40</v>
      </c>
    </row>
    <row r="36" spans="1:11" x14ac:dyDescent="0.2">
      <c r="A36" s="1">
        <v>46026</v>
      </c>
      <c r="B36" t="s">
        <v>56</v>
      </c>
      <c r="C36" t="s">
        <v>57</v>
      </c>
      <c r="D36" t="s">
        <v>59</v>
      </c>
      <c r="E36" t="s">
        <v>38</v>
      </c>
      <c r="F36">
        <v>37786</v>
      </c>
      <c r="G36">
        <v>1965</v>
      </c>
      <c r="H36">
        <v>378.64</v>
      </c>
      <c r="I36">
        <v>169</v>
      </c>
      <c r="J36" t="s">
        <v>43</v>
      </c>
      <c r="K36" t="s">
        <v>40</v>
      </c>
    </row>
    <row r="37" spans="1:11" x14ac:dyDescent="0.2">
      <c r="A37" s="1">
        <v>46026</v>
      </c>
      <c r="B37" t="s">
        <v>60</v>
      </c>
      <c r="C37" t="s">
        <v>61</v>
      </c>
      <c r="D37" t="s">
        <v>62</v>
      </c>
      <c r="E37" t="s">
        <v>42</v>
      </c>
      <c r="F37">
        <v>38658</v>
      </c>
      <c r="G37">
        <v>2535</v>
      </c>
      <c r="H37">
        <v>486.23</v>
      </c>
      <c r="I37">
        <v>230</v>
      </c>
      <c r="J37" t="s">
        <v>47</v>
      </c>
      <c r="K37" t="s">
        <v>40</v>
      </c>
    </row>
    <row r="38" spans="1:11" x14ac:dyDescent="0.2">
      <c r="A38" s="1">
        <v>46027</v>
      </c>
      <c r="B38" t="s">
        <v>35</v>
      </c>
      <c r="C38" t="s">
        <v>36</v>
      </c>
      <c r="D38" t="s">
        <v>37</v>
      </c>
      <c r="E38" t="s">
        <v>38</v>
      </c>
      <c r="F38">
        <v>31955</v>
      </c>
      <c r="G38">
        <v>2152</v>
      </c>
      <c r="H38">
        <v>445.89</v>
      </c>
      <c r="I38">
        <v>123</v>
      </c>
      <c r="J38" t="s">
        <v>39</v>
      </c>
      <c r="K38" t="s">
        <v>40</v>
      </c>
    </row>
    <row r="39" spans="1:11" x14ac:dyDescent="0.2">
      <c r="A39" s="1">
        <v>46027</v>
      </c>
      <c r="B39" t="s">
        <v>35</v>
      </c>
      <c r="C39" t="s">
        <v>36</v>
      </c>
      <c r="D39" t="s">
        <v>41</v>
      </c>
      <c r="E39" t="s">
        <v>42</v>
      </c>
      <c r="F39">
        <v>15050</v>
      </c>
      <c r="G39">
        <v>901</v>
      </c>
      <c r="H39">
        <v>208.2</v>
      </c>
      <c r="I39">
        <v>51</v>
      </c>
      <c r="J39" t="s">
        <v>43</v>
      </c>
      <c r="K39" t="s">
        <v>40</v>
      </c>
    </row>
    <row r="40" spans="1:11" x14ac:dyDescent="0.2">
      <c r="A40" s="1">
        <v>46027</v>
      </c>
      <c r="B40" t="s">
        <v>44</v>
      </c>
      <c r="C40" t="s">
        <v>45</v>
      </c>
      <c r="D40" t="s">
        <v>46</v>
      </c>
      <c r="E40" t="s">
        <v>42</v>
      </c>
      <c r="F40">
        <v>20936</v>
      </c>
      <c r="G40">
        <v>1189</v>
      </c>
      <c r="H40">
        <v>244.35</v>
      </c>
      <c r="I40">
        <v>70</v>
      </c>
      <c r="J40" t="s">
        <v>47</v>
      </c>
      <c r="K40" t="s">
        <v>40</v>
      </c>
    </row>
    <row r="41" spans="1:11" x14ac:dyDescent="0.2">
      <c r="A41" s="1">
        <v>46027</v>
      </c>
      <c r="B41" t="s">
        <v>44</v>
      </c>
      <c r="C41" t="s">
        <v>48</v>
      </c>
      <c r="D41" t="s">
        <v>49</v>
      </c>
      <c r="E41" t="s">
        <v>50</v>
      </c>
      <c r="F41">
        <v>17558</v>
      </c>
      <c r="G41">
        <v>939</v>
      </c>
      <c r="H41">
        <v>216.8</v>
      </c>
      <c r="I41">
        <v>53</v>
      </c>
      <c r="J41" t="s">
        <v>51</v>
      </c>
      <c r="K41" t="s">
        <v>40</v>
      </c>
    </row>
    <row r="42" spans="1:11" x14ac:dyDescent="0.2">
      <c r="A42" s="1">
        <v>46027</v>
      </c>
      <c r="B42" t="s">
        <v>52</v>
      </c>
      <c r="C42" t="s">
        <v>53</v>
      </c>
      <c r="D42" t="s">
        <v>54</v>
      </c>
      <c r="E42" t="s">
        <v>54</v>
      </c>
      <c r="F42">
        <v>91610</v>
      </c>
      <c r="G42">
        <v>1119</v>
      </c>
      <c r="H42">
        <v>254.21</v>
      </c>
      <c r="I42">
        <v>78</v>
      </c>
      <c r="J42" t="s">
        <v>54</v>
      </c>
      <c r="K42" t="s">
        <v>40</v>
      </c>
    </row>
    <row r="43" spans="1:11" x14ac:dyDescent="0.2">
      <c r="A43" s="1">
        <v>46027</v>
      </c>
      <c r="B43" t="s">
        <v>52</v>
      </c>
      <c r="C43" t="s">
        <v>55</v>
      </c>
      <c r="D43" t="s">
        <v>54</v>
      </c>
      <c r="E43" t="s">
        <v>54</v>
      </c>
      <c r="F43">
        <v>109671</v>
      </c>
      <c r="G43">
        <v>1304</v>
      </c>
      <c r="H43">
        <v>359.95</v>
      </c>
      <c r="I43">
        <v>73</v>
      </c>
      <c r="J43" t="s">
        <v>54</v>
      </c>
      <c r="K43" t="s">
        <v>40</v>
      </c>
    </row>
    <row r="44" spans="1:11" x14ac:dyDescent="0.2">
      <c r="A44" s="1">
        <v>46027</v>
      </c>
      <c r="B44" t="s">
        <v>56</v>
      </c>
      <c r="C44" t="s">
        <v>57</v>
      </c>
      <c r="D44" t="s">
        <v>58</v>
      </c>
      <c r="E44" t="s">
        <v>42</v>
      </c>
      <c r="F44">
        <v>37483</v>
      </c>
      <c r="G44">
        <v>2001</v>
      </c>
      <c r="H44">
        <v>409.86</v>
      </c>
      <c r="I44">
        <v>183</v>
      </c>
      <c r="J44" t="s">
        <v>43</v>
      </c>
      <c r="K44" t="s">
        <v>40</v>
      </c>
    </row>
    <row r="45" spans="1:11" x14ac:dyDescent="0.2">
      <c r="A45" s="1">
        <v>46027</v>
      </c>
      <c r="B45" t="s">
        <v>56</v>
      </c>
      <c r="C45" t="s">
        <v>57</v>
      </c>
      <c r="D45" t="s">
        <v>59</v>
      </c>
      <c r="E45" t="s">
        <v>38</v>
      </c>
      <c r="F45">
        <v>30967</v>
      </c>
      <c r="G45">
        <v>1688</v>
      </c>
      <c r="H45">
        <v>316.99</v>
      </c>
      <c r="I45">
        <v>118</v>
      </c>
      <c r="J45" t="s">
        <v>43</v>
      </c>
      <c r="K45" t="s">
        <v>40</v>
      </c>
    </row>
    <row r="46" spans="1:11" x14ac:dyDescent="0.2">
      <c r="A46" s="1">
        <v>46027</v>
      </c>
      <c r="B46" t="s">
        <v>60</v>
      </c>
      <c r="C46" t="s">
        <v>61</v>
      </c>
      <c r="D46" t="s">
        <v>62</v>
      </c>
      <c r="E46" t="s">
        <v>42</v>
      </c>
      <c r="F46">
        <v>42901</v>
      </c>
      <c r="G46">
        <v>2752</v>
      </c>
      <c r="H46">
        <v>509.86</v>
      </c>
      <c r="I46">
        <v>175</v>
      </c>
      <c r="J46" t="s">
        <v>47</v>
      </c>
      <c r="K46" t="s">
        <v>40</v>
      </c>
    </row>
    <row r="47" spans="1:11" x14ac:dyDescent="0.2">
      <c r="A47" s="1">
        <v>46028</v>
      </c>
      <c r="B47" t="s">
        <v>35</v>
      </c>
      <c r="C47" t="s">
        <v>36</v>
      </c>
      <c r="D47" t="s">
        <v>37</v>
      </c>
      <c r="E47" t="s">
        <v>38</v>
      </c>
      <c r="F47">
        <v>43801</v>
      </c>
      <c r="G47">
        <v>3134</v>
      </c>
      <c r="H47">
        <v>863.13</v>
      </c>
      <c r="I47">
        <v>181</v>
      </c>
      <c r="J47" t="s">
        <v>39</v>
      </c>
      <c r="K47" t="s">
        <v>40</v>
      </c>
    </row>
    <row r="48" spans="1:11" x14ac:dyDescent="0.2">
      <c r="A48" s="1">
        <v>46028</v>
      </c>
      <c r="B48" t="s">
        <v>35</v>
      </c>
      <c r="C48" t="s">
        <v>36</v>
      </c>
      <c r="D48" t="s">
        <v>41</v>
      </c>
      <c r="E48" t="s">
        <v>42</v>
      </c>
      <c r="F48">
        <v>40480</v>
      </c>
      <c r="G48">
        <v>2784</v>
      </c>
      <c r="H48">
        <v>716.47</v>
      </c>
      <c r="I48">
        <v>187</v>
      </c>
      <c r="J48" t="s">
        <v>43</v>
      </c>
      <c r="K48" t="s">
        <v>40</v>
      </c>
    </row>
    <row r="49" spans="1:11" x14ac:dyDescent="0.2">
      <c r="A49" s="1">
        <v>46028</v>
      </c>
      <c r="B49" t="s">
        <v>44</v>
      </c>
      <c r="C49" t="s">
        <v>45</v>
      </c>
      <c r="D49" t="s">
        <v>46</v>
      </c>
      <c r="E49" t="s">
        <v>42</v>
      </c>
      <c r="F49">
        <v>15661</v>
      </c>
      <c r="G49">
        <v>959</v>
      </c>
      <c r="H49">
        <v>173.38</v>
      </c>
      <c r="I49">
        <v>60</v>
      </c>
      <c r="J49" t="s">
        <v>47</v>
      </c>
      <c r="K49" t="s">
        <v>40</v>
      </c>
    </row>
    <row r="50" spans="1:11" x14ac:dyDescent="0.2">
      <c r="A50" s="1">
        <v>46028</v>
      </c>
      <c r="B50" t="s">
        <v>44</v>
      </c>
      <c r="C50" t="s">
        <v>48</v>
      </c>
      <c r="D50" t="s">
        <v>49</v>
      </c>
      <c r="E50" t="s">
        <v>50</v>
      </c>
      <c r="F50">
        <v>29917</v>
      </c>
      <c r="G50">
        <v>1967</v>
      </c>
      <c r="H50">
        <v>401.78</v>
      </c>
      <c r="I50">
        <v>137</v>
      </c>
      <c r="J50" t="s">
        <v>51</v>
      </c>
      <c r="K50" t="s">
        <v>40</v>
      </c>
    </row>
    <row r="51" spans="1:11" x14ac:dyDescent="0.2">
      <c r="A51" s="1">
        <v>46028</v>
      </c>
      <c r="B51" t="s">
        <v>52</v>
      </c>
      <c r="C51" t="s">
        <v>53</v>
      </c>
      <c r="D51" t="s">
        <v>54</v>
      </c>
      <c r="E51" t="s">
        <v>54</v>
      </c>
      <c r="F51">
        <v>154665</v>
      </c>
      <c r="G51">
        <v>2472</v>
      </c>
      <c r="H51">
        <v>636.76</v>
      </c>
      <c r="I51">
        <v>208</v>
      </c>
      <c r="J51" t="s">
        <v>54</v>
      </c>
      <c r="K51" t="s">
        <v>40</v>
      </c>
    </row>
    <row r="52" spans="1:11" x14ac:dyDescent="0.2">
      <c r="A52" s="1">
        <v>46028</v>
      </c>
      <c r="B52" t="s">
        <v>52</v>
      </c>
      <c r="C52" t="s">
        <v>55</v>
      </c>
      <c r="D52" t="s">
        <v>54</v>
      </c>
      <c r="E52" t="s">
        <v>54</v>
      </c>
      <c r="F52">
        <v>161638</v>
      </c>
      <c r="G52">
        <v>2392</v>
      </c>
      <c r="H52">
        <v>489.19</v>
      </c>
      <c r="I52">
        <v>132</v>
      </c>
      <c r="J52" t="s">
        <v>54</v>
      </c>
      <c r="K52" t="s">
        <v>40</v>
      </c>
    </row>
    <row r="53" spans="1:11" x14ac:dyDescent="0.2">
      <c r="A53" s="1">
        <v>46028</v>
      </c>
      <c r="B53" t="s">
        <v>56</v>
      </c>
      <c r="C53" t="s">
        <v>57</v>
      </c>
      <c r="D53" t="s">
        <v>58</v>
      </c>
      <c r="E53" t="s">
        <v>42</v>
      </c>
      <c r="F53">
        <v>36872</v>
      </c>
      <c r="G53">
        <v>1791</v>
      </c>
      <c r="H53">
        <v>419.37</v>
      </c>
      <c r="I53">
        <v>144</v>
      </c>
      <c r="J53" t="s">
        <v>43</v>
      </c>
      <c r="K53" t="s">
        <v>40</v>
      </c>
    </row>
    <row r="54" spans="1:11" x14ac:dyDescent="0.2">
      <c r="A54" s="1">
        <v>46028</v>
      </c>
      <c r="B54" t="s">
        <v>56</v>
      </c>
      <c r="C54" t="s">
        <v>57</v>
      </c>
      <c r="D54" t="s">
        <v>59</v>
      </c>
      <c r="E54" t="s">
        <v>38</v>
      </c>
      <c r="F54">
        <v>10628</v>
      </c>
      <c r="G54">
        <v>752</v>
      </c>
      <c r="H54">
        <v>135.47</v>
      </c>
      <c r="I54">
        <v>61</v>
      </c>
      <c r="J54" t="s">
        <v>43</v>
      </c>
      <c r="K54" t="s">
        <v>40</v>
      </c>
    </row>
    <row r="55" spans="1:11" x14ac:dyDescent="0.2">
      <c r="A55" s="1">
        <v>46028</v>
      </c>
      <c r="B55" t="s">
        <v>60</v>
      </c>
      <c r="C55" t="s">
        <v>61</v>
      </c>
      <c r="D55" t="s">
        <v>62</v>
      </c>
      <c r="E55" t="s">
        <v>42</v>
      </c>
      <c r="F55">
        <v>30153</v>
      </c>
      <c r="G55">
        <v>1522</v>
      </c>
      <c r="H55">
        <v>354.6</v>
      </c>
      <c r="I55">
        <v>98</v>
      </c>
      <c r="J55" t="s">
        <v>47</v>
      </c>
      <c r="K55" t="s">
        <v>40</v>
      </c>
    </row>
    <row r="56" spans="1:11" x14ac:dyDescent="0.2">
      <c r="A56" s="1">
        <v>46029</v>
      </c>
      <c r="B56" t="s">
        <v>35</v>
      </c>
      <c r="C56" t="s">
        <v>36</v>
      </c>
      <c r="D56" t="s">
        <v>37</v>
      </c>
      <c r="E56" t="s">
        <v>38</v>
      </c>
      <c r="F56">
        <v>42245</v>
      </c>
      <c r="G56">
        <v>3002</v>
      </c>
      <c r="H56">
        <v>832.32</v>
      </c>
      <c r="I56">
        <v>182</v>
      </c>
      <c r="J56" t="s">
        <v>39</v>
      </c>
      <c r="K56" t="s">
        <v>40</v>
      </c>
    </row>
    <row r="57" spans="1:11" x14ac:dyDescent="0.2">
      <c r="A57" s="1">
        <v>46029</v>
      </c>
      <c r="B57" t="s">
        <v>35</v>
      </c>
      <c r="C57" t="s">
        <v>36</v>
      </c>
      <c r="D57" t="s">
        <v>41</v>
      </c>
      <c r="E57" t="s">
        <v>42</v>
      </c>
      <c r="F57">
        <v>28338</v>
      </c>
      <c r="G57">
        <v>1423</v>
      </c>
      <c r="H57">
        <v>387.24</v>
      </c>
      <c r="I57">
        <v>129</v>
      </c>
      <c r="J57" t="s">
        <v>43</v>
      </c>
      <c r="K57" t="s">
        <v>40</v>
      </c>
    </row>
    <row r="58" spans="1:11" x14ac:dyDescent="0.2">
      <c r="A58" s="1">
        <v>46029</v>
      </c>
      <c r="B58" t="s">
        <v>44</v>
      </c>
      <c r="C58" t="s">
        <v>45</v>
      </c>
      <c r="D58" t="s">
        <v>46</v>
      </c>
      <c r="E58" t="s">
        <v>42</v>
      </c>
      <c r="F58">
        <v>44062</v>
      </c>
      <c r="G58">
        <v>2551</v>
      </c>
      <c r="H58">
        <v>687.64</v>
      </c>
      <c r="I58">
        <v>187</v>
      </c>
      <c r="J58" t="s">
        <v>47</v>
      </c>
      <c r="K58" t="s">
        <v>40</v>
      </c>
    </row>
    <row r="59" spans="1:11" x14ac:dyDescent="0.2">
      <c r="A59" s="1">
        <v>46029</v>
      </c>
      <c r="B59" t="s">
        <v>44</v>
      </c>
      <c r="C59" t="s">
        <v>48</v>
      </c>
      <c r="D59" t="s">
        <v>49</v>
      </c>
      <c r="E59" t="s">
        <v>50</v>
      </c>
      <c r="F59">
        <v>15564</v>
      </c>
      <c r="G59">
        <v>964</v>
      </c>
      <c r="H59">
        <v>222.24</v>
      </c>
      <c r="I59">
        <v>77</v>
      </c>
      <c r="J59" t="s">
        <v>51</v>
      </c>
      <c r="K59" t="s">
        <v>40</v>
      </c>
    </row>
    <row r="60" spans="1:11" x14ac:dyDescent="0.2">
      <c r="A60" s="1">
        <v>46029</v>
      </c>
      <c r="B60" t="s">
        <v>52</v>
      </c>
      <c r="C60" t="s">
        <v>53</v>
      </c>
      <c r="D60" t="s">
        <v>54</v>
      </c>
      <c r="E60" t="s">
        <v>54</v>
      </c>
      <c r="F60">
        <v>141688</v>
      </c>
      <c r="G60">
        <v>1611</v>
      </c>
      <c r="H60">
        <v>381.46</v>
      </c>
      <c r="I60">
        <v>116</v>
      </c>
      <c r="J60" t="s">
        <v>54</v>
      </c>
      <c r="K60" t="s">
        <v>40</v>
      </c>
    </row>
    <row r="61" spans="1:11" x14ac:dyDescent="0.2">
      <c r="A61" s="1">
        <v>46029</v>
      </c>
      <c r="B61" t="s">
        <v>52</v>
      </c>
      <c r="C61" t="s">
        <v>55</v>
      </c>
      <c r="D61" t="s">
        <v>54</v>
      </c>
      <c r="E61" t="s">
        <v>54</v>
      </c>
      <c r="F61">
        <v>107132</v>
      </c>
      <c r="G61">
        <v>1305</v>
      </c>
      <c r="H61">
        <v>268.95999999999998</v>
      </c>
      <c r="I61">
        <v>88</v>
      </c>
      <c r="J61" t="s">
        <v>54</v>
      </c>
      <c r="K61" t="s">
        <v>40</v>
      </c>
    </row>
    <row r="62" spans="1:11" x14ac:dyDescent="0.2">
      <c r="A62" s="1">
        <v>46029</v>
      </c>
      <c r="B62" t="s">
        <v>56</v>
      </c>
      <c r="C62" t="s">
        <v>57</v>
      </c>
      <c r="D62" t="s">
        <v>58</v>
      </c>
      <c r="E62" t="s">
        <v>42</v>
      </c>
      <c r="F62">
        <v>35752</v>
      </c>
      <c r="G62">
        <v>2317</v>
      </c>
      <c r="H62">
        <v>587.44000000000005</v>
      </c>
      <c r="I62">
        <v>156</v>
      </c>
      <c r="J62" t="s">
        <v>43</v>
      </c>
      <c r="K62" t="s">
        <v>40</v>
      </c>
    </row>
    <row r="63" spans="1:11" x14ac:dyDescent="0.2">
      <c r="A63" s="1">
        <v>46029</v>
      </c>
      <c r="B63" t="s">
        <v>56</v>
      </c>
      <c r="C63" t="s">
        <v>57</v>
      </c>
      <c r="D63" t="s">
        <v>59</v>
      </c>
      <c r="E63" t="s">
        <v>38</v>
      </c>
      <c r="F63">
        <v>27822</v>
      </c>
      <c r="G63">
        <v>1491</v>
      </c>
      <c r="H63">
        <v>409.06</v>
      </c>
      <c r="I63">
        <v>90</v>
      </c>
      <c r="J63" t="s">
        <v>43</v>
      </c>
      <c r="K63" t="s">
        <v>40</v>
      </c>
    </row>
    <row r="64" spans="1:11" x14ac:dyDescent="0.2">
      <c r="A64" s="1">
        <v>46029</v>
      </c>
      <c r="B64" t="s">
        <v>60</v>
      </c>
      <c r="C64" t="s">
        <v>61</v>
      </c>
      <c r="D64" t="s">
        <v>62</v>
      </c>
      <c r="E64" t="s">
        <v>42</v>
      </c>
      <c r="F64">
        <v>17141</v>
      </c>
      <c r="G64">
        <v>886</v>
      </c>
      <c r="H64">
        <v>174.04</v>
      </c>
      <c r="I64">
        <v>65</v>
      </c>
      <c r="J64" t="s">
        <v>47</v>
      </c>
      <c r="K64" t="s">
        <v>40</v>
      </c>
    </row>
    <row r="65" spans="1:11" x14ac:dyDescent="0.2">
      <c r="A65" s="1">
        <v>46030</v>
      </c>
      <c r="B65" t="s">
        <v>35</v>
      </c>
      <c r="C65" t="s">
        <v>36</v>
      </c>
      <c r="D65" t="s">
        <v>37</v>
      </c>
      <c r="E65" t="s">
        <v>38</v>
      </c>
      <c r="F65">
        <v>36641</v>
      </c>
      <c r="G65">
        <v>1864</v>
      </c>
      <c r="H65">
        <v>402.3</v>
      </c>
      <c r="I65">
        <v>159</v>
      </c>
      <c r="J65" t="s">
        <v>39</v>
      </c>
      <c r="K65" t="s">
        <v>40</v>
      </c>
    </row>
    <row r="66" spans="1:11" x14ac:dyDescent="0.2">
      <c r="A66" s="1">
        <v>46030</v>
      </c>
      <c r="B66" t="s">
        <v>35</v>
      </c>
      <c r="C66" t="s">
        <v>36</v>
      </c>
      <c r="D66" t="s">
        <v>41</v>
      </c>
      <c r="E66" t="s">
        <v>42</v>
      </c>
      <c r="F66">
        <v>39616</v>
      </c>
      <c r="G66">
        <v>2194</v>
      </c>
      <c r="H66">
        <v>453.06</v>
      </c>
      <c r="I66">
        <v>131</v>
      </c>
      <c r="J66" t="s">
        <v>43</v>
      </c>
      <c r="K66" t="s">
        <v>40</v>
      </c>
    </row>
    <row r="67" spans="1:11" x14ac:dyDescent="0.2">
      <c r="A67" s="1">
        <v>46030</v>
      </c>
      <c r="B67" t="s">
        <v>44</v>
      </c>
      <c r="C67" t="s">
        <v>45</v>
      </c>
      <c r="D67" t="s">
        <v>46</v>
      </c>
      <c r="E67" t="s">
        <v>42</v>
      </c>
      <c r="F67">
        <v>20329</v>
      </c>
      <c r="G67">
        <v>1369</v>
      </c>
      <c r="H67">
        <v>288.07</v>
      </c>
      <c r="I67">
        <v>113</v>
      </c>
      <c r="J67" t="s">
        <v>47</v>
      </c>
      <c r="K67" t="s">
        <v>40</v>
      </c>
    </row>
    <row r="68" spans="1:11" x14ac:dyDescent="0.2">
      <c r="A68" s="1">
        <v>46030</v>
      </c>
      <c r="B68" t="s">
        <v>44</v>
      </c>
      <c r="C68" t="s">
        <v>48</v>
      </c>
      <c r="D68" t="s">
        <v>49</v>
      </c>
      <c r="E68" t="s">
        <v>50</v>
      </c>
      <c r="F68">
        <v>12643</v>
      </c>
      <c r="G68">
        <v>672</v>
      </c>
      <c r="H68">
        <v>178.52</v>
      </c>
      <c r="I68">
        <v>40</v>
      </c>
      <c r="J68" t="s">
        <v>51</v>
      </c>
      <c r="K68" t="s">
        <v>40</v>
      </c>
    </row>
    <row r="69" spans="1:11" x14ac:dyDescent="0.2">
      <c r="A69" s="1">
        <v>46030</v>
      </c>
      <c r="B69" t="s">
        <v>52</v>
      </c>
      <c r="C69" t="s">
        <v>53</v>
      </c>
      <c r="D69" t="s">
        <v>54</v>
      </c>
      <c r="E69" t="s">
        <v>54</v>
      </c>
      <c r="F69">
        <v>122534</v>
      </c>
      <c r="G69">
        <v>1941</v>
      </c>
      <c r="H69">
        <v>426.29</v>
      </c>
      <c r="I69">
        <v>110</v>
      </c>
      <c r="J69" t="s">
        <v>54</v>
      </c>
      <c r="K69" t="s">
        <v>40</v>
      </c>
    </row>
    <row r="70" spans="1:11" x14ac:dyDescent="0.2">
      <c r="A70" s="1">
        <v>46030</v>
      </c>
      <c r="B70" t="s">
        <v>52</v>
      </c>
      <c r="C70" t="s">
        <v>55</v>
      </c>
      <c r="D70" t="s">
        <v>54</v>
      </c>
      <c r="E70" t="s">
        <v>54</v>
      </c>
      <c r="F70">
        <v>129169</v>
      </c>
      <c r="G70">
        <v>1588</v>
      </c>
      <c r="H70">
        <v>443.16</v>
      </c>
      <c r="I70">
        <v>89</v>
      </c>
      <c r="J70" t="s">
        <v>54</v>
      </c>
      <c r="K70" t="s">
        <v>40</v>
      </c>
    </row>
    <row r="71" spans="1:11" x14ac:dyDescent="0.2">
      <c r="A71" s="1">
        <v>46030</v>
      </c>
      <c r="B71" t="s">
        <v>56</v>
      </c>
      <c r="C71" t="s">
        <v>57</v>
      </c>
      <c r="D71" t="s">
        <v>58</v>
      </c>
      <c r="E71" t="s">
        <v>42</v>
      </c>
      <c r="F71">
        <v>36502</v>
      </c>
      <c r="G71">
        <v>2500</v>
      </c>
      <c r="H71">
        <v>588.99</v>
      </c>
      <c r="I71">
        <v>192</v>
      </c>
      <c r="J71" t="s">
        <v>43</v>
      </c>
      <c r="K71" t="s">
        <v>40</v>
      </c>
    </row>
    <row r="72" spans="1:11" x14ac:dyDescent="0.2">
      <c r="A72" s="1">
        <v>46030</v>
      </c>
      <c r="B72" t="s">
        <v>56</v>
      </c>
      <c r="C72" t="s">
        <v>57</v>
      </c>
      <c r="D72" t="s">
        <v>59</v>
      </c>
      <c r="E72" t="s">
        <v>38</v>
      </c>
      <c r="F72">
        <v>16207</v>
      </c>
      <c r="G72">
        <v>957</v>
      </c>
      <c r="H72">
        <v>249.19</v>
      </c>
      <c r="I72">
        <v>57</v>
      </c>
      <c r="J72" t="s">
        <v>43</v>
      </c>
      <c r="K72" t="s">
        <v>40</v>
      </c>
    </row>
    <row r="73" spans="1:11" x14ac:dyDescent="0.2">
      <c r="A73" s="1">
        <v>46030</v>
      </c>
      <c r="B73" t="s">
        <v>60</v>
      </c>
      <c r="C73" t="s">
        <v>61</v>
      </c>
      <c r="D73" t="s">
        <v>62</v>
      </c>
      <c r="E73" t="s">
        <v>42</v>
      </c>
      <c r="F73">
        <v>10783</v>
      </c>
      <c r="G73">
        <v>533</v>
      </c>
      <c r="H73">
        <v>137.57</v>
      </c>
      <c r="I73">
        <v>34</v>
      </c>
      <c r="J73" t="s">
        <v>47</v>
      </c>
      <c r="K73" t="s">
        <v>40</v>
      </c>
    </row>
    <row r="74" spans="1:11" x14ac:dyDescent="0.2">
      <c r="A74" s="1">
        <v>46031</v>
      </c>
      <c r="B74" t="s">
        <v>35</v>
      </c>
      <c r="C74" t="s">
        <v>36</v>
      </c>
      <c r="D74" t="s">
        <v>37</v>
      </c>
      <c r="E74" t="s">
        <v>38</v>
      </c>
      <c r="F74">
        <v>22984</v>
      </c>
      <c r="G74">
        <v>1557</v>
      </c>
      <c r="H74">
        <v>338.22</v>
      </c>
      <c r="I74">
        <v>124</v>
      </c>
      <c r="J74" t="s">
        <v>39</v>
      </c>
      <c r="K74" t="s">
        <v>40</v>
      </c>
    </row>
    <row r="75" spans="1:11" x14ac:dyDescent="0.2">
      <c r="A75" s="1">
        <v>46031</v>
      </c>
      <c r="B75" t="s">
        <v>35</v>
      </c>
      <c r="C75" t="s">
        <v>36</v>
      </c>
      <c r="D75" t="s">
        <v>41</v>
      </c>
      <c r="E75" t="s">
        <v>42</v>
      </c>
      <c r="F75">
        <v>15507</v>
      </c>
      <c r="G75">
        <v>961</v>
      </c>
      <c r="H75">
        <v>197.85</v>
      </c>
      <c r="I75">
        <v>84</v>
      </c>
      <c r="J75" t="s">
        <v>43</v>
      </c>
      <c r="K75" t="s">
        <v>40</v>
      </c>
    </row>
    <row r="76" spans="1:11" x14ac:dyDescent="0.2">
      <c r="A76" s="1">
        <v>46031</v>
      </c>
      <c r="B76" t="s">
        <v>44</v>
      </c>
      <c r="C76" t="s">
        <v>45</v>
      </c>
      <c r="D76" t="s">
        <v>46</v>
      </c>
      <c r="E76" t="s">
        <v>42</v>
      </c>
      <c r="F76">
        <v>11428</v>
      </c>
      <c r="G76">
        <v>822</v>
      </c>
      <c r="H76">
        <v>164.22</v>
      </c>
      <c r="I76">
        <v>66</v>
      </c>
      <c r="J76" t="s">
        <v>47</v>
      </c>
      <c r="K76" t="s">
        <v>40</v>
      </c>
    </row>
    <row r="77" spans="1:11" x14ac:dyDescent="0.2">
      <c r="A77" s="1">
        <v>46031</v>
      </c>
      <c r="B77" t="s">
        <v>44</v>
      </c>
      <c r="C77" t="s">
        <v>48</v>
      </c>
      <c r="D77" t="s">
        <v>49</v>
      </c>
      <c r="E77" t="s">
        <v>50</v>
      </c>
      <c r="F77">
        <v>18440</v>
      </c>
      <c r="G77">
        <v>925</v>
      </c>
      <c r="H77">
        <v>244.87</v>
      </c>
      <c r="I77">
        <v>80</v>
      </c>
      <c r="J77" t="s">
        <v>51</v>
      </c>
      <c r="K77" t="s">
        <v>40</v>
      </c>
    </row>
    <row r="78" spans="1:11" x14ac:dyDescent="0.2">
      <c r="A78" s="1">
        <v>46031</v>
      </c>
      <c r="B78" t="s">
        <v>52</v>
      </c>
      <c r="C78" t="s">
        <v>53</v>
      </c>
      <c r="D78" t="s">
        <v>54</v>
      </c>
      <c r="E78" t="s">
        <v>54</v>
      </c>
      <c r="F78">
        <v>106059</v>
      </c>
      <c r="G78">
        <v>1189</v>
      </c>
      <c r="H78">
        <v>268.83</v>
      </c>
      <c r="I78">
        <v>73</v>
      </c>
      <c r="J78" t="s">
        <v>54</v>
      </c>
      <c r="K78" t="s">
        <v>40</v>
      </c>
    </row>
    <row r="79" spans="1:11" x14ac:dyDescent="0.2">
      <c r="A79" s="1">
        <v>46031</v>
      </c>
      <c r="B79" t="s">
        <v>52</v>
      </c>
      <c r="C79" t="s">
        <v>55</v>
      </c>
      <c r="D79" t="s">
        <v>54</v>
      </c>
      <c r="E79" t="s">
        <v>54</v>
      </c>
      <c r="F79">
        <v>165220</v>
      </c>
      <c r="G79">
        <v>2175</v>
      </c>
      <c r="H79">
        <v>549.05999999999995</v>
      </c>
      <c r="I79">
        <v>162</v>
      </c>
      <c r="J79" t="s">
        <v>54</v>
      </c>
      <c r="K79" t="s">
        <v>40</v>
      </c>
    </row>
    <row r="80" spans="1:11" x14ac:dyDescent="0.2">
      <c r="A80" s="1">
        <v>46031</v>
      </c>
      <c r="B80" t="s">
        <v>56</v>
      </c>
      <c r="C80" t="s">
        <v>57</v>
      </c>
      <c r="D80" t="s">
        <v>58</v>
      </c>
      <c r="E80" t="s">
        <v>42</v>
      </c>
      <c r="F80">
        <v>35082</v>
      </c>
      <c r="G80">
        <v>2259</v>
      </c>
      <c r="H80">
        <v>445.66</v>
      </c>
      <c r="I80">
        <v>143</v>
      </c>
      <c r="J80" t="s">
        <v>43</v>
      </c>
      <c r="K80" t="s">
        <v>40</v>
      </c>
    </row>
    <row r="81" spans="1:11" x14ac:dyDescent="0.2">
      <c r="A81" s="1">
        <v>46031</v>
      </c>
      <c r="B81" t="s">
        <v>56</v>
      </c>
      <c r="C81" t="s">
        <v>57</v>
      </c>
      <c r="D81" t="s">
        <v>59</v>
      </c>
      <c r="E81" t="s">
        <v>38</v>
      </c>
      <c r="F81">
        <v>22265</v>
      </c>
      <c r="G81">
        <v>1215</v>
      </c>
      <c r="H81">
        <v>272.89</v>
      </c>
      <c r="I81">
        <v>74</v>
      </c>
      <c r="J81" t="s">
        <v>43</v>
      </c>
      <c r="K81" t="s">
        <v>40</v>
      </c>
    </row>
    <row r="82" spans="1:11" x14ac:dyDescent="0.2">
      <c r="A82" s="1">
        <v>46031</v>
      </c>
      <c r="B82" t="s">
        <v>60</v>
      </c>
      <c r="C82" t="s">
        <v>61</v>
      </c>
      <c r="D82" t="s">
        <v>62</v>
      </c>
      <c r="E82" t="s">
        <v>42</v>
      </c>
      <c r="F82">
        <v>26107</v>
      </c>
      <c r="G82">
        <v>1658</v>
      </c>
      <c r="H82">
        <v>381.16</v>
      </c>
      <c r="I82">
        <v>149</v>
      </c>
      <c r="J82" t="s">
        <v>47</v>
      </c>
      <c r="K82" t="s">
        <v>40</v>
      </c>
    </row>
    <row r="83" spans="1:11" x14ac:dyDescent="0.2">
      <c r="A83" s="1">
        <v>46032</v>
      </c>
      <c r="B83" t="s">
        <v>35</v>
      </c>
      <c r="C83" t="s">
        <v>36</v>
      </c>
      <c r="D83" t="s">
        <v>37</v>
      </c>
      <c r="E83" t="s">
        <v>38</v>
      </c>
      <c r="F83">
        <v>57950</v>
      </c>
      <c r="G83">
        <v>2866</v>
      </c>
      <c r="H83">
        <v>596.05999999999995</v>
      </c>
      <c r="I83">
        <v>173</v>
      </c>
      <c r="J83" t="s">
        <v>39</v>
      </c>
      <c r="K83" t="s">
        <v>40</v>
      </c>
    </row>
    <row r="84" spans="1:11" x14ac:dyDescent="0.2">
      <c r="A84" s="1">
        <v>46032</v>
      </c>
      <c r="B84" t="s">
        <v>35</v>
      </c>
      <c r="C84" t="s">
        <v>36</v>
      </c>
      <c r="D84" t="s">
        <v>41</v>
      </c>
      <c r="E84" t="s">
        <v>42</v>
      </c>
      <c r="F84">
        <v>32299</v>
      </c>
      <c r="G84">
        <v>2048</v>
      </c>
      <c r="H84">
        <v>531.91</v>
      </c>
      <c r="I84">
        <v>133</v>
      </c>
      <c r="J84" t="s">
        <v>43</v>
      </c>
      <c r="K84" t="s">
        <v>40</v>
      </c>
    </row>
    <row r="85" spans="1:11" x14ac:dyDescent="0.2">
      <c r="A85" s="1">
        <v>46032</v>
      </c>
      <c r="B85" t="s">
        <v>44</v>
      </c>
      <c r="C85" t="s">
        <v>45</v>
      </c>
      <c r="D85" t="s">
        <v>46</v>
      </c>
      <c r="E85" t="s">
        <v>42</v>
      </c>
      <c r="F85">
        <v>15790</v>
      </c>
      <c r="G85">
        <v>1132</v>
      </c>
      <c r="H85">
        <v>292.27</v>
      </c>
      <c r="I85">
        <v>78</v>
      </c>
      <c r="J85" t="s">
        <v>47</v>
      </c>
      <c r="K85" t="s">
        <v>40</v>
      </c>
    </row>
    <row r="86" spans="1:11" x14ac:dyDescent="0.2">
      <c r="A86" s="1">
        <v>46032</v>
      </c>
      <c r="B86" t="s">
        <v>44</v>
      </c>
      <c r="C86" t="s">
        <v>48</v>
      </c>
      <c r="D86" t="s">
        <v>49</v>
      </c>
      <c r="E86" t="s">
        <v>50</v>
      </c>
      <c r="F86">
        <v>58468</v>
      </c>
      <c r="G86">
        <v>3289</v>
      </c>
      <c r="H86">
        <v>778.06</v>
      </c>
      <c r="I86">
        <v>223</v>
      </c>
      <c r="J86" t="s">
        <v>51</v>
      </c>
      <c r="K86" t="s">
        <v>40</v>
      </c>
    </row>
    <row r="87" spans="1:11" x14ac:dyDescent="0.2">
      <c r="A87" s="1">
        <v>46032</v>
      </c>
      <c r="B87" t="s">
        <v>52</v>
      </c>
      <c r="C87" t="s">
        <v>53</v>
      </c>
      <c r="D87" t="s">
        <v>54</v>
      </c>
      <c r="E87" t="s">
        <v>54</v>
      </c>
      <c r="F87">
        <v>175624</v>
      </c>
      <c r="G87">
        <v>2089</v>
      </c>
      <c r="H87">
        <v>442.63</v>
      </c>
      <c r="I87">
        <v>133</v>
      </c>
      <c r="J87" t="s">
        <v>54</v>
      </c>
      <c r="K87" t="s">
        <v>40</v>
      </c>
    </row>
    <row r="88" spans="1:11" x14ac:dyDescent="0.2">
      <c r="A88" s="1">
        <v>46032</v>
      </c>
      <c r="B88" t="s">
        <v>52</v>
      </c>
      <c r="C88" t="s">
        <v>55</v>
      </c>
      <c r="D88" t="s">
        <v>54</v>
      </c>
      <c r="E88" t="s">
        <v>54</v>
      </c>
      <c r="F88">
        <v>177550</v>
      </c>
      <c r="G88">
        <v>2005</v>
      </c>
      <c r="H88">
        <v>559.70000000000005</v>
      </c>
      <c r="I88">
        <v>152</v>
      </c>
      <c r="J88" t="s">
        <v>54</v>
      </c>
      <c r="K88" t="s">
        <v>40</v>
      </c>
    </row>
    <row r="89" spans="1:11" x14ac:dyDescent="0.2">
      <c r="A89" s="1">
        <v>46032</v>
      </c>
      <c r="B89" t="s">
        <v>56</v>
      </c>
      <c r="C89" t="s">
        <v>57</v>
      </c>
      <c r="D89" t="s">
        <v>58</v>
      </c>
      <c r="E89" t="s">
        <v>42</v>
      </c>
      <c r="F89">
        <v>35355</v>
      </c>
      <c r="G89">
        <v>2523</v>
      </c>
      <c r="H89">
        <v>479.4</v>
      </c>
      <c r="I89">
        <v>205</v>
      </c>
      <c r="J89" t="s">
        <v>43</v>
      </c>
      <c r="K89" t="s">
        <v>40</v>
      </c>
    </row>
    <row r="90" spans="1:11" x14ac:dyDescent="0.2">
      <c r="A90" s="1">
        <v>46032</v>
      </c>
      <c r="B90" t="s">
        <v>56</v>
      </c>
      <c r="C90" t="s">
        <v>57</v>
      </c>
      <c r="D90" t="s">
        <v>59</v>
      </c>
      <c r="E90" t="s">
        <v>38</v>
      </c>
      <c r="F90">
        <v>38453</v>
      </c>
      <c r="G90">
        <v>2338</v>
      </c>
      <c r="H90">
        <v>605.83000000000004</v>
      </c>
      <c r="I90">
        <v>197</v>
      </c>
      <c r="J90" t="s">
        <v>43</v>
      </c>
      <c r="K90" t="s">
        <v>40</v>
      </c>
    </row>
    <row r="91" spans="1:11" x14ac:dyDescent="0.2">
      <c r="A91" s="1">
        <v>46032</v>
      </c>
      <c r="B91" t="s">
        <v>60</v>
      </c>
      <c r="C91" t="s">
        <v>61</v>
      </c>
      <c r="D91" t="s">
        <v>62</v>
      </c>
      <c r="E91" t="s">
        <v>42</v>
      </c>
      <c r="F91">
        <v>34130</v>
      </c>
      <c r="G91">
        <v>2109</v>
      </c>
      <c r="H91">
        <v>586.86</v>
      </c>
      <c r="I91">
        <v>148</v>
      </c>
      <c r="J91" t="s">
        <v>47</v>
      </c>
      <c r="K91" t="s">
        <v>40</v>
      </c>
    </row>
    <row r="92" spans="1:11" x14ac:dyDescent="0.2">
      <c r="A92" s="1">
        <v>46033</v>
      </c>
      <c r="B92" t="s">
        <v>35</v>
      </c>
      <c r="C92" t="s">
        <v>36</v>
      </c>
      <c r="D92" t="s">
        <v>37</v>
      </c>
      <c r="E92" t="s">
        <v>38</v>
      </c>
      <c r="F92">
        <v>29937</v>
      </c>
      <c r="G92">
        <v>1563</v>
      </c>
      <c r="H92">
        <v>373.95</v>
      </c>
      <c r="I92">
        <v>136</v>
      </c>
      <c r="J92" t="s">
        <v>39</v>
      </c>
      <c r="K92" t="s">
        <v>40</v>
      </c>
    </row>
    <row r="93" spans="1:11" x14ac:dyDescent="0.2">
      <c r="A93" s="1">
        <v>46033</v>
      </c>
      <c r="B93" t="s">
        <v>35</v>
      </c>
      <c r="C93" t="s">
        <v>36</v>
      </c>
      <c r="D93" t="s">
        <v>41</v>
      </c>
      <c r="E93" t="s">
        <v>42</v>
      </c>
      <c r="F93">
        <v>46918</v>
      </c>
      <c r="G93">
        <v>3281</v>
      </c>
      <c r="H93">
        <v>599.83000000000004</v>
      </c>
      <c r="I93">
        <v>272</v>
      </c>
      <c r="J93" t="s">
        <v>43</v>
      </c>
      <c r="K93" t="s">
        <v>40</v>
      </c>
    </row>
    <row r="94" spans="1:11" x14ac:dyDescent="0.2">
      <c r="A94" s="1">
        <v>46033</v>
      </c>
      <c r="B94" t="s">
        <v>44</v>
      </c>
      <c r="C94" t="s">
        <v>45</v>
      </c>
      <c r="D94" t="s">
        <v>46</v>
      </c>
      <c r="E94" t="s">
        <v>42</v>
      </c>
      <c r="F94">
        <v>27036</v>
      </c>
      <c r="G94">
        <v>1663</v>
      </c>
      <c r="H94">
        <v>330.64</v>
      </c>
      <c r="I94">
        <v>157</v>
      </c>
      <c r="J94" t="s">
        <v>47</v>
      </c>
      <c r="K94" t="s">
        <v>40</v>
      </c>
    </row>
    <row r="95" spans="1:11" x14ac:dyDescent="0.2">
      <c r="A95" s="1">
        <v>46033</v>
      </c>
      <c r="B95" t="s">
        <v>44</v>
      </c>
      <c r="C95" t="s">
        <v>48</v>
      </c>
      <c r="D95" t="s">
        <v>49</v>
      </c>
      <c r="E95" t="s">
        <v>50</v>
      </c>
      <c r="F95">
        <v>59161</v>
      </c>
      <c r="G95">
        <v>3609</v>
      </c>
      <c r="H95">
        <v>712.98</v>
      </c>
      <c r="I95">
        <v>203</v>
      </c>
      <c r="J95" t="s">
        <v>51</v>
      </c>
      <c r="K95" t="s">
        <v>40</v>
      </c>
    </row>
    <row r="96" spans="1:11" x14ac:dyDescent="0.2">
      <c r="A96" s="1">
        <v>46033</v>
      </c>
      <c r="B96" t="s">
        <v>52</v>
      </c>
      <c r="C96" t="s">
        <v>53</v>
      </c>
      <c r="D96" t="s">
        <v>54</v>
      </c>
      <c r="E96" t="s">
        <v>54</v>
      </c>
      <c r="F96">
        <v>136306</v>
      </c>
      <c r="G96">
        <v>1657</v>
      </c>
      <c r="H96">
        <v>334.52</v>
      </c>
      <c r="I96">
        <v>126</v>
      </c>
      <c r="J96" t="s">
        <v>54</v>
      </c>
      <c r="K96" t="s">
        <v>40</v>
      </c>
    </row>
    <row r="97" spans="1:11" x14ac:dyDescent="0.2">
      <c r="A97" s="1">
        <v>46033</v>
      </c>
      <c r="B97" t="s">
        <v>52</v>
      </c>
      <c r="C97" t="s">
        <v>55</v>
      </c>
      <c r="D97" t="s">
        <v>54</v>
      </c>
      <c r="E97" t="s">
        <v>54</v>
      </c>
      <c r="F97">
        <v>126124</v>
      </c>
      <c r="G97">
        <v>1596</v>
      </c>
      <c r="H97">
        <v>385.3</v>
      </c>
      <c r="I97">
        <v>139</v>
      </c>
      <c r="J97" t="s">
        <v>54</v>
      </c>
      <c r="K97" t="s">
        <v>40</v>
      </c>
    </row>
    <row r="98" spans="1:11" x14ac:dyDescent="0.2">
      <c r="A98" s="1">
        <v>46033</v>
      </c>
      <c r="B98" t="s">
        <v>56</v>
      </c>
      <c r="C98" t="s">
        <v>57</v>
      </c>
      <c r="D98" t="s">
        <v>58</v>
      </c>
      <c r="E98" t="s">
        <v>42</v>
      </c>
      <c r="F98">
        <v>45263</v>
      </c>
      <c r="G98">
        <v>2951</v>
      </c>
      <c r="H98">
        <v>802.31</v>
      </c>
      <c r="I98">
        <v>261</v>
      </c>
      <c r="J98" t="s">
        <v>43</v>
      </c>
      <c r="K98" t="s">
        <v>40</v>
      </c>
    </row>
    <row r="99" spans="1:11" x14ac:dyDescent="0.2">
      <c r="A99" s="1">
        <v>46033</v>
      </c>
      <c r="B99" t="s">
        <v>56</v>
      </c>
      <c r="C99" t="s">
        <v>57</v>
      </c>
      <c r="D99" t="s">
        <v>59</v>
      </c>
      <c r="E99" t="s">
        <v>38</v>
      </c>
      <c r="F99">
        <v>43688</v>
      </c>
      <c r="G99">
        <v>2159</v>
      </c>
      <c r="H99">
        <v>420.51</v>
      </c>
      <c r="I99">
        <v>179</v>
      </c>
      <c r="J99" t="s">
        <v>43</v>
      </c>
      <c r="K99" t="s">
        <v>40</v>
      </c>
    </row>
    <row r="100" spans="1:11" x14ac:dyDescent="0.2">
      <c r="A100" s="1">
        <v>46033</v>
      </c>
      <c r="B100" t="s">
        <v>60</v>
      </c>
      <c r="C100" t="s">
        <v>61</v>
      </c>
      <c r="D100" t="s">
        <v>62</v>
      </c>
      <c r="E100" t="s">
        <v>42</v>
      </c>
      <c r="F100">
        <v>26996</v>
      </c>
      <c r="G100">
        <v>1797</v>
      </c>
      <c r="H100">
        <v>475.57</v>
      </c>
      <c r="I100">
        <v>160</v>
      </c>
      <c r="J100" t="s">
        <v>47</v>
      </c>
      <c r="K100" t="s">
        <v>40</v>
      </c>
    </row>
    <row r="101" spans="1:11" x14ac:dyDescent="0.2">
      <c r="A101" s="1">
        <v>46034</v>
      </c>
      <c r="B101" t="s">
        <v>35</v>
      </c>
      <c r="C101" t="s">
        <v>36</v>
      </c>
      <c r="D101" t="s">
        <v>37</v>
      </c>
      <c r="E101" t="s">
        <v>38</v>
      </c>
      <c r="F101">
        <v>14753</v>
      </c>
      <c r="G101">
        <v>840</v>
      </c>
      <c r="H101">
        <v>230.32</v>
      </c>
      <c r="I101">
        <v>59</v>
      </c>
      <c r="J101" t="s">
        <v>39</v>
      </c>
      <c r="K101" t="s">
        <v>40</v>
      </c>
    </row>
    <row r="102" spans="1:11" x14ac:dyDescent="0.2">
      <c r="A102" s="1">
        <v>46034</v>
      </c>
      <c r="B102" t="s">
        <v>35</v>
      </c>
      <c r="C102" t="s">
        <v>36</v>
      </c>
      <c r="D102" t="s">
        <v>41</v>
      </c>
      <c r="E102" t="s">
        <v>42</v>
      </c>
      <c r="F102">
        <v>16621</v>
      </c>
      <c r="G102">
        <v>932</v>
      </c>
      <c r="H102">
        <v>197.83</v>
      </c>
      <c r="I102">
        <v>87</v>
      </c>
      <c r="J102" t="s">
        <v>43</v>
      </c>
      <c r="K102" t="s">
        <v>40</v>
      </c>
    </row>
    <row r="103" spans="1:11" x14ac:dyDescent="0.2">
      <c r="A103" s="1">
        <v>46034</v>
      </c>
      <c r="B103" t="s">
        <v>44</v>
      </c>
      <c r="C103" t="s">
        <v>45</v>
      </c>
      <c r="D103" t="s">
        <v>46</v>
      </c>
      <c r="E103" t="s">
        <v>42</v>
      </c>
      <c r="F103">
        <v>38630</v>
      </c>
      <c r="G103">
        <v>2588</v>
      </c>
      <c r="H103">
        <v>714.46</v>
      </c>
      <c r="I103">
        <v>209</v>
      </c>
      <c r="J103" t="s">
        <v>47</v>
      </c>
      <c r="K103" t="s">
        <v>40</v>
      </c>
    </row>
    <row r="104" spans="1:11" x14ac:dyDescent="0.2">
      <c r="A104" s="1">
        <v>46034</v>
      </c>
      <c r="B104" t="s">
        <v>44</v>
      </c>
      <c r="C104" t="s">
        <v>48</v>
      </c>
      <c r="D104" t="s">
        <v>49</v>
      </c>
      <c r="E104" t="s">
        <v>50</v>
      </c>
      <c r="F104">
        <v>21416</v>
      </c>
      <c r="G104">
        <v>1391</v>
      </c>
      <c r="H104">
        <v>328.55</v>
      </c>
      <c r="I104">
        <v>126</v>
      </c>
      <c r="J104" t="s">
        <v>51</v>
      </c>
      <c r="K104" t="s">
        <v>40</v>
      </c>
    </row>
    <row r="105" spans="1:11" x14ac:dyDescent="0.2">
      <c r="A105" s="1">
        <v>46034</v>
      </c>
      <c r="B105" t="s">
        <v>52</v>
      </c>
      <c r="C105" t="s">
        <v>53</v>
      </c>
      <c r="D105" t="s">
        <v>54</v>
      </c>
      <c r="E105" t="s">
        <v>54</v>
      </c>
      <c r="F105">
        <v>136769</v>
      </c>
      <c r="G105">
        <v>1657</v>
      </c>
      <c r="H105">
        <v>395.85</v>
      </c>
      <c r="I105">
        <v>102</v>
      </c>
      <c r="J105" t="s">
        <v>54</v>
      </c>
      <c r="K105" t="s">
        <v>40</v>
      </c>
    </row>
    <row r="106" spans="1:11" x14ac:dyDescent="0.2">
      <c r="A106" s="1">
        <v>46034</v>
      </c>
      <c r="B106" t="s">
        <v>52</v>
      </c>
      <c r="C106" t="s">
        <v>55</v>
      </c>
      <c r="D106" t="s">
        <v>54</v>
      </c>
      <c r="E106" t="s">
        <v>54</v>
      </c>
      <c r="F106">
        <v>130215</v>
      </c>
      <c r="G106">
        <v>1910</v>
      </c>
      <c r="H106">
        <v>400.05</v>
      </c>
      <c r="I106">
        <v>118</v>
      </c>
      <c r="J106" t="s">
        <v>54</v>
      </c>
      <c r="K106" t="s">
        <v>40</v>
      </c>
    </row>
    <row r="107" spans="1:11" x14ac:dyDescent="0.2">
      <c r="A107" s="1">
        <v>46034</v>
      </c>
      <c r="B107" t="s">
        <v>56</v>
      </c>
      <c r="C107" t="s">
        <v>57</v>
      </c>
      <c r="D107" t="s">
        <v>58</v>
      </c>
      <c r="E107" t="s">
        <v>42</v>
      </c>
      <c r="F107">
        <v>10117</v>
      </c>
      <c r="G107">
        <v>715</v>
      </c>
      <c r="H107">
        <v>196.53</v>
      </c>
      <c r="I107">
        <v>50</v>
      </c>
      <c r="J107" t="s">
        <v>43</v>
      </c>
      <c r="K107" t="s">
        <v>40</v>
      </c>
    </row>
    <row r="108" spans="1:11" x14ac:dyDescent="0.2">
      <c r="A108" s="1">
        <v>46034</v>
      </c>
      <c r="B108" t="s">
        <v>56</v>
      </c>
      <c r="C108" t="s">
        <v>57</v>
      </c>
      <c r="D108" t="s">
        <v>59</v>
      </c>
      <c r="E108" t="s">
        <v>38</v>
      </c>
      <c r="F108">
        <v>12122</v>
      </c>
      <c r="G108">
        <v>634</v>
      </c>
      <c r="H108">
        <v>134.29</v>
      </c>
      <c r="I108">
        <v>55</v>
      </c>
      <c r="J108" t="s">
        <v>43</v>
      </c>
      <c r="K108" t="s">
        <v>40</v>
      </c>
    </row>
    <row r="109" spans="1:11" x14ac:dyDescent="0.2">
      <c r="A109" s="1">
        <v>46034</v>
      </c>
      <c r="B109" t="s">
        <v>60</v>
      </c>
      <c r="C109" t="s">
        <v>61</v>
      </c>
      <c r="D109" t="s">
        <v>62</v>
      </c>
      <c r="E109" t="s">
        <v>42</v>
      </c>
      <c r="F109">
        <v>24476</v>
      </c>
      <c r="G109">
        <v>1550</v>
      </c>
      <c r="H109">
        <v>295.14</v>
      </c>
      <c r="I109">
        <v>116</v>
      </c>
      <c r="J109" t="s">
        <v>47</v>
      </c>
      <c r="K109" t="s">
        <v>40</v>
      </c>
    </row>
    <row r="110" spans="1:11" x14ac:dyDescent="0.2">
      <c r="A110" s="1">
        <v>46035</v>
      </c>
      <c r="B110" t="s">
        <v>35</v>
      </c>
      <c r="C110" t="s">
        <v>36</v>
      </c>
      <c r="D110" t="s">
        <v>37</v>
      </c>
      <c r="E110" t="s">
        <v>38</v>
      </c>
      <c r="F110">
        <v>31703</v>
      </c>
      <c r="G110">
        <v>2088</v>
      </c>
      <c r="H110">
        <v>425.53</v>
      </c>
      <c r="I110">
        <v>196</v>
      </c>
      <c r="J110" t="s">
        <v>39</v>
      </c>
      <c r="K110" t="s">
        <v>40</v>
      </c>
    </row>
    <row r="111" spans="1:11" x14ac:dyDescent="0.2">
      <c r="A111" s="1">
        <v>46035</v>
      </c>
      <c r="B111" t="s">
        <v>35</v>
      </c>
      <c r="C111" t="s">
        <v>36</v>
      </c>
      <c r="D111" t="s">
        <v>41</v>
      </c>
      <c r="E111" t="s">
        <v>42</v>
      </c>
      <c r="F111">
        <v>21002</v>
      </c>
      <c r="G111">
        <v>1328</v>
      </c>
      <c r="H111">
        <v>366.94</v>
      </c>
      <c r="I111">
        <v>116</v>
      </c>
      <c r="J111" t="s">
        <v>43</v>
      </c>
      <c r="K111" t="s">
        <v>40</v>
      </c>
    </row>
    <row r="112" spans="1:11" x14ac:dyDescent="0.2">
      <c r="A112" s="1">
        <v>46035</v>
      </c>
      <c r="B112" t="s">
        <v>44</v>
      </c>
      <c r="C112" t="s">
        <v>45</v>
      </c>
      <c r="D112" t="s">
        <v>46</v>
      </c>
      <c r="E112" t="s">
        <v>42</v>
      </c>
      <c r="F112">
        <v>32003</v>
      </c>
      <c r="G112">
        <v>1879</v>
      </c>
      <c r="H112">
        <v>388.05</v>
      </c>
      <c r="I112">
        <v>122</v>
      </c>
      <c r="J112" t="s">
        <v>47</v>
      </c>
      <c r="K112" t="s">
        <v>40</v>
      </c>
    </row>
    <row r="113" spans="1:11" x14ac:dyDescent="0.2">
      <c r="A113" s="1">
        <v>46035</v>
      </c>
      <c r="B113" t="s">
        <v>44</v>
      </c>
      <c r="C113" t="s">
        <v>48</v>
      </c>
      <c r="D113" t="s">
        <v>49</v>
      </c>
      <c r="E113" t="s">
        <v>50</v>
      </c>
      <c r="F113">
        <v>14442</v>
      </c>
      <c r="G113">
        <v>814</v>
      </c>
      <c r="H113">
        <v>210.58</v>
      </c>
      <c r="I113">
        <v>68</v>
      </c>
      <c r="J113" t="s">
        <v>51</v>
      </c>
      <c r="K113" t="s">
        <v>40</v>
      </c>
    </row>
    <row r="114" spans="1:11" x14ac:dyDescent="0.2">
      <c r="A114" s="1">
        <v>46035</v>
      </c>
      <c r="B114" t="s">
        <v>52</v>
      </c>
      <c r="C114" t="s">
        <v>53</v>
      </c>
      <c r="D114" t="s">
        <v>54</v>
      </c>
      <c r="E114" t="s">
        <v>54</v>
      </c>
      <c r="F114">
        <v>96310</v>
      </c>
      <c r="G114">
        <v>1245</v>
      </c>
      <c r="H114">
        <v>315.31</v>
      </c>
      <c r="I114">
        <v>116</v>
      </c>
      <c r="J114" t="s">
        <v>54</v>
      </c>
      <c r="K114" t="s">
        <v>40</v>
      </c>
    </row>
    <row r="115" spans="1:11" x14ac:dyDescent="0.2">
      <c r="A115" s="1">
        <v>46035</v>
      </c>
      <c r="B115" t="s">
        <v>52</v>
      </c>
      <c r="C115" t="s">
        <v>55</v>
      </c>
      <c r="D115" t="s">
        <v>54</v>
      </c>
      <c r="E115" t="s">
        <v>54</v>
      </c>
      <c r="F115">
        <v>144266</v>
      </c>
      <c r="G115">
        <v>1942</v>
      </c>
      <c r="H115">
        <v>423.11</v>
      </c>
      <c r="I115">
        <v>149</v>
      </c>
      <c r="J115" t="s">
        <v>54</v>
      </c>
      <c r="K115" t="s">
        <v>40</v>
      </c>
    </row>
    <row r="116" spans="1:11" x14ac:dyDescent="0.2">
      <c r="A116" s="1">
        <v>46035</v>
      </c>
      <c r="B116" t="s">
        <v>56</v>
      </c>
      <c r="C116" t="s">
        <v>57</v>
      </c>
      <c r="D116" t="s">
        <v>58</v>
      </c>
      <c r="E116" t="s">
        <v>42</v>
      </c>
      <c r="F116">
        <v>16647</v>
      </c>
      <c r="G116">
        <v>1130</v>
      </c>
      <c r="H116">
        <v>292.52999999999997</v>
      </c>
      <c r="I116">
        <v>88</v>
      </c>
      <c r="J116" t="s">
        <v>43</v>
      </c>
      <c r="K116" t="s">
        <v>40</v>
      </c>
    </row>
    <row r="117" spans="1:11" x14ac:dyDescent="0.2">
      <c r="A117" s="1">
        <v>46035</v>
      </c>
      <c r="B117" t="s">
        <v>56</v>
      </c>
      <c r="C117" t="s">
        <v>57</v>
      </c>
      <c r="D117" t="s">
        <v>59</v>
      </c>
      <c r="E117" t="s">
        <v>38</v>
      </c>
      <c r="F117">
        <v>24783</v>
      </c>
      <c r="G117">
        <v>1286</v>
      </c>
      <c r="H117">
        <v>240.96</v>
      </c>
      <c r="I117">
        <v>114</v>
      </c>
      <c r="J117" t="s">
        <v>43</v>
      </c>
      <c r="K117" t="s">
        <v>40</v>
      </c>
    </row>
    <row r="118" spans="1:11" x14ac:dyDescent="0.2">
      <c r="A118" s="1">
        <v>46035</v>
      </c>
      <c r="B118" t="s">
        <v>60</v>
      </c>
      <c r="C118" t="s">
        <v>61</v>
      </c>
      <c r="D118" t="s">
        <v>62</v>
      </c>
      <c r="E118" t="s">
        <v>42</v>
      </c>
      <c r="F118">
        <v>29327</v>
      </c>
      <c r="G118">
        <v>1421</v>
      </c>
      <c r="H118">
        <v>292.89</v>
      </c>
      <c r="I118">
        <v>84</v>
      </c>
      <c r="J118" t="s">
        <v>47</v>
      </c>
      <c r="K118" t="s">
        <v>40</v>
      </c>
    </row>
    <row r="119" spans="1:11" x14ac:dyDescent="0.2">
      <c r="A119" s="1">
        <v>46036</v>
      </c>
      <c r="B119" t="s">
        <v>35</v>
      </c>
      <c r="C119" t="s">
        <v>36</v>
      </c>
      <c r="D119" t="s">
        <v>37</v>
      </c>
      <c r="E119" t="s">
        <v>38</v>
      </c>
      <c r="F119">
        <v>32400</v>
      </c>
      <c r="G119">
        <v>1687</v>
      </c>
      <c r="H119">
        <v>367</v>
      </c>
      <c r="I119">
        <v>142</v>
      </c>
      <c r="J119" t="s">
        <v>39</v>
      </c>
      <c r="K119" t="s">
        <v>40</v>
      </c>
    </row>
    <row r="120" spans="1:11" x14ac:dyDescent="0.2">
      <c r="A120" s="1">
        <v>46036</v>
      </c>
      <c r="B120" t="s">
        <v>35</v>
      </c>
      <c r="C120" t="s">
        <v>36</v>
      </c>
      <c r="D120" t="s">
        <v>41</v>
      </c>
      <c r="E120" t="s">
        <v>42</v>
      </c>
      <c r="F120">
        <v>16101</v>
      </c>
      <c r="G120">
        <v>903</v>
      </c>
      <c r="H120">
        <v>251.51</v>
      </c>
      <c r="I120">
        <v>81</v>
      </c>
      <c r="J120" t="s">
        <v>43</v>
      </c>
      <c r="K120" t="s">
        <v>40</v>
      </c>
    </row>
    <row r="121" spans="1:11" x14ac:dyDescent="0.2">
      <c r="A121" s="1">
        <v>46036</v>
      </c>
      <c r="B121" t="s">
        <v>44</v>
      </c>
      <c r="C121" t="s">
        <v>45</v>
      </c>
      <c r="D121" t="s">
        <v>46</v>
      </c>
      <c r="E121" t="s">
        <v>42</v>
      </c>
      <c r="F121">
        <v>12031</v>
      </c>
      <c r="G121">
        <v>702</v>
      </c>
      <c r="H121">
        <v>172.25</v>
      </c>
      <c r="I121">
        <v>55</v>
      </c>
      <c r="J121" t="s">
        <v>47</v>
      </c>
      <c r="K121" t="s">
        <v>40</v>
      </c>
    </row>
    <row r="122" spans="1:11" x14ac:dyDescent="0.2">
      <c r="A122" s="1">
        <v>46036</v>
      </c>
      <c r="B122" t="s">
        <v>44</v>
      </c>
      <c r="C122" t="s">
        <v>48</v>
      </c>
      <c r="D122" t="s">
        <v>49</v>
      </c>
      <c r="E122" t="s">
        <v>50</v>
      </c>
      <c r="F122">
        <v>38455</v>
      </c>
      <c r="G122">
        <v>1990</v>
      </c>
      <c r="H122">
        <v>378.35</v>
      </c>
      <c r="I122">
        <v>125</v>
      </c>
      <c r="J122" t="s">
        <v>51</v>
      </c>
      <c r="K122" t="s">
        <v>40</v>
      </c>
    </row>
    <row r="123" spans="1:11" x14ac:dyDescent="0.2">
      <c r="A123" s="1">
        <v>46036</v>
      </c>
      <c r="B123" t="s">
        <v>52</v>
      </c>
      <c r="C123" t="s">
        <v>53</v>
      </c>
      <c r="D123" t="s">
        <v>54</v>
      </c>
      <c r="E123" t="s">
        <v>54</v>
      </c>
      <c r="F123">
        <v>114901</v>
      </c>
      <c r="G123">
        <v>1499</v>
      </c>
      <c r="H123">
        <v>352.88</v>
      </c>
      <c r="I123">
        <v>137</v>
      </c>
      <c r="J123" t="s">
        <v>54</v>
      </c>
      <c r="K123" t="s">
        <v>40</v>
      </c>
    </row>
    <row r="124" spans="1:11" x14ac:dyDescent="0.2">
      <c r="A124" s="1">
        <v>46036</v>
      </c>
      <c r="B124" t="s">
        <v>52</v>
      </c>
      <c r="C124" t="s">
        <v>55</v>
      </c>
      <c r="D124" t="s">
        <v>54</v>
      </c>
      <c r="E124" t="s">
        <v>54</v>
      </c>
      <c r="F124">
        <v>160795</v>
      </c>
      <c r="G124">
        <v>1982</v>
      </c>
      <c r="H124">
        <v>412.56</v>
      </c>
      <c r="I124">
        <v>127</v>
      </c>
      <c r="J124" t="s">
        <v>54</v>
      </c>
      <c r="K124" t="s">
        <v>40</v>
      </c>
    </row>
    <row r="125" spans="1:11" x14ac:dyDescent="0.2">
      <c r="A125" s="1">
        <v>46036</v>
      </c>
      <c r="B125" t="s">
        <v>56</v>
      </c>
      <c r="C125" t="s">
        <v>57</v>
      </c>
      <c r="D125" t="s">
        <v>58</v>
      </c>
      <c r="E125" t="s">
        <v>42</v>
      </c>
      <c r="F125">
        <v>13252</v>
      </c>
      <c r="G125">
        <v>761</v>
      </c>
      <c r="H125">
        <v>178.81</v>
      </c>
      <c r="I125">
        <v>56</v>
      </c>
      <c r="J125" t="s">
        <v>43</v>
      </c>
      <c r="K125" t="s">
        <v>40</v>
      </c>
    </row>
    <row r="126" spans="1:11" x14ac:dyDescent="0.2">
      <c r="A126" s="1">
        <v>46036</v>
      </c>
      <c r="B126" t="s">
        <v>56</v>
      </c>
      <c r="C126" t="s">
        <v>57</v>
      </c>
      <c r="D126" t="s">
        <v>59</v>
      </c>
      <c r="E126" t="s">
        <v>38</v>
      </c>
      <c r="F126">
        <v>13572</v>
      </c>
      <c r="G126">
        <v>768</v>
      </c>
      <c r="H126">
        <v>171.08</v>
      </c>
      <c r="I126">
        <v>51</v>
      </c>
      <c r="J126" t="s">
        <v>43</v>
      </c>
      <c r="K126" t="s">
        <v>40</v>
      </c>
    </row>
    <row r="127" spans="1:11" x14ac:dyDescent="0.2">
      <c r="A127" s="1">
        <v>46036</v>
      </c>
      <c r="B127" t="s">
        <v>60</v>
      </c>
      <c r="C127" t="s">
        <v>61</v>
      </c>
      <c r="D127" t="s">
        <v>62</v>
      </c>
      <c r="E127" t="s">
        <v>42</v>
      </c>
      <c r="F127">
        <v>41478</v>
      </c>
      <c r="G127">
        <v>2189</v>
      </c>
      <c r="H127">
        <v>399.65</v>
      </c>
      <c r="I127">
        <v>135</v>
      </c>
      <c r="J127" t="s">
        <v>47</v>
      </c>
      <c r="K127" t="s">
        <v>40</v>
      </c>
    </row>
    <row r="128" spans="1:11" x14ac:dyDescent="0.2">
      <c r="A128" s="1">
        <v>46037</v>
      </c>
      <c r="B128" t="s">
        <v>35</v>
      </c>
      <c r="C128" t="s">
        <v>36</v>
      </c>
      <c r="D128" t="s">
        <v>37</v>
      </c>
      <c r="E128" t="s">
        <v>38</v>
      </c>
      <c r="F128">
        <v>29124</v>
      </c>
      <c r="G128">
        <v>2080</v>
      </c>
      <c r="H128">
        <v>472.9</v>
      </c>
      <c r="I128">
        <v>124</v>
      </c>
      <c r="J128" t="s">
        <v>39</v>
      </c>
      <c r="K128" t="s">
        <v>40</v>
      </c>
    </row>
    <row r="129" spans="1:11" x14ac:dyDescent="0.2">
      <c r="A129" s="1">
        <v>46037</v>
      </c>
      <c r="B129" t="s">
        <v>35</v>
      </c>
      <c r="C129" t="s">
        <v>36</v>
      </c>
      <c r="D129" t="s">
        <v>41</v>
      </c>
      <c r="E129" t="s">
        <v>42</v>
      </c>
      <c r="F129">
        <v>36048</v>
      </c>
      <c r="G129">
        <v>2137</v>
      </c>
      <c r="H129">
        <v>575.9</v>
      </c>
      <c r="I129">
        <v>140</v>
      </c>
      <c r="J129" t="s">
        <v>43</v>
      </c>
      <c r="K129" t="s">
        <v>40</v>
      </c>
    </row>
    <row r="130" spans="1:11" x14ac:dyDescent="0.2">
      <c r="A130" s="1">
        <v>46037</v>
      </c>
      <c r="B130" t="s">
        <v>44</v>
      </c>
      <c r="C130" t="s">
        <v>45</v>
      </c>
      <c r="D130" t="s">
        <v>46</v>
      </c>
      <c r="E130" t="s">
        <v>42</v>
      </c>
      <c r="F130">
        <v>35396</v>
      </c>
      <c r="G130">
        <v>1856</v>
      </c>
      <c r="H130">
        <v>498.43</v>
      </c>
      <c r="I130">
        <v>129</v>
      </c>
      <c r="J130" t="s">
        <v>47</v>
      </c>
      <c r="K130" t="s">
        <v>40</v>
      </c>
    </row>
    <row r="131" spans="1:11" x14ac:dyDescent="0.2">
      <c r="A131" s="1">
        <v>46037</v>
      </c>
      <c r="B131" t="s">
        <v>44</v>
      </c>
      <c r="C131" t="s">
        <v>48</v>
      </c>
      <c r="D131" t="s">
        <v>49</v>
      </c>
      <c r="E131" t="s">
        <v>50</v>
      </c>
      <c r="F131">
        <v>39214</v>
      </c>
      <c r="G131">
        <v>1924</v>
      </c>
      <c r="H131">
        <v>430.93</v>
      </c>
      <c r="I131">
        <v>126</v>
      </c>
      <c r="J131" t="s">
        <v>51</v>
      </c>
      <c r="K131" t="s">
        <v>40</v>
      </c>
    </row>
    <row r="132" spans="1:11" x14ac:dyDescent="0.2">
      <c r="A132" s="1">
        <v>46037</v>
      </c>
      <c r="B132" t="s">
        <v>52</v>
      </c>
      <c r="C132" t="s">
        <v>53</v>
      </c>
      <c r="D132" t="s">
        <v>54</v>
      </c>
      <c r="E132" t="s">
        <v>54</v>
      </c>
      <c r="F132">
        <v>125200</v>
      </c>
      <c r="G132">
        <v>1730</v>
      </c>
      <c r="H132">
        <v>337.55</v>
      </c>
      <c r="I132">
        <v>143</v>
      </c>
      <c r="J132" t="s">
        <v>54</v>
      </c>
      <c r="K132" t="s">
        <v>40</v>
      </c>
    </row>
    <row r="133" spans="1:11" x14ac:dyDescent="0.2">
      <c r="A133" s="1">
        <v>46037</v>
      </c>
      <c r="B133" t="s">
        <v>52</v>
      </c>
      <c r="C133" t="s">
        <v>55</v>
      </c>
      <c r="D133" t="s">
        <v>54</v>
      </c>
      <c r="E133" t="s">
        <v>54</v>
      </c>
      <c r="F133">
        <v>102675</v>
      </c>
      <c r="G133">
        <v>1173</v>
      </c>
      <c r="H133">
        <v>251.47</v>
      </c>
      <c r="I133">
        <v>89</v>
      </c>
      <c r="J133" t="s">
        <v>54</v>
      </c>
      <c r="K133" t="s">
        <v>40</v>
      </c>
    </row>
    <row r="134" spans="1:11" x14ac:dyDescent="0.2">
      <c r="A134" s="1">
        <v>46037</v>
      </c>
      <c r="B134" t="s">
        <v>56</v>
      </c>
      <c r="C134" t="s">
        <v>57</v>
      </c>
      <c r="D134" t="s">
        <v>58</v>
      </c>
      <c r="E134" t="s">
        <v>42</v>
      </c>
      <c r="F134">
        <v>24910</v>
      </c>
      <c r="G134">
        <v>1526</v>
      </c>
      <c r="H134">
        <v>402.99</v>
      </c>
      <c r="I134">
        <v>133</v>
      </c>
      <c r="J134" t="s">
        <v>43</v>
      </c>
      <c r="K134" t="s">
        <v>40</v>
      </c>
    </row>
    <row r="135" spans="1:11" x14ac:dyDescent="0.2">
      <c r="A135" s="1">
        <v>46037</v>
      </c>
      <c r="B135" t="s">
        <v>56</v>
      </c>
      <c r="C135" t="s">
        <v>57</v>
      </c>
      <c r="D135" t="s">
        <v>59</v>
      </c>
      <c r="E135" t="s">
        <v>38</v>
      </c>
      <c r="F135">
        <v>37435</v>
      </c>
      <c r="G135">
        <v>2664</v>
      </c>
      <c r="H135">
        <v>662.55</v>
      </c>
      <c r="I135">
        <v>246</v>
      </c>
      <c r="J135" t="s">
        <v>43</v>
      </c>
      <c r="K135" t="s">
        <v>40</v>
      </c>
    </row>
    <row r="136" spans="1:11" x14ac:dyDescent="0.2">
      <c r="A136" s="1">
        <v>46037</v>
      </c>
      <c r="B136" t="s">
        <v>60</v>
      </c>
      <c r="C136" t="s">
        <v>61</v>
      </c>
      <c r="D136" t="s">
        <v>62</v>
      </c>
      <c r="E136" t="s">
        <v>42</v>
      </c>
      <c r="F136">
        <v>25443</v>
      </c>
      <c r="G136">
        <v>1512</v>
      </c>
      <c r="H136">
        <v>284.10000000000002</v>
      </c>
      <c r="I136">
        <v>137</v>
      </c>
      <c r="J136" t="s">
        <v>47</v>
      </c>
      <c r="K136" t="s">
        <v>40</v>
      </c>
    </row>
    <row r="137" spans="1:11" x14ac:dyDescent="0.2">
      <c r="A137" s="1">
        <v>46038</v>
      </c>
      <c r="B137" t="s">
        <v>35</v>
      </c>
      <c r="C137" t="s">
        <v>36</v>
      </c>
      <c r="D137" t="s">
        <v>37</v>
      </c>
      <c r="E137" t="s">
        <v>38</v>
      </c>
      <c r="F137">
        <v>12275</v>
      </c>
      <c r="G137">
        <v>737</v>
      </c>
      <c r="H137">
        <v>199.02</v>
      </c>
      <c r="I137">
        <v>64</v>
      </c>
      <c r="J137" t="s">
        <v>39</v>
      </c>
      <c r="K137" t="s">
        <v>40</v>
      </c>
    </row>
    <row r="138" spans="1:11" x14ac:dyDescent="0.2">
      <c r="A138" s="1">
        <v>46038</v>
      </c>
      <c r="B138" t="s">
        <v>35</v>
      </c>
      <c r="C138" t="s">
        <v>36</v>
      </c>
      <c r="D138" t="s">
        <v>41</v>
      </c>
      <c r="E138" t="s">
        <v>42</v>
      </c>
      <c r="F138">
        <v>19663</v>
      </c>
      <c r="G138">
        <v>1000</v>
      </c>
      <c r="H138">
        <v>255.72</v>
      </c>
      <c r="I138">
        <v>61</v>
      </c>
      <c r="J138" t="s">
        <v>43</v>
      </c>
      <c r="K138" t="s">
        <v>40</v>
      </c>
    </row>
    <row r="139" spans="1:11" x14ac:dyDescent="0.2">
      <c r="A139" s="1">
        <v>46038</v>
      </c>
      <c r="B139" t="s">
        <v>44</v>
      </c>
      <c r="C139" t="s">
        <v>45</v>
      </c>
      <c r="D139" t="s">
        <v>46</v>
      </c>
      <c r="E139" t="s">
        <v>42</v>
      </c>
      <c r="F139">
        <v>20955</v>
      </c>
      <c r="G139">
        <v>1494</v>
      </c>
      <c r="H139">
        <v>389.7</v>
      </c>
      <c r="I139">
        <v>89</v>
      </c>
      <c r="J139" t="s">
        <v>47</v>
      </c>
      <c r="K139" t="s">
        <v>40</v>
      </c>
    </row>
    <row r="140" spans="1:11" x14ac:dyDescent="0.2">
      <c r="A140" s="1">
        <v>46038</v>
      </c>
      <c r="B140" t="s">
        <v>44</v>
      </c>
      <c r="C140" t="s">
        <v>48</v>
      </c>
      <c r="D140" t="s">
        <v>49</v>
      </c>
      <c r="E140" t="s">
        <v>50</v>
      </c>
      <c r="F140">
        <v>37746</v>
      </c>
      <c r="G140">
        <v>1882</v>
      </c>
      <c r="H140">
        <v>467.32</v>
      </c>
      <c r="I140">
        <v>118</v>
      </c>
      <c r="J140" t="s">
        <v>51</v>
      </c>
      <c r="K140" t="s">
        <v>40</v>
      </c>
    </row>
    <row r="141" spans="1:11" x14ac:dyDescent="0.2">
      <c r="A141" s="1">
        <v>46038</v>
      </c>
      <c r="B141" t="s">
        <v>52</v>
      </c>
      <c r="C141" t="s">
        <v>53</v>
      </c>
      <c r="D141" t="s">
        <v>54</v>
      </c>
      <c r="E141" t="s">
        <v>54</v>
      </c>
      <c r="F141">
        <v>109382</v>
      </c>
      <c r="G141">
        <v>1659</v>
      </c>
      <c r="H141">
        <v>341.4</v>
      </c>
      <c r="I141">
        <v>151</v>
      </c>
      <c r="J141" t="s">
        <v>54</v>
      </c>
      <c r="K141" t="s">
        <v>40</v>
      </c>
    </row>
    <row r="142" spans="1:11" x14ac:dyDescent="0.2">
      <c r="A142" s="1">
        <v>46038</v>
      </c>
      <c r="B142" t="s">
        <v>52</v>
      </c>
      <c r="C142" t="s">
        <v>55</v>
      </c>
      <c r="D142" t="s">
        <v>54</v>
      </c>
      <c r="E142" t="s">
        <v>54</v>
      </c>
      <c r="F142">
        <v>98783</v>
      </c>
      <c r="G142">
        <v>1129</v>
      </c>
      <c r="H142">
        <v>266.02999999999997</v>
      </c>
      <c r="I142">
        <v>87</v>
      </c>
      <c r="J142" t="s">
        <v>54</v>
      </c>
      <c r="K142" t="s">
        <v>40</v>
      </c>
    </row>
    <row r="143" spans="1:11" x14ac:dyDescent="0.2">
      <c r="A143" s="1">
        <v>46038</v>
      </c>
      <c r="B143" t="s">
        <v>56</v>
      </c>
      <c r="C143" t="s">
        <v>57</v>
      </c>
      <c r="D143" t="s">
        <v>58</v>
      </c>
      <c r="E143" t="s">
        <v>42</v>
      </c>
      <c r="F143">
        <v>28101</v>
      </c>
      <c r="G143">
        <v>1699</v>
      </c>
      <c r="H143">
        <v>461.65</v>
      </c>
      <c r="I143">
        <v>94</v>
      </c>
      <c r="J143" t="s">
        <v>43</v>
      </c>
      <c r="K143" t="s">
        <v>40</v>
      </c>
    </row>
    <row r="144" spans="1:11" x14ac:dyDescent="0.2">
      <c r="A144" s="1">
        <v>46038</v>
      </c>
      <c r="B144" t="s">
        <v>56</v>
      </c>
      <c r="C144" t="s">
        <v>57</v>
      </c>
      <c r="D144" t="s">
        <v>59</v>
      </c>
      <c r="E144" t="s">
        <v>38</v>
      </c>
      <c r="F144">
        <v>44246</v>
      </c>
      <c r="G144">
        <v>2953</v>
      </c>
      <c r="H144">
        <v>564.77</v>
      </c>
      <c r="I144">
        <v>180</v>
      </c>
      <c r="J144" t="s">
        <v>43</v>
      </c>
      <c r="K144" t="s">
        <v>40</v>
      </c>
    </row>
    <row r="145" spans="1:11" x14ac:dyDescent="0.2">
      <c r="A145" s="1">
        <v>46038</v>
      </c>
      <c r="B145" t="s">
        <v>60</v>
      </c>
      <c r="C145" t="s">
        <v>61</v>
      </c>
      <c r="D145" t="s">
        <v>62</v>
      </c>
      <c r="E145" t="s">
        <v>42</v>
      </c>
      <c r="F145">
        <v>16566</v>
      </c>
      <c r="G145">
        <v>1162</v>
      </c>
      <c r="H145">
        <v>274.54000000000002</v>
      </c>
      <c r="I145">
        <v>68</v>
      </c>
      <c r="J145" t="s">
        <v>47</v>
      </c>
      <c r="K145" t="s">
        <v>40</v>
      </c>
    </row>
    <row r="146" spans="1:11" x14ac:dyDescent="0.2">
      <c r="A146" s="1">
        <v>46039</v>
      </c>
      <c r="B146" t="s">
        <v>35</v>
      </c>
      <c r="C146" t="s">
        <v>36</v>
      </c>
      <c r="D146" t="s">
        <v>37</v>
      </c>
      <c r="E146" t="s">
        <v>38</v>
      </c>
      <c r="F146">
        <v>40248</v>
      </c>
      <c r="G146">
        <v>2769</v>
      </c>
      <c r="H146">
        <v>742.13</v>
      </c>
      <c r="I146">
        <v>249</v>
      </c>
      <c r="J146" t="s">
        <v>39</v>
      </c>
      <c r="K146" t="s">
        <v>40</v>
      </c>
    </row>
    <row r="147" spans="1:11" x14ac:dyDescent="0.2">
      <c r="A147" s="1">
        <v>46039</v>
      </c>
      <c r="B147" t="s">
        <v>35</v>
      </c>
      <c r="C147" t="s">
        <v>36</v>
      </c>
      <c r="D147" t="s">
        <v>41</v>
      </c>
      <c r="E147" t="s">
        <v>42</v>
      </c>
      <c r="F147">
        <v>38234</v>
      </c>
      <c r="G147">
        <v>2186</v>
      </c>
      <c r="H147">
        <v>499.63</v>
      </c>
      <c r="I147">
        <v>173</v>
      </c>
      <c r="J147" t="s">
        <v>43</v>
      </c>
      <c r="K147" t="s">
        <v>40</v>
      </c>
    </row>
    <row r="148" spans="1:11" x14ac:dyDescent="0.2">
      <c r="A148" s="1">
        <v>46039</v>
      </c>
      <c r="B148" t="s">
        <v>44</v>
      </c>
      <c r="C148" t="s">
        <v>45</v>
      </c>
      <c r="D148" t="s">
        <v>46</v>
      </c>
      <c r="E148" t="s">
        <v>42</v>
      </c>
      <c r="F148">
        <v>17437</v>
      </c>
      <c r="G148">
        <v>909</v>
      </c>
      <c r="H148">
        <v>200.25</v>
      </c>
      <c r="I148">
        <v>72</v>
      </c>
      <c r="J148" t="s">
        <v>47</v>
      </c>
      <c r="K148" t="s">
        <v>40</v>
      </c>
    </row>
    <row r="149" spans="1:11" x14ac:dyDescent="0.2">
      <c r="A149" s="1">
        <v>46039</v>
      </c>
      <c r="B149" t="s">
        <v>44</v>
      </c>
      <c r="C149" t="s">
        <v>48</v>
      </c>
      <c r="D149" t="s">
        <v>49</v>
      </c>
      <c r="E149" t="s">
        <v>50</v>
      </c>
      <c r="F149">
        <v>50857</v>
      </c>
      <c r="G149">
        <v>2488</v>
      </c>
      <c r="H149">
        <v>669.17</v>
      </c>
      <c r="I149">
        <v>169</v>
      </c>
      <c r="J149" t="s">
        <v>51</v>
      </c>
      <c r="K149" t="s">
        <v>40</v>
      </c>
    </row>
    <row r="150" spans="1:11" x14ac:dyDescent="0.2">
      <c r="A150" s="1">
        <v>46039</v>
      </c>
      <c r="B150" t="s">
        <v>52</v>
      </c>
      <c r="C150" t="s">
        <v>53</v>
      </c>
      <c r="D150" t="s">
        <v>54</v>
      </c>
      <c r="E150" t="s">
        <v>54</v>
      </c>
      <c r="F150">
        <v>169594</v>
      </c>
      <c r="G150">
        <v>1907</v>
      </c>
      <c r="H150">
        <v>433.88</v>
      </c>
      <c r="I150">
        <v>125</v>
      </c>
      <c r="J150" t="s">
        <v>54</v>
      </c>
      <c r="K150" t="s">
        <v>40</v>
      </c>
    </row>
    <row r="151" spans="1:11" x14ac:dyDescent="0.2">
      <c r="A151" s="1">
        <v>46039</v>
      </c>
      <c r="B151" t="s">
        <v>52</v>
      </c>
      <c r="C151" t="s">
        <v>55</v>
      </c>
      <c r="D151" t="s">
        <v>54</v>
      </c>
      <c r="E151" t="s">
        <v>54</v>
      </c>
      <c r="F151">
        <v>194342</v>
      </c>
      <c r="G151">
        <v>2157</v>
      </c>
      <c r="H151">
        <v>564.57000000000005</v>
      </c>
      <c r="I151">
        <v>144</v>
      </c>
      <c r="J151" t="s">
        <v>54</v>
      </c>
      <c r="K151" t="s">
        <v>40</v>
      </c>
    </row>
    <row r="152" spans="1:11" x14ac:dyDescent="0.2">
      <c r="A152" s="1">
        <v>46039</v>
      </c>
      <c r="B152" t="s">
        <v>56</v>
      </c>
      <c r="C152" t="s">
        <v>57</v>
      </c>
      <c r="D152" t="s">
        <v>58</v>
      </c>
      <c r="E152" t="s">
        <v>42</v>
      </c>
      <c r="F152">
        <v>39720</v>
      </c>
      <c r="G152">
        <v>2710</v>
      </c>
      <c r="H152">
        <v>720.38</v>
      </c>
      <c r="I152">
        <v>223</v>
      </c>
      <c r="J152" t="s">
        <v>43</v>
      </c>
      <c r="K152" t="s">
        <v>40</v>
      </c>
    </row>
    <row r="153" spans="1:11" x14ac:dyDescent="0.2">
      <c r="A153" s="1">
        <v>46039</v>
      </c>
      <c r="B153" t="s">
        <v>56</v>
      </c>
      <c r="C153" t="s">
        <v>57</v>
      </c>
      <c r="D153" t="s">
        <v>59</v>
      </c>
      <c r="E153" t="s">
        <v>38</v>
      </c>
      <c r="F153">
        <v>34914</v>
      </c>
      <c r="G153">
        <v>1788</v>
      </c>
      <c r="H153">
        <v>496.03</v>
      </c>
      <c r="I153">
        <v>130</v>
      </c>
      <c r="J153" t="s">
        <v>43</v>
      </c>
      <c r="K153" t="s">
        <v>40</v>
      </c>
    </row>
    <row r="154" spans="1:11" x14ac:dyDescent="0.2">
      <c r="A154" s="1">
        <v>46039</v>
      </c>
      <c r="B154" t="s">
        <v>60</v>
      </c>
      <c r="C154" t="s">
        <v>61</v>
      </c>
      <c r="D154" t="s">
        <v>62</v>
      </c>
      <c r="E154" t="s">
        <v>42</v>
      </c>
      <c r="F154">
        <v>43439</v>
      </c>
      <c r="G154">
        <v>2365</v>
      </c>
      <c r="H154">
        <v>524.27</v>
      </c>
      <c r="I154">
        <v>191</v>
      </c>
      <c r="J154" t="s">
        <v>47</v>
      </c>
      <c r="K154" t="s">
        <v>40</v>
      </c>
    </row>
    <row r="155" spans="1:11" x14ac:dyDescent="0.2">
      <c r="A155" s="1">
        <v>46040</v>
      </c>
      <c r="B155" t="s">
        <v>35</v>
      </c>
      <c r="C155" t="s">
        <v>36</v>
      </c>
      <c r="D155" t="s">
        <v>37</v>
      </c>
      <c r="E155" t="s">
        <v>38</v>
      </c>
      <c r="F155">
        <v>31242</v>
      </c>
      <c r="G155">
        <v>1830</v>
      </c>
      <c r="H155">
        <v>496.56</v>
      </c>
      <c r="I155">
        <v>130</v>
      </c>
      <c r="J155" t="s">
        <v>39</v>
      </c>
      <c r="K155" t="s">
        <v>40</v>
      </c>
    </row>
    <row r="156" spans="1:11" x14ac:dyDescent="0.2">
      <c r="A156" s="1">
        <v>46040</v>
      </c>
      <c r="B156" t="s">
        <v>35</v>
      </c>
      <c r="C156" t="s">
        <v>36</v>
      </c>
      <c r="D156" t="s">
        <v>41</v>
      </c>
      <c r="E156" t="s">
        <v>42</v>
      </c>
      <c r="F156">
        <v>58448</v>
      </c>
      <c r="G156">
        <v>3870</v>
      </c>
      <c r="H156">
        <v>1032.2</v>
      </c>
      <c r="I156">
        <v>339</v>
      </c>
      <c r="J156" t="s">
        <v>43</v>
      </c>
      <c r="K156" t="s">
        <v>40</v>
      </c>
    </row>
    <row r="157" spans="1:11" x14ac:dyDescent="0.2">
      <c r="A157" s="1">
        <v>46040</v>
      </c>
      <c r="B157" t="s">
        <v>44</v>
      </c>
      <c r="C157" t="s">
        <v>45</v>
      </c>
      <c r="D157" t="s">
        <v>46</v>
      </c>
      <c r="E157" t="s">
        <v>42</v>
      </c>
      <c r="F157">
        <v>61275</v>
      </c>
      <c r="G157">
        <v>4105</v>
      </c>
      <c r="H157">
        <v>765.84</v>
      </c>
      <c r="I157">
        <v>342</v>
      </c>
      <c r="J157" t="s">
        <v>47</v>
      </c>
      <c r="K157" t="s">
        <v>40</v>
      </c>
    </row>
    <row r="158" spans="1:11" x14ac:dyDescent="0.2">
      <c r="A158" s="1">
        <v>46040</v>
      </c>
      <c r="B158" t="s">
        <v>44</v>
      </c>
      <c r="C158" t="s">
        <v>48</v>
      </c>
      <c r="D158" t="s">
        <v>49</v>
      </c>
      <c r="E158" t="s">
        <v>50</v>
      </c>
      <c r="F158">
        <v>51010</v>
      </c>
      <c r="G158">
        <v>2614</v>
      </c>
      <c r="H158">
        <v>693.05</v>
      </c>
      <c r="I158">
        <v>235</v>
      </c>
      <c r="J158" t="s">
        <v>51</v>
      </c>
      <c r="K158" t="s">
        <v>40</v>
      </c>
    </row>
    <row r="159" spans="1:11" x14ac:dyDescent="0.2">
      <c r="A159" s="1">
        <v>46040</v>
      </c>
      <c r="B159" t="s">
        <v>52</v>
      </c>
      <c r="C159" t="s">
        <v>53</v>
      </c>
      <c r="D159" t="s">
        <v>54</v>
      </c>
      <c r="E159" t="s">
        <v>54</v>
      </c>
      <c r="F159">
        <v>131311</v>
      </c>
      <c r="G159">
        <v>1558</v>
      </c>
      <c r="H159">
        <v>416.79</v>
      </c>
      <c r="I159">
        <v>98</v>
      </c>
      <c r="J159" t="s">
        <v>54</v>
      </c>
      <c r="K159" t="s">
        <v>40</v>
      </c>
    </row>
    <row r="160" spans="1:11" x14ac:dyDescent="0.2">
      <c r="A160" s="1">
        <v>46040</v>
      </c>
      <c r="B160" t="s">
        <v>52</v>
      </c>
      <c r="C160" t="s">
        <v>55</v>
      </c>
      <c r="D160" t="s">
        <v>54</v>
      </c>
      <c r="E160" t="s">
        <v>54</v>
      </c>
      <c r="F160">
        <v>136574</v>
      </c>
      <c r="G160">
        <v>1672</v>
      </c>
      <c r="H160">
        <v>377.28</v>
      </c>
      <c r="I160">
        <v>153</v>
      </c>
      <c r="J160" t="s">
        <v>54</v>
      </c>
      <c r="K160" t="s">
        <v>40</v>
      </c>
    </row>
    <row r="161" spans="1:11" x14ac:dyDescent="0.2">
      <c r="A161" s="1">
        <v>46040</v>
      </c>
      <c r="B161" t="s">
        <v>56</v>
      </c>
      <c r="C161" t="s">
        <v>57</v>
      </c>
      <c r="D161" t="s">
        <v>58</v>
      </c>
      <c r="E161" t="s">
        <v>42</v>
      </c>
      <c r="F161">
        <v>32267</v>
      </c>
      <c r="G161">
        <v>1760</v>
      </c>
      <c r="H161">
        <v>461.74</v>
      </c>
      <c r="I161">
        <v>132</v>
      </c>
      <c r="J161" t="s">
        <v>43</v>
      </c>
      <c r="K161" t="s">
        <v>40</v>
      </c>
    </row>
    <row r="162" spans="1:11" x14ac:dyDescent="0.2">
      <c r="A162" s="1">
        <v>46040</v>
      </c>
      <c r="B162" t="s">
        <v>56</v>
      </c>
      <c r="C162" t="s">
        <v>57</v>
      </c>
      <c r="D162" t="s">
        <v>59</v>
      </c>
      <c r="E162" t="s">
        <v>38</v>
      </c>
      <c r="F162">
        <v>25365</v>
      </c>
      <c r="G162">
        <v>1632</v>
      </c>
      <c r="H162">
        <v>333.24</v>
      </c>
      <c r="I162">
        <v>121</v>
      </c>
      <c r="J162" t="s">
        <v>43</v>
      </c>
      <c r="K162" t="s">
        <v>40</v>
      </c>
    </row>
    <row r="163" spans="1:11" x14ac:dyDescent="0.2">
      <c r="A163" s="1">
        <v>46040</v>
      </c>
      <c r="B163" t="s">
        <v>60</v>
      </c>
      <c r="C163" t="s">
        <v>61</v>
      </c>
      <c r="D163" t="s">
        <v>62</v>
      </c>
      <c r="E163" t="s">
        <v>42</v>
      </c>
      <c r="F163">
        <v>54929</v>
      </c>
      <c r="G163">
        <v>2870</v>
      </c>
      <c r="H163">
        <v>766.43</v>
      </c>
      <c r="I163">
        <v>225</v>
      </c>
      <c r="J163" t="s">
        <v>47</v>
      </c>
      <c r="K163" t="s">
        <v>40</v>
      </c>
    </row>
    <row r="164" spans="1:11" x14ac:dyDescent="0.2">
      <c r="A164" s="1">
        <v>46041</v>
      </c>
      <c r="B164" t="s">
        <v>35</v>
      </c>
      <c r="C164" t="s">
        <v>36</v>
      </c>
      <c r="D164" t="s">
        <v>37</v>
      </c>
      <c r="E164" t="s">
        <v>38</v>
      </c>
      <c r="F164">
        <v>32921</v>
      </c>
      <c r="G164">
        <v>1852</v>
      </c>
      <c r="H164">
        <v>488.49</v>
      </c>
      <c r="I164">
        <v>121</v>
      </c>
      <c r="J164" t="s">
        <v>39</v>
      </c>
      <c r="K164" t="s">
        <v>40</v>
      </c>
    </row>
    <row r="165" spans="1:11" x14ac:dyDescent="0.2">
      <c r="A165" s="1">
        <v>46041</v>
      </c>
      <c r="B165" t="s">
        <v>35</v>
      </c>
      <c r="C165" t="s">
        <v>36</v>
      </c>
      <c r="D165" t="s">
        <v>41</v>
      </c>
      <c r="E165" t="s">
        <v>42</v>
      </c>
      <c r="F165">
        <v>15923</v>
      </c>
      <c r="G165">
        <v>873</v>
      </c>
      <c r="H165">
        <v>190.89</v>
      </c>
      <c r="I165">
        <v>53</v>
      </c>
      <c r="J165" t="s">
        <v>43</v>
      </c>
      <c r="K165" t="s">
        <v>40</v>
      </c>
    </row>
    <row r="166" spans="1:11" x14ac:dyDescent="0.2">
      <c r="A166" s="1">
        <v>46041</v>
      </c>
      <c r="B166" t="s">
        <v>44</v>
      </c>
      <c r="C166" t="s">
        <v>45</v>
      </c>
      <c r="D166" t="s">
        <v>46</v>
      </c>
      <c r="E166" t="s">
        <v>42</v>
      </c>
      <c r="F166">
        <v>24045</v>
      </c>
      <c r="G166">
        <v>1648</v>
      </c>
      <c r="H166">
        <v>403.33</v>
      </c>
      <c r="I166">
        <v>135</v>
      </c>
      <c r="J166" t="s">
        <v>47</v>
      </c>
      <c r="K166" t="s">
        <v>40</v>
      </c>
    </row>
    <row r="167" spans="1:11" x14ac:dyDescent="0.2">
      <c r="A167" s="1">
        <v>46041</v>
      </c>
      <c r="B167" t="s">
        <v>44</v>
      </c>
      <c r="C167" t="s">
        <v>48</v>
      </c>
      <c r="D167" t="s">
        <v>49</v>
      </c>
      <c r="E167" t="s">
        <v>50</v>
      </c>
      <c r="F167">
        <v>27634</v>
      </c>
      <c r="G167">
        <v>1758</v>
      </c>
      <c r="H167">
        <v>406.67</v>
      </c>
      <c r="I167">
        <v>157</v>
      </c>
      <c r="J167" t="s">
        <v>51</v>
      </c>
      <c r="K167" t="s">
        <v>40</v>
      </c>
    </row>
    <row r="168" spans="1:11" x14ac:dyDescent="0.2">
      <c r="A168" s="1">
        <v>46041</v>
      </c>
      <c r="B168" t="s">
        <v>52</v>
      </c>
      <c r="C168" t="s">
        <v>53</v>
      </c>
      <c r="D168" t="s">
        <v>54</v>
      </c>
      <c r="E168" t="s">
        <v>54</v>
      </c>
      <c r="F168">
        <v>91166</v>
      </c>
      <c r="G168">
        <v>1218</v>
      </c>
      <c r="H168">
        <v>235.36</v>
      </c>
      <c r="I168">
        <v>75</v>
      </c>
      <c r="J168" t="s">
        <v>54</v>
      </c>
      <c r="K168" t="s">
        <v>40</v>
      </c>
    </row>
    <row r="169" spans="1:11" x14ac:dyDescent="0.2">
      <c r="A169" s="1">
        <v>46041</v>
      </c>
      <c r="B169" t="s">
        <v>52</v>
      </c>
      <c r="C169" t="s">
        <v>55</v>
      </c>
      <c r="D169" t="s">
        <v>54</v>
      </c>
      <c r="E169" t="s">
        <v>54</v>
      </c>
      <c r="F169">
        <v>91109</v>
      </c>
      <c r="G169">
        <v>1104</v>
      </c>
      <c r="H169">
        <v>265.88</v>
      </c>
      <c r="I169">
        <v>102</v>
      </c>
      <c r="J169" t="s">
        <v>54</v>
      </c>
      <c r="K169" t="s">
        <v>40</v>
      </c>
    </row>
    <row r="170" spans="1:11" x14ac:dyDescent="0.2">
      <c r="A170" s="1">
        <v>46041</v>
      </c>
      <c r="B170" t="s">
        <v>56</v>
      </c>
      <c r="C170" t="s">
        <v>57</v>
      </c>
      <c r="D170" t="s">
        <v>58</v>
      </c>
      <c r="E170" t="s">
        <v>42</v>
      </c>
      <c r="F170">
        <v>28047</v>
      </c>
      <c r="G170">
        <v>1631</v>
      </c>
      <c r="H170">
        <v>354.98</v>
      </c>
      <c r="I170">
        <v>112</v>
      </c>
      <c r="J170" t="s">
        <v>43</v>
      </c>
      <c r="K170" t="s">
        <v>40</v>
      </c>
    </row>
    <row r="171" spans="1:11" x14ac:dyDescent="0.2">
      <c r="A171" s="1">
        <v>46041</v>
      </c>
      <c r="B171" t="s">
        <v>56</v>
      </c>
      <c r="C171" t="s">
        <v>57</v>
      </c>
      <c r="D171" t="s">
        <v>59</v>
      </c>
      <c r="E171" t="s">
        <v>38</v>
      </c>
      <c r="F171">
        <v>26514</v>
      </c>
      <c r="G171">
        <v>1411</v>
      </c>
      <c r="H171">
        <v>296.61</v>
      </c>
      <c r="I171">
        <v>106</v>
      </c>
      <c r="J171" t="s">
        <v>43</v>
      </c>
      <c r="K171" t="s">
        <v>40</v>
      </c>
    </row>
    <row r="172" spans="1:11" x14ac:dyDescent="0.2">
      <c r="A172" s="1">
        <v>46041</v>
      </c>
      <c r="B172" t="s">
        <v>60</v>
      </c>
      <c r="C172" t="s">
        <v>61</v>
      </c>
      <c r="D172" t="s">
        <v>62</v>
      </c>
      <c r="E172" t="s">
        <v>42</v>
      </c>
      <c r="F172">
        <v>36027</v>
      </c>
      <c r="G172">
        <v>2234</v>
      </c>
      <c r="H172">
        <v>403.76</v>
      </c>
      <c r="I172">
        <v>212</v>
      </c>
      <c r="J172" t="s">
        <v>47</v>
      </c>
      <c r="K172" t="s">
        <v>40</v>
      </c>
    </row>
    <row r="173" spans="1:11" x14ac:dyDescent="0.2">
      <c r="A173" s="1">
        <v>46042</v>
      </c>
      <c r="B173" t="s">
        <v>35</v>
      </c>
      <c r="C173" t="s">
        <v>36</v>
      </c>
      <c r="D173" t="s">
        <v>37</v>
      </c>
      <c r="E173" t="s">
        <v>38</v>
      </c>
      <c r="F173">
        <v>34525</v>
      </c>
      <c r="G173">
        <v>2122</v>
      </c>
      <c r="H173">
        <v>507.96</v>
      </c>
      <c r="I173">
        <v>140</v>
      </c>
      <c r="J173" t="s">
        <v>39</v>
      </c>
      <c r="K173" t="s">
        <v>40</v>
      </c>
    </row>
    <row r="174" spans="1:11" x14ac:dyDescent="0.2">
      <c r="A174" s="1">
        <v>46042</v>
      </c>
      <c r="B174" t="s">
        <v>35</v>
      </c>
      <c r="C174" t="s">
        <v>36</v>
      </c>
      <c r="D174" t="s">
        <v>41</v>
      </c>
      <c r="E174" t="s">
        <v>42</v>
      </c>
      <c r="F174">
        <v>17084</v>
      </c>
      <c r="G174">
        <v>1017</v>
      </c>
      <c r="H174">
        <v>217.26</v>
      </c>
      <c r="I174">
        <v>67</v>
      </c>
      <c r="J174" t="s">
        <v>43</v>
      </c>
      <c r="K174" t="s">
        <v>40</v>
      </c>
    </row>
    <row r="175" spans="1:11" x14ac:dyDescent="0.2">
      <c r="A175" s="1">
        <v>46042</v>
      </c>
      <c r="B175" t="s">
        <v>44</v>
      </c>
      <c r="C175" t="s">
        <v>45</v>
      </c>
      <c r="D175" t="s">
        <v>46</v>
      </c>
      <c r="E175" t="s">
        <v>42</v>
      </c>
      <c r="F175">
        <v>31308</v>
      </c>
      <c r="G175">
        <v>2150</v>
      </c>
      <c r="H175">
        <v>443.15</v>
      </c>
      <c r="I175">
        <v>179</v>
      </c>
      <c r="J175" t="s">
        <v>47</v>
      </c>
      <c r="K175" t="s">
        <v>40</v>
      </c>
    </row>
    <row r="176" spans="1:11" x14ac:dyDescent="0.2">
      <c r="A176" s="1">
        <v>46042</v>
      </c>
      <c r="B176" t="s">
        <v>44</v>
      </c>
      <c r="C176" t="s">
        <v>48</v>
      </c>
      <c r="D176" t="s">
        <v>49</v>
      </c>
      <c r="E176" t="s">
        <v>50</v>
      </c>
      <c r="F176">
        <v>29581</v>
      </c>
      <c r="G176">
        <v>1553</v>
      </c>
      <c r="H176">
        <v>359.88</v>
      </c>
      <c r="I176">
        <v>100</v>
      </c>
      <c r="J176" t="s">
        <v>51</v>
      </c>
      <c r="K176" t="s">
        <v>40</v>
      </c>
    </row>
    <row r="177" spans="1:11" x14ac:dyDescent="0.2">
      <c r="A177" s="1">
        <v>46042</v>
      </c>
      <c r="B177" t="s">
        <v>52</v>
      </c>
      <c r="C177" t="s">
        <v>53</v>
      </c>
      <c r="D177" t="s">
        <v>54</v>
      </c>
      <c r="E177" t="s">
        <v>54</v>
      </c>
      <c r="F177">
        <v>97441</v>
      </c>
      <c r="G177">
        <v>1464</v>
      </c>
      <c r="H177">
        <v>380.99</v>
      </c>
      <c r="I177">
        <v>115</v>
      </c>
      <c r="J177" t="s">
        <v>54</v>
      </c>
      <c r="K177" t="s">
        <v>40</v>
      </c>
    </row>
    <row r="178" spans="1:11" x14ac:dyDescent="0.2">
      <c r="A178" s="1">
        <v>46042</v>
      </c>
      <c r="B178" t="s">
        <v>52</v>
      </c>
      <c r="C178" t="s">
        <v>55</v>
      </c>
      <c r="D178" t="s">
        <v>54</v>
      </c>
      <c r="E178" t="s">
        <v>54</v>
      </c>
      <c r="F178">
        <v>131888</v>
      </c>
      <c r="G178">
        <v>1899</v>
      </c>
      <c r="H178">
        <v>478.79</v>
      </c>
      <c r="I178">
        <v>154</v>
      </c>
      <c r="J178" t="s">
        <v>54</v>
      </c>
      <c r="K178" t="s">
        <v>40</v>
      </c>
    </row>
    <row r="179" spans="1:11" x14ac:dyDescent="0.2">
      <c r="A179" s="1">
        <v>46042</v>
      </c>
      <c r="B179" t="s">
        <v>56</v>
      </c>
      <c r="C179" t="s">
        <v>57</v>
      </c>
      <c r="D179" t="s">
        <v>58</v>
      </c>
      <c r="E179" t="s">
        <v>42</v>
      </c>
      <c r="F179">
        <v>29372</v>
      </c>
      <c r="G179">
        <v>1592</v>
      </c>
      <c r="H179">
        <v>353.2</v>
      </c>
      <c r="I179">
        <v>112</v>
      </c>
      <c r="J179" t="s">
        <v>43</v>
      </c>
      <c r="K179" t="s">
        <v>40</v>
      </c>
    </row>
    <row r="180" spans="1:11" x14ac:dyDescent="0.2">
      <c r="A180" s="1">
        <v>46042</v>
      </c>
      <c r="B180" t="s">
        <v>56</v>
      </c>
      <c r="C180" t="s">
        <v>57</v>
      </c>
      <c r="D180" t="s">
        <v>59</v>
      </c>
      <c r="E180" t="s">
        <v>38</v>
      </c>
      <c r="F180">
        <v>12314</v>
      </c>
      <c r="G180">
        <v>763</v>
      </c>
      <c r="H180">
        <v>213.24</v>
      </c>
      <c r="I180">
        <v>66</v>
      </c>
      <c r="J180" t="s">
        <v>43</v>
      </c>
      <c r="K180" t="s">
        <v>40</v>
      </c>
    </row>
    <row r="181" spans="1:11" x14ac:dyDescent="0.2">
      <c r="A181" s="1">
        <v>46042</v>
      </c>
      <c r="B181" t="s">
        <v>60</v>
      </c>
      <c r="C181" t="s">
        <v>61</v>
      </c>
      <c r="D181" t="s">
        <v>62</v>
      </c>
      <c r="E181" t="s">
        <v>42</v>
      </c>
      <c r="F181">
        <v>32489</v>
      </c>
      <c r="G181">
        <v>2125</v>
      </c>
      <c r="H181">
        <v>429.75</v>
      </c>
      <c r="I181">
        <v>162</v>
      </c>
      <c r="J181" t="s">
        <v>47</v>
      </c>
      <c r="K181" t="s">
        <v>40</v>
      </c>
    </row>
    <row r="182" spans="1:11" x14ac:dyDescent="0.2">
      <c r="A182" s="1">
        <v>46043</v>
      </c>
      <c r="B182" t="s">
        <v>35</v>
      </c>
      <c r="C182" t="s">
        <v>36</v>
      </c>
      <c r="D182" t="s">
        <v>37</v>
      </c>
      <c r="E182" t="s">
        <v>38</v>
      </c>
      <c r="F182">
        <v>41177</v>
      </c>
      <c r="G182">
        <v>2872</v>
      </c>
      <c r="H182">
        <v>709.92</v>
      </c>
      <c r="I182">
        <v>216</v>
      </c>
      <c r="J182" t="s">
        <v>39</v>
      </c>
      <c r="K182" t="s">
        <v>40</v>
      </c>
    </row>
    <row r="183" spans="1:11" x14ac:dyDescent="0.2">
      <c r="A183" s="1">
        <v>46043</v>
      </c>
      <c r="B183" t="s">
        <v>35</v>
      </c>
      <c r="C183" t="s">
        <v>36</v>
      </c>
      <c r="D183" t="s">
        <v>41</v>
      </c>
      <c r="E183" t="s">
        <v>42</v>
      </c>
      <c r="F183">
        <v>21140</v>
      </c>
      <c r="G183">
        <v>1441</v>
      </c>
      <c r="H183">
        <v>385.68</v>
      </c>
      <c r="I183">
        <v>89</v>
      </c>
      <c r="J183" t="s">
        <v>43</v>
      </c>
      <c r="K183" t="s">
        <v>40</v>
      </c>
    </row>
    <row r="184" spans="1:11" x14ac:dyDescent="0.2">
      <c r="A184" s="1">
        <v>46043</v>
      </c>
      <c r="B184" t="s">
        <v>44</v>
      </c>
      <c r="C184" t="s">
        <v>45</v>
      </c>
      <c r="D184" t="s">
        <v>46</v>
      </c>
      <c r="E184" t="s">
        <v>42</v>
      </c>
      <c r="F184">
        <v>16396</v>
      </c>
      <c r="G184">
        <v>972</v>
      </c>
      <c r="H184">
        <v>246.98</v>
      </c>
      <c r="I184">
        <v>81</v>
      </c>
      <c r="J184" t="s">
        <v>47</v>
      </c>
      <c r="K184" t="s">
        <v>40</v>
      </c>
    </row>
    <row r="185" spans="1:11" x14ac:dyDescent="0.2">
      <c r="A185" s="1">
        <v>46043</v>
      </c>
      <c r="B185" t="s">
        <v>44</v>
      </c>
      <c r="C185" t="s">
        <v>48</v>
      </c>
      <c r="D185" t="s">
        <v>49</v>
      </c>
      <c r="E185" t="s">
        <v>50</v>
      </c>
      <c r="F185">
        <v>21997</v>
      </c>
      <c r="G185">
        <v>1555</v>
      </c>
      <c r="H185">
        <v>419.79</v>
      </c>
      <c r="I185">
        <v>126</v>
      </c>
      <c r="J185" t="s">
        <v>51</v>
      </c>
      <c r="K185" t="s">
        <v>40</v>
      </c>
    </row>
    <row r="186" spans="1:11" x14ac:dyDescent="0.2">
      <c r="A186" s="1">
        <v>46043</v>
      </c>
      <c r="B186" t="s">
        <v>52</v>
      </c>
      <c r="C186" t="s">
        <v>53</v>
      </c>
      <c r="D186" t="s">
        <v>54</v>
      </c>
      <c r="E186" t="s">
        <v>54</v>
      </c>
      <c r="F186">
        <v>119131</v>
      </c>
      <c r="G186">
        <v>1522</v>
      </c>
      <c r="H186">
        <v>387.23</v>
      </c>
      <c r="I186">
        <v>102</v>
      </c>
      <c r="J186" t="s">
        <v>54</v>
      </c>
      <c r="K186" t="s">
        <v>40</v>
      </c>
    </row>
    <row r="187" spans="1:11" x14ac:dyDescent="0.2">
      <c r="A187" s="1">
        <v>46043</v>
      </c>
      <c r="B187" t="s">
        <v>52</v>
      </c>
      <c r="C187" t="s">
        <v>55</v>
      </c>
      <c r="D187" t="s">
        <v>54</v>
      </c>
      <c r="E187" t="s">
        <v>54</v>
      </c>
      <c r="F187">
        <v>133426</v>
      </c>
      <c r="G187">
        <v>1715</v>
      </c>
      <c r="H187">
        <v>409.13</v>
      </c>
      <c r="I187">
        <v>126</v>
      </c>
      <c r="J187" t="s">
        <v>54</v>
      </c>
      <c r="K187" t="s">
        <v>40</v>
      </c>
    </row>
    <row r="188" spans="1:11" x14ac:dyDescent="0.2">
      <c r="A188" s="1">
        <v>46043</v>
      </c>
      <c r="B188" t="s">
        <v>56</v>
      </c>
      <c r="C188" t="s">
        <v>57</v>
      </c>
      <c r="D188" t="s">
        <v>58</v>
      </c>
      <c r="E188" t="s">
        <v>42</v>
      </c>
      <c r="F188">
        <v>17718</v>
      </c>
      <c r="G188">
        <v>1050</v>
      </c>
      <c r="H188">
        <v>279.97000000000003</v>
      </c>
      <c r="I188">
        <v>82</v>
      </c>
      <c r="J188" t="s">
        <v>43</v>
      </c>
      <c r="K188" t="s">
        <v>40</v>
      </c>
    </row>
    <row r="189" spans="1:11" x14ac:dyDescent="0.2">
      <c r="A189" s="1">
        <v>46043</v>
      </c>
      <c r="B189" t="s">
        <v>56</v>
      </c>
      <c r="C189" t="s">
        <v>57</v>
      </c>
      <c r="D189" t="s">
        <v>59</v>
      </c>
      <c r="E189" t="s">
        <v>38</v>
      </c>
      <c r="F189">
        <v>14667</v>
      </c>
      <c r="G189">
        <v>870</v>
      </c>
      <c r="H189">
        <v>173.53</v>
      </c>
      <c r="I189">
        <v>52</v>
      </c>
      <c r="J189" t="s">
        <v>43</v>
      </c>
      <c r="K189" t="s">
        <v>40</v>
      </c>
    </row>
    <row r="190" spans="1:11" x14ac:dyDescent="0.2">
      <c r="A190" s="1">
        <v>46043</v>
      </c>
      <c r="B190" t="s">
        <v>60</v>
      </c>
      <c r="C190" t="s">
        <v>61</v>
      </c>
      <c r="D190" t="s">
        <v>62</v>
      </c>
      <c r="E190" t="s">
        <v>42</v>
      </c>
      <c r="F190">
        <v>35013</v>
      </c>
      <c r="G190">
        <v>2125</v>
      </c>
      <c r="H190">
        <v>470.29</v>
      </c>
      <c r="I190">
        <v>190</v>
      </c>
      <c r="J190" t="s">
        <v>47</v>
      </c>
      <c r="K190" t="s">
        <v>40</v>
      </c>
    </row>
    <row r="191" spans="1:11" x14ac:dyDescent="0.2">
      <c r="A191" s="1">
        <v>46044</v>
      </c>
      <c r="B191" t="s">
        <v>35</v>
      </c>
      <c r="C191" t="s">
        <v>36</v>
      </c>
      <c r="D191" t="s">
        <v>37</v>
      </c>
      <c r="E191" t="s">
        <v>38</v>
      </c>
      <c r="F191">
        <v>19881</v>
      </c>
      <c r="G191">
        <v>1019</v>
      </c>
      <c r="H191">
        <v>203.83</v>
      </c>
      <c r="I191">
        <v>72</v>
      </c>
      <c r="J191" t="s">
        <v>39</v>
      </c>
      <c r="K191" t="s">
        <v>40</v>
      </c>
    </row>
    <row r="192" spans="1:11" x14ac:dyDescent="0.2">
      <c r="A192" s="1">
        <v>46044</v>
      </c>
      <c r="B192" t="s">
        <v>35</v>
      </c>
      <c r="C192" t="s">
        <v>36</v>
      </c>
      <c r="D192" t="s">
        <v>41</v>
      </c>
      <c r="E192" t="s">
        <v>42</v>
      </c>
      <c r="F192">
        <v>39987</v>
      </c>
      <c r="G192">
        <v>2056</v>
      </c>
      <c r="H192">
        <v>547.39</v>
      </c>
      <c r="I192">
        <v>127</v>
      </c>
      <c r="J192" t="s">
        <v>43</v>
      </c>
      <c r="K192" t="s">
        <v>40</v>
      </c>
    </row>
    <row r="193" spans="1:11" x14ac:dyDescent="0.2">
      <c r="A193" s="1">
        <v>46044</v>
      </c>
      <c r="B193" t="s">
        <v>44</v>
      </c>
      <c r="C193" t="s">
        <v>45</v>
      </c>
      <c r="D193" t="s">
        <v>46</v>
      </c>
      <c r="E193" t="s">
        <v>42</v>
      </c>
      <c r="F193">
        <v>15296</v>
      </c>
      <c r="G193">
        <v>913</v>
      </c>
      <c r="H193">
        <v>221.95</v>
      </c>
      <c r="I193">
        <v>56</v>
      </c>
      <c r="J193" t="s">
        <v>47</v>
      </c>
      <c r="K193" t="s">
        <v>40</v>
      </c>
    </row>
    <row r="194" spans="1:11" x14ac:dyDescent="0.2">
      <c r="A194" s="1">
        <v>46044</v>
      </c>
      <c r="B194" t="s">
        <v>44</v>
      </c>
      <c r="C194" t="s">
        <v>48</v>
      </c>
      <c r="D194" t="s">
        <v>49</v>
      </c>
      <c r="E194" t="s">
        <v>50</v>
      </c>
      <c r="F194">
        <v>13801</v>
      </c>
      <c r="G194">
        <v>664</v>
      </c>
      <c r="H194">
        <v>137.68</v>
      </c>
      <c r="I194">
        <v>56</v>
      </c>
      <c r="J194" t="s">
        <v>51</v>
      </c>
      <c r="K194" t="s">
        <v>40</v>
      </c>
    </row>
    <row r="195" spans="1:11" x14ac:dyDescent="0.2">
      <c r="A195" s="1">
        <v>46044</v>
      </c>
      <c r="B195" t="s">
        <v>52</v>
      </c>
      <c r="C195" t="s">
        <v>53</v>
      </c>
      <c r="D195" t="s">
        <v>54</v>
      </c>
      <c r="E195" t="s">
        <v>54</v>
      </c>
      <c r="F195">
        <v>112099</v>
      </c>
      <c r="G195">
        <v>1556</v>
      </c>
      <c r="H195">
        <v>304.73</v>
      </c>
      <c r="I195">
        <v>134</v>
      </c>
      <c r="J195" t="s">
        <v>54</v>
      </c>
      <c r="K195" t="s">
        <v>40</v>
      </c>
    </row>
    <row r="196" spans="1:11" x14ac:dyDescent="0.2">
      <c r="A196" s="1">
        <v>46044</v>
      </c>
      <c r="B196" t="s">
        <v>52</v>
      </c>
      <c r="C196" t="s">
        <v>55</v>
      </c>
      <c r="D196" t="s">
        <v>54</v>
      </c>
      <c r="E196" t="s">
        <v>54</v>
      </c>
      <c r="F196">
        <v>101539</v>
      </c>
      <c r="G196">
        <v>1182</v>
      </c>
      <c r="H196">
        <v>264.02</v>
      </c>
      <c r="I196">
        <v>85</v>
      </c>
      <c r="J196" t="s">
        <v>54</v>
      </c>
      <c r="K196" t="s">
        <v>40</v>
      </c>
    </row>
    <row r="197" spans="1:11" x14ac:dyDescent="0.2">
      <c r="A197" s="1">
        <v>46044</v>
      </c>
      <c r="B197" t="s">
        <v>56</v>
      </c>
      <c r="C197" t="s">
        <v>57</v>
      </c>
      <c r="D197" t="s">
        <v>58</v>
      </c>
      <c r="E197" t="s">
        <v>42</v>
      </c>
      <c r="F197">
        <v>38116</v>
      </c>
      <c r="G197">
        <v>2712</v>
      </c>
      <c r="H197">
        <v>592.12</v>
      </c>
      <c r="I197">
        <v>153</v>
      </c>
      <c r="J197" t="s">
        <v>43</v>
      </c>
      <c r="K197" t="s">
        <v>40</v>
      </c>
    </row>
    <row r="198" spans="1:11" x14ac:dyDescent="0.2">
      <c r="A198" s="1">
        <v>46044</v>
      </c>
      <c r="B198" t="s">
        <v>56</v>
      </c>
      <c r="C198" t="s">
        <v>57</v>
      </c>
      <c r="D198" t="s">
        <v>59</v>
      </c>
      <c r="E198" t="s">
        <v>38</v>
      </c>
      <c r="F198">
        <v>23068</v>
      </c>
      <c r="G198">
        <v>1511</v>
      </c>
      <c r="H198">
        <v>415.54</v>
      </c>
      <c r="I198">
        <v>137</v>
      </c>
      <c r="J198" t="s">
        <v>43</v>
      </c>
      <c r="K198" t="s">
        <v>40</v>
      </c>
    </row>
    <row r="199" spans="1:11" x14ac:dyDescent="0.2">
      <c r="A199" s="1">
        <v>46044</v>
      </c>
      <c r="B199" t="s">
        <v>60</v>
      </c>
      <c r="C199" t="s">
        <v>61</v>
      </c>
      <c r="D199" t="s">
        <v>62</v>
      </c>
      <c r="E199" t="s">
        <v>42</v>
      </c>
      <c r="F199">
        <v>44801</v>
      </c>
      <c r="G199">
        <v>2355</v>
      </c>
      <c r="H199">
        <v>583.27</v>
      </c>
      <c r="I199">
        <v>188</v>
      </c>
      <c r="J199" t="s">
        <v>47</v>
      </c>
      <c r="K199" t="s">
        <v>40</v>
      </c>
    </row>
    <row r="200" spans="1:11" x14ac:dyDescent="0.2">
      <c r="A200" s="1">
        <v>46045</v>
      </c>
      <c r="B200" t="s">
        <v>35</v>
      </c>
      <c r="C200" t="s">
        <v>36</v>
      </c>
      <c r="D200" t="s">
        <v>37</v>
      </c>
      <c r="E200" t="s">
        <v>38</v>
      </c>
      <c r="F200">
        <v>26306</v>
      </c>
      <c r="G200">
        <v>1405</v>
      </c>
      <c r="H200">
        <v>376.12</v>
      </c>
      <c r="I200">
        <v>94</v>
      </c>
      <c r="J200" t="s">
        <v>39</v>
      </c>
      <c r="K200" t="s">
        <v>40</v>
      </c>
    </row>
    <row r="201" spans="1:11" x14ac:dyDescent="0.2">
      <c r="A201" s="1">
        <v>46045</v>
      </c>
      <c r="B201" t="s">
        <v>35</v>
      </c>
      <c r="C201" t="s">
        <v>36</v>
      </c>
      <c r="D201" t="s">
        <v>41</v>
      </c>
      <c r="E201" t="s">
        <v>42</v>
      </c>
      <c r="F201">
        <v>16731</v>
      </c>
      <c r="G201">
        <v>957</v>
      </c>
      <c r="H201">
        <v>228.6</v>
      </c>
      <c r="I201">
        <v>59</v>
      </c>
      <c r="J201" t="s">
        <v>43</v>
      </c>
      <c r="K201" t="s">
        <v>40</v>
      </c>
    </row>
    <row r="202" spans="1:11" x14ac:dyDescent="0.2">
      <c r="A202" s="1">
        <v>46045</v>
      </c>
      <c r="B202" t="s">
        <v>44</v>
      </c>
      <c r="C202" t="s">
        <v>45</v>
      </c>
      <c r="D202" t="s">
        <v>46</v>
      </c>
      <c r="E202" t="s">
        <v>42</v>
      </c>
      <c r="F202">
        <v>12996</v>
      </c>
      <c r="G202">
        <v>716</v>
      </c>
      <c r="H202">
        <v>149.69999999999999</v>
      </c>
      <c r="I202">
        <v>60</v>
      </c>
      <c r="J202" t="s">
        <v>47</v>
      </c>
      <c r="K202" t="s">
        <v>40</v>
      </c>
    </row>
    <row r="203" spans="1:11" x14ac:dyDescent="0.2">
      <c r="A203" s="1">
        <v>46045</v>
      </c>
      <c r="B203" t="s">
        <v>44</v>
      </c>
      <c r="C203" t="s">
        <v>48</v>
      </c>
      <c r="D203" t="s">
        <v>49</v>
      </c>
      <c r="E203" t="s">
        <v>50</v>
      </c>
      <c r="F203">
        <v>44348</v>
      </c>
      <c r="G203">
        <v>2488</v>
      </c>
      <c r="H203">
        <v>668.77</v>
      </c>
      <c r="I203">
        <v>235</v>
      </c>
      <c r="J203" t="s">
        <v>51</v>
      </c>
      <c r="K203" t="s">
        <v>40</v>
      </c>
    </row>
    <row r="204" spans="1:11" x14ac:dyDescent="0.2">
      <c r="A204" s="1">
        <v>46045</v>
      </c>
      <c r="B204" t="s">
        <v>52</v>
      </c>
      <c r="C204" t="s">
        <v>53</v>
      </c>
      <c r="D204" t="s">
        <v>54</v>
      </c>
      <c r="E204" t="s">
        <v>54</v>
      </c>
      <c r="F204">
        <v>134922</v>
      </c>
      <c r="G204">
        <v>2156</v>
      </c>
      <c r="H204">
        <v>493.76</v>
      </c>
      <c r="I204">
        <v>183</v>
      </c>
      <c r="J204" t="s">
        <v>54</v>
      </c>
      <c r="K204" t="s">
        <v>40</v>
      </c>
    </row>
    <row r="205" spans="1:11" x14ac:dyDescent="0.2">
      <c r="A205" s="1">
        <v>46045</v>
      </c>
      <c r="B205" t="s">
        <v>52</v>
      </c>
      <c r="C205" t="s">
        <v>55</v>
      </c>
      <c r="D205" t="s">
        <v>54</v>
      </c>
      <c r="E205" t="s">
        <v>54</v>
      </c>
      <c r="F205">
        <v>111611</v>
      </c>
      <c r="G205">
        <v>1756</v>
      </c>
      <c r="H205">
        <v>477.32</v>
      </c>
      <c r="I205">
        <v>124</v>
      </c>
      <c r="J205" t="s">
        <v>54</v>
      </c>
      <c r="K205" t="s">
        <v>40</v>
      </c>
    </row>
    <row r="206" spans="1:11" x14ac:dyDescent="0.2">
      <c r="A206" s="1">
        <v>46045</v>
      </c>
      <c r="B206" t="s">
        <v>56</v>
      </c>
      <c r="C206" t="s">
        <v>57</v>
      </c>
      <c r="D206" t="s">
        <v>58</v>
      </c>
      <c r="E206" t="s">
        <v>42</v>
      </c>
      <c r="F206">
        <v>24969</v>
      </c>
      <c r="G206">
        <v>1332</v>
      </c>
      <c r="H206">
        <v>370.95</v>
      </c>
      <c r="I206">
        <v>84</v>
      </c>
      <c r="J206" t="s">
        <v>43</v>
      </c>
      <c r="K206" t="s">
        <v>40</v>
      </c>
    </row>
    <row r="207" spans="1:11" x14ac:dyDescent="0.2">
      <c r="A207" s="1">
        <v>46045</v>
      </c>
      <c r="B207" t="s">
        <v>56</v>
      </c>
      <c r="C207" t="s">
        <v>57</v>
      </c>
      <c r="D207" t="s">
        <v>59</v>
      </c>
      <c r="E207" t="s">
        <v>38</v>
      </c>
      <c r="F207">
        <v>11436</v>
      </c>
      <c r="G207">
        <v>710</v>
      </c>
      <c r="H207">
        <v>139.80000000000001</v>
      </c>
      <c r="I207">
        <v>49</v>
      </c>
      <c r="J207" t="s">
        <v>43</v>
      </c>
      <c r="K207" t="s">
        <v>40</v>
      </c>
    </row>
    <row r="208" spans="1:11" x14ac:dyDescent="0.2">
      <c r="A208" s="1">
        <v>46045</v>
      </c>
      <c r="B208" t="s">
        <v>60</v>
      </c>
      <c r="C208" t="s">
        <v>61</v>
      </c>
      <c r="D208" t="s">
        <v>62</v>
      </c>
      <c r="E208" t="s">
        <v>42</v>
      </c>
      <c r="F208">
        <v>12448</v>
      </c>
      <c r="G208">
        <v>709</v>
      </c>
      <c r="H208">
        <v>173.02</v>
      </c>
      <c r="I208">
        <v>60</v>
      </c>
      <c r="J208" t="s">
        <v>47</v>
      </c>
      <c r="K208" t="s">
        <v>40</v>
      </c>
    </row>
    <row r="209" spans="1:11" x14ac:dyDescent="0.2">
      <c r="A209" s="1">
        <v>46046</v>
      </c>
      <c r="B209" t="s">
        <v>35</v>
      </c>
      <c r="C209" t="s">
        <v>36</v>
      </c>
      <c r="D209" t="s">
        <v>37</v>
      </c>
      <c r="E209" t="s">
        <v>38</v>
      </c>
      <c r="F209">
        <v>18457</v>
      </c>
      <c r="G209">
        <v>1149</v>
      </c>
      <c r="H209">
        <v>212.33</v>
      </c>
      <c r="I209">
        <v>68</v>
      </c>
      <c r="J209" t="s">
        <v>39</v>
      </c>
      <c r="K209" t="s">
        <v>40</v>
      </c>
    </row>
    <row r="210" spans="1:11" x14ac:dyDescent="0.2">
      <c r="A210" s="1">
        <v>46046</v>
      </c>
      <c r="B210" t="s">
        <v>35</v>
      </c>
      <c r="C210" t="s">
        <v>36</v>
      </c>
      <c r="D210" t="s">
        <v>41</v>
      </c>
      <c r="E210" t="s">
        <v>42</v>
      </c>
      <c r="F210">
        <v>15810</v>
      </c>
      <c r="G210">
        <v>777</v>
      </c>
      <c r="H210">
        <v>148.86000000000001</v>
      </c>
      <c r="I210">
        <v>56</v>
      </c>
      <c r="J210" t="s">
        <v>43</v>
      </c>
      <c r="K210" t="s">
        <v>40</v>
      </c>
    </row>
    <row r="211" spans="1:11" x14ac:dyDescent="0.2">
      <c r="A211" s="1">
        <v>46046</v>
      </c>
      <c r="B211" t="s">
        <v>44</v>
      </c>
      <c r="C211" t="s">
        <v>45</v>
      </c>
      <c r="D211" t="s">
        <v>46</v>
      </c>
      <c r="E211" t="s">
        <v>42</v>
      </c>
      <c r="F211">
        <v>25338</v>
      </c>
      <c r="G211">
        <v>1549</v>
      </c>
      <c r="H211">
        <v>352.3</v>
      </c>
      <c r="I211">
        <v>94</v>
      </c>
      <c r="J211" t="s">
        <v>47</v>
      </c>
      <c r="K211" t="s">
        <v>40</v>
      </c>
    </row>
    <row r="212" spans="1:11" x14ac:dyDescent="0.2">
      <c r="A212" s="1">
        <v>46046</v>
      </c>
      <c r="B212" t="s">
        <v>44</v>
      </c>
      <c r="C212" t="s">
        <v>48</v>
      </c>
      <c r="D212" t="s">
        <v>49</v>
      </c>
      <c r="E212" t="s">
        <v>50</v>
      </c>
      <c r="F212">
        <v>14852</v>
      </c>
      <c r="G212">
        <v>820</v>
      </c>
      <c r="H212">
        <v>201.86</v>
      </c>
      <c r="I212">
        <v>66</v>
      </c>
      <c r="J212" t="s">
        <v>51</v>
      </c>
      <c r="K212" t="s">
        <v>40</v>
      </c>
    </row>
    <row r="213" spans="1:11" x14ac:dyDescent="0.2">
      <c r="A213" s="1">
        <v>46046</v>
      </c>
      <c r="B213" t="s">
        <v>52</v>
      </c>
      <c r="C213" t="s">
        <v>53</v>
      </c>
      <c r="D213" t="s">
        <v>54</v>
      </c>
      <c r="E213" t="s">
        <v>54</v>
      </c>
      <c r="F213">
        <v>175540</v>
      </c>
      <c r="G213">
        <v>2477</v>
      </c>
      <c r="H213">
        <v>619.42999999999995</v>
      </c>
      <c r="I213">
        <v>177</v>
      </c>
      <c r="J213" t="s">
        <v>54</v>
      </c>
      <c r="K213" t="s">
        <v>40</v>
      </c>
    </row>
    <row r="214" spans="1:11" x14ac:dyDescent="0.2">
      <c r="A214" s="1">
        <v>46046</v>
      </c>
      <c r="B214" t="s">
        <v>52</v>
      </c>
      <c r="C214" t="s">
        <v>55</v>
      </c>
      <c r="D214" t="s">
        <v>54</v>
      </c>
      <c r="E214" t="s">
        <v>54</v>
      </c>
      <c r="F214">
        <v>145251</v>
      </c>
      <c r="G214">
        <v>1969</v>
      </c>
      <c r="H214">
        <v>476.04</v>
      </c>
      <c r="I214">
        <v>130</v>
      </c>
      <c r="J214" t="s">
        <v>54</v>
      </c>
      <c r="K214" t="s">
        <v>40</v>
      </c>
    </row>
    <row r="215" spans="1:11" x14ac:dyDescent="0.2">
      <c r="A215" s="1">
        <v>46046</v>
      </c>
      <c r="B215" t="s">
        <v>56</v>
      </c>
      <c r="C215" t="s">
        <v>57</v>
      </c>
      <c r="D215" t="s">
        <v>58</v>
      </c>
      <c r="E215" t="s">
        <v>42</v>
      </c>
      <c r="F215">
        <v>23749</v>
      </c>
      <c r="G215">
        <v>1423</v>
      </c>
      <c r="H215">
        <v>342.8</v>
      </c>
      <c r="I215">
        <v>122</v>
      </c>
      <c r="J215" t="s">
        <v>43</v>
      </c>
      <c r="K215" t="s">
        <v>40</v>
      </c>
    </row>
    <row r="216" spans="1:11" x14ac:dyDescent="0.2">
      <c r="A216" s="1">
        <v>46046</v>
      </c>
      <c r="B216" t="s">
        <v>56</v>
      </c>
      <c r="C216" t="s">
        <v>57</v>
      </c>
      <c r="D216" t="s">
        <v>59</v>
      </c>
      <c r="E216" t="s">
        <v>38</v>
      </c>
      <c r="F216">
        <v>61997</v>
      </c>
      <c r="G216">
        <v>4423</v>
      </c>
      <c r="H216">
        <v>954.45</v>
      </c>
      <c r="I216">
        <v>315</v>
      </c>
      <c r="J216" t="s">
        <v>43</v>
      </c>
      <c r="K216" t="s">
        <v>40</v>
      </c>
    </row>
    <row r="217" spans="1:11" x14ac:dyDescent="0.2">
      <c r="A217" s="1">
        <v>46046</v>
      </c>
      <c r="B217" t="s">
        <v>60</v>
      </c>
      <c r="C217" t="s">
        <v>61</v>
      </c>
      <c r="D217" t="s">
        <v>62</v>
      </c>
      <c r="E217" t="s">
        <v>42</v>
      </c>
      <c r="F217">
        <v>28713</v>
      </c>
      <c r="G217">
        <v>1405</v>
      </c>
      <c r="H217">
        <v>322.64</v>
      </c>
      <c r="I217">
        <v>88</v>
      </c>
      <c r="J217" t="s">
        <v>47</v>
      </c>
      <c r="K217" t="s">
        <v>40</v>
      </c>
    </row>
    <row r="218" spans="1:11" x14ac:dyDescent="0.2">
      <c r="A218" s="1">
        <v>46047</v>
      </c>
      <c r="B218" t="s">
        <v>35</v>
      </c>
      <c r="C218" t="s">
        <v>36</v>
      </c>
      <c r="D218" t="s">
        <v>37</v>
      </c>
      <c r="E218" t="s">
        <v>38</v>
      </c>
      <c r="F218">
        <v>58099</v>
      </c>
      <c r="G218">
        <v>3249</v>
      </c>
      <c r="H218">
        <v>585.71</v>
      </c>
      <c r="I218">
        <v>265</v>
      </c>
      <c r="J218" t="s">
        <v>39</v>
      </c>
      <c r="K218" t="s">
        <v>40</v>
      </c>
    </row>
    <row r="219" spans="1:11" x14ac:dyDescent="0.2">
      <c r="A219" s="1">
        <v>46047</v>
      </c>
      <c r="B219" t="s">
        <v>35</v>
      </c>
      <c r="C219" t="s">
        <v>36</v>
      </c>
      <c r="D219" t="s">
        <v>41</v>
      </c>
      <c r="E219" t="s">
        <v>42</v>
      </c>
      <c r="F219">
        <v>24131</v>
      </c>
      <c r="G219">
        <v>1642</v>
      </c>
      <c r="H219">
        <v>405.41</v>
      </c>
      <c r="I219">
        <v>100</v>
      </c>
      <c r="J219" t="s">
        <v>43</v>
      </c>
      <c r="K219" t="s">
        <v>40</v>
      </c>
    </row>
    <row r="220" spans="1:11" x14ac:dyDescent="0.2">
      <c r="A220" s="1">
        <v>46047</v>
      </c>
      <c r="B220" t="s">
        <v>44</v>
      </c>
      <c r="C220" t="s">
        <v>45</v>
      </c>
      <c r="D220" t="s">
        <v>46</v>
      </c>
      <c r="E220" t="s">
        <v>42</v>
      </c>
      <c r="F220">
        <v>22264</v>
      </c>
      <c r="G220">
        <v>1485</v>
      </c>
      <c r="H220">
        <v>278.44</v>
      </c>
      <c r="I220">
        <v>124</v>
      </c>
      <c r="J220" t="s">
        <v>47</v>
      </c>
      <c r="K220" t="s">
        <v>40</v>
      </c>
    </row>
    <row r="221" spans="1:11" x14ac:dyDescent="0.2">
      <c r="A221" s="1">
        <v>46047</v>
      </c>
      <c r="B221" t="s">
        <v>44</v>
      </c>
      <c r="C221" t="s">
        <v>48</v>
      </c>
      <c r="D221" t="s">
        <v>49</v>
      </c>
      <c r="E221" t="s">
        <v>50</v>
      </c>
      <c r="F221">
        <v>37478</v>
      </c>
      <c r="G221">
        <v>2378</v>
      </c>
      <c r="H221">
        <v>536.66</v>
      </c>
      <c r="I221">
        <v>223</v>
      </c>
      <c r="J221" t="s">
        <v>51</v>
      </c>
      <c r="K221" t="s">
        <v>40</v>
      </c>
    </row>
    <row r="222" spans="1:11" x14ac:dyDescent="0.2">
      <c r="A222" s="1">
        <v>46047</v>
      </c>
      <c r="B222" t="s">
        <v>52</v>
      </c>
      <c r="C222" t="s">
        <v>53</v>
      </c>
      <c r="D222" t="s">
        <v>54</v>
      </c>
      <c r="E222" t="s">
        <v>54</v>
      </c>
      <c r="F222">
        <v>174466</v>
      </c>
      <c r="G222">
        <v>2324</v>
      </c>
      <c r="H222">
        <v>441.52</v>
      </c>
      <c r="I222">
        <v>144</v>
      </c>
      <c r="J222" t="s">
        <v>54</v>
      </c>
      <c r="K222" t="s">
        <v>40</v>
      </c>
    </row>
    <row r="223" spans="1:11" x14ac:dyDescent="0.2">
      <c r="A223" s="1">
        <v>46047</v>
      </c>
      <c r="B223" t="s">
        <v>52</v>
      </c>
      <c r="C223" t="s">
        <v>55</v>
      </c>
      <c r="D223" t="s">
        <v>54</v>
      </c>
      <c r="E223" t="s">
        <v>54</v>
      </c>
      <c r="F223">
        <v>133238</v>
      </c>
      <c r="G223">
        <v>2033</v>
      </c>
      <c r="H223">
        <v>439.17</v>
      </c>
      <c r="I223">
        <v>166</v>
      </c>
      <c r="J223" t="s">
        <v>54</v>
      </c>
      <c r="K223" t="s">
        <v>40</v>
      </c>
    </row>
    <row r="224" spans="1:11" x14ac:dyDescent="0.2">
      <c r="A224" s="1">
        <v>46047</v>
      </c>
      <c r="B224" t="s">
        <v>56</v>
      </c>
      <c r="C224" t="s">
        <v>57</v>
      </c>
      <c r="D224" t="s">
        <v>58</v>
      </c>
      <c r="E224" t="s">
        <v>42</v>
      </c>
      <c r="F224">
        <v>53085</v>
      </c>
      <c r="G224">
        <v>3489</v>
      </c>
      <c r="H224">
        <v>661.16</v>
      </c>
      <c r="I224">
        <v>297</v>
      </c>
      <c r="J224" t="s">
        <v>43</v>
      </c>
      <c r="K224" t="s">
        <v>40</v>
      </c>
    </row>
    <row r="225" spans="1:11" x14ac:dyDescent="0.2">
      <c r="A225" s="1">
        <v>46047</v>
      </c>
      <c r="B225" t="s">
        <v>56</v>
      </c>
      <c r="C225" t="s">
        <v>57</v>
      </c>
      <c r="D225" t="s">
        <v>59</v>
      </c>
      <c r="E225" t="s">
        <v>38</v>
      </c>
      <c r="F225">
        <v>18209</v>
      </c>
      <c r="G225">
        <v>878</v>
      </c>
      <c r="H225">
        <v>170.19</v>
      </c>
      <c r="I225">
        <v>71</v>
      </c>
      <c r="J225" t="s">
        <v>43</v>
      </c>
      <c r="K225" t="s">
        <v>40</v>
      </c>
    </row>
    <row r="226" spans="1:11" x14ac:dyDescent="0.2">
      <c r="A226" s="1">
        <v>46047</v>
      </c>
      <c r="B226" t="s">
        <v>60</v>
      </c>
      <c r="C226" t="s">
        <v>61</v>
      </c>
      <c r="D226" t="s">
        <v>62</v>
      </c>
      <c r="E226" t="s">
        <v>42</v>
      </c>
      <c r="F226">
        <v>44154</v>
      </c>
      <c r="G226">
        <v>2498</v>
      </c>
      <c r="H226">
        <v>558.98</v>
      </c>
      <c r="I226">
        <v>199</v>
      </c>
      <c r="J226" t="s">
        <v>47</v>
      </c>
      <c r="K226" t="s">
        <v>40</v>
      </c>
    </row>
    <row r="227" spans="1:11" x14ac:dyDescent="0.2">
      <c r="A227" s="1">
        <v>46048</v>
      </c>
      <c r="B227" t="s">
        <v>35</v>
      </c>
      <c r="C227" t="s">
        <v>36</v>
      </c>
      <c r="D227" t="s">
        <v>37</v>
      </c>
      <c r="E227" t="s">
        <v>38</v>
      </c>
      <c r="F227">
        <v>16091</v>
      </c>
      <c r="G227">
        <v>916</v>
      </c>
      <c r="H227">
        <v>196.27</v>
      </c>
      <c r="I227">
        <v>54</v>
      </c>
      <c r="J227" t="s">
        <v>39</v>
      </c>
      <c r="K227" t="s">
        <v>40</v>
      </c>
    </row>
    <row r="228" spans="1:11" x14ac:dyDescent="0.2">
      <c r="A228" s="1">
        <v>46048</v>
      </c>
      <c r="B228" t="s">
        <v>35</v>
      </c>
      <c r="C228" t="s">
        <v>36</v>
      </c>
      <c r="D228" t="s">
        <v>41</v>
      </c>
      <c r="E228" t="s">
        <v>42</v>
      </c>
      <c r="F228">
        <v>36230</v>
      </c>
      <c r="G228">
        <v>2575</v>
      </c>
      <c r="H228">
        <v>533.5</v>
      </c>
      <c r="I228">
        <v>181</v>
      </c>
      <c r="J228" t="s">
        <v>43</v>
      </c>
      <c r="K228" t="s">
        <v>40</v>
      </c>
    </row>
    <row r="229" spans="1:11" x14ac:dyDescent="0.2">
      <c r="A229" s="1">
        <v>46048</v>
      </c>
      <c r="B229" t="s">
        <v>44</v>
      </c>
      <c r="C229" t="s">
        <v>45</v>
      </c>
      <c r="D229" t="s">
        <v>46</v>
      </c>
      <c r="E229" t="s">
        <v>42</v>
      </c>
      <c r="F229">
        <v>41342</v>
      </c>
      <c r="G229">
        <v>2778</v>
      </c>
      <c r="H229">
        <v>680.29</v>
      </c>
      <c r="I229">
        <v>241</v>
      </c>
      <c r="J229" t="s">
        <v>47</v>
      </c>
      <c r="K229" t="s">
        <v>40</v>
      </c>
    </row>
    <row r="230" spans="1:11" x14ac:dyDescent="0.2">
      <c r="A230" s="1">
        <v>46048</v>
      </c>
      <c r="B230" t="s">
        <v>44</v>
      </c>
      <c r="C230" t="s">
        <v>48</v>
      </c>
      <c r="D230" t="s">
        <v>49</v>
      </c>
      <c r="E230" t="s">
        <v>50</v>
      </c>
      <c r="F230">
        <v>17409</v>
      </c>
      <c r="G230">
        <v>890</v>
      </c>
      <c r="H230">
        <v>224.85</v>
      </c>
      <c r="I230">
        <v>83</v>
      </c>
      <c r="J230" t="s">
        <v>51</v>
      </c>
      <c r="K230" t="s">
        <v>40</v>
      </c>
    </row>
    <row r="231" spans="1:11" x14ac:dyDescent="0.2">
      <c r="A231" s="1">
        <v>46048</v>
      </c>
      <c r="B231" t="s">
        <v>52</v>
      </c>
      <c r="C231" t="s">
        <v>53</v>
      </c>
      <c r="D231" t="s">
        <v>54</v>
      </c>
      <c r="E231" t="s">
        <v>54</v>
      </c>
      <c r="F231">
        <v>110892</v>
      </c>
      <c r="G231">
        <v>1277</v>
      </c>
      <c r="H231">
        <v>346.22</v>
      </c>
      <c r="I231">
        <v>94</v>
      </c>
      <c r="J231" t="s">
        <v>54</v>
      </c>
      <c r="K231" t="s">
        <v>40</v>
      </c>
    </row>
    <row r="232" spans="1:11" x14ac:dyDescent="0.2">
      <c r="A232" s="1">
        <v>46048</v>
      </c>
      <c r="B232" t="s">
        <v>52</v>
      </c>
      <c r="C232" t="s">
        <v>55</v>
      </c>
      <c r="D232" t="s">
        <v>54</v>
      </c>
      <c r="E232" t="s">
        <v>54</v>
      </c>
      <c r="F232">
        <v>164572</v>
      </c>
      <c r="G232">
        <v>2368</v>
      </c>
      <c r="H232">
        <v>469.16</v>
      </c>
      <c r="I232">
        <v>166</v>
      </c>
      <c r="J232" t="s">
        <v>54</v>
      </c>
      <c r="K232" t="s">
        <v>40</v>
      </c>
    </row>
    <row r="233" spans="1:11" x14ac:dyDescent="0.2">
      <c r="A233" s="1">
        <v>46048</v>
      </c>
      <c r="B233" t="s">
        <v>56</v>
      </c>
      <c r="C233" t="s">
        <v>57</v>
      </c>
      <c r="D233" t="s">
        <v>58</v>
      </c>
      <c r="E233" t="s">
        <v>42</v>
      </c>
      <c r="F233">
        <v>33501</v>
      </c>
      <c r="G233">
        <v>2099</v>
      </c>
      <c r="H233">
        <v>558.87</v>
      </c>
      <c r="I233">
        <v>189</v>
      </c>
      <c r="J233" t="s">
        <v>43</v>
      </c>
      <c r="K233" t="s">
        <v>40</v>
      </c>
    </row>
    <row r="234" spans="1:11" x14ac:dyDescent="0.2">
      <c r="A234" s="1">
        <v>46048</v>
      </c>
      <c r="B234" t="s">
        <v>56</v>
      </c>
      <c r="C234" t="s">
        <v>57</v>
      </c>
      <c r="D234" t="s">
        <v>59</v>
      </c>
      <c r="E234" t="s">
        <v>38</v>
      </c>
      <c r="F234">
        <v>18562</v>
      </c>
      <c r="G234">
        <v>1106</v>
      </c>
      <c r="H234">
        <v>253.07</v>
      </c>
      <c r="I234">
        <v>100</v>
      </c>
      <c r="J234" t="s">
        <v>43</v>
      </c>
      <c r="K234" t="s">
        <v>40</v>
      </c>
    </row>
    <row r="235" spans="1:11" x14ac:dyDescent="0.2">
      <c r="A235" s="1">
        <v>46048</v>
      </c>
      <c r="B235" t="s">
        <v>60</v>
      </c>
      <c r="C235" t="s">
        <v>61</v>
      </c>
      <c r="D235" t="s">
        <v>62</v>
      </c>
      <c r="E235" t="s">
        <v>42</v>
      </c>
      <c r="F235">
        <v>38880</v>
      </c>
      <c r="G235">
        <v>1909</v>
      </c>
      <c r="H235">
        <v>393.56</v>
      </c>
      <c r="I235">
        <v>128</v>
      </c>
      <c r="J235" t="s">
        <v>47</v>
      </c>
      <c r="K235" t="s">
        <v>40</v>
      </c>
    </row>
    <row r="236" spans="1:11" x14ac:dyDescent="0.2">
      <c r="A236" s="1">
        <v>46049</v>
      </c>
      <c r="B236" t="s">
        <v>35</v>
      </c>
      <c r="C236" t="s">
        <v>36</v>
      </c>
      <c r="D236" t="s">
        <v>37</v>
      </c>
      <c r="E236" t="s">
        <v>38</v>
      </c>
      <c r="F236">
        <v>44394</v>
      </c>
      <c r="G236">
        <v>2948</v>
      </c>
      <c r="H236">
        <v>700.64</v>
      </c>
      <c r="I236">
        <v>228</v>
      </c>
      <c r="J236" t="s">
        <v>39</v>
      </c>
      <c r="K236" t="s">
        <v>40</v>
      </c>
    </row>
    <row r="237" spans="1:11" x14ac:dyDescent="0.2">
      <c r="A237" s="1">
        <v>46049</v>
      </c>
      <c r="B237" t="s">
        <v>35</v>
      </c>
      <c r="C237" t="s">
        <v>36</v>
      </c>
      <c r="D237" t="s">
        <v>41</v>
      </c>
      <c r="E237" t="s">
        <v>42</v>
      </c>
      <c r="F237">
        <v>32170</v>
      </c>
      <c r="G237">
        <v>1944</v>
      </c>
      <c r="H237">
        <v>483.71</v>
      </c>
      <c r="I237">
        <v>154</v>
      </c>
      <c r="J237" t="s">
        <v>43</v>
      </c>
      <c r="K237" t="s">
        <v>40</v>
      </c>
    </row>
    <row r="238" spans="1:11" x14ac:dyDescent="0.2">
      <c r="A238" s="1">
        <v>46049</v>
      </c>
      <c r="B238" t="s">
        <v>44</v>
      </c>
      <c r="C238" t="s">
        <v>45</v>
      </c>
      <c r="D238" t="s">
        <v>46</v>
      </c>
      <c r="E238" t="s">
        <v>42</v>
      </c>
      <c r="F238">
        <v>38367</v>
      </c>
      <c r="G238">
        <v>2450</v>
      </c>
      <c r="H238">
        <v>501.9</v>
      </c>
      <c r="I238">
        <v>168</v>
      </c>
      <c r="J238" t="s">
        <v>47</v>
      </c>
      <c r="K238" t="s">
        <v>40</v>
      </c>
    </row>
    <row r="239" spans="1:11" x14ac:dyDescent="0.2">
      <c r="A239" s="1">
        <v>46049</v>
      </c>
      <c r="B239" t="s">
        <v>44</v>
      </c>
      <c r="C239" t="s">
        <v>48</v>
      </c>
      <c r="D239" t="s">
        <v>49</v>
      </c>
      <c r="E239" t="s">
        <v>50</v>
      </c>
      <c r="F239">
        <v>35223</v>
      </c>
      <c r="G239">
        <v>1816</v>
      </c>
      <c r="H239">
        <v>476.96</v>
      </c>
      <c r="I239">
        <v>164</v>
      </c>
      <c r="J239" t="s">
        <v>51</v>
      </c>
      <c r="K239" t="s">
        <v>40</v>
      </c>
    </row>
    <row r="240" spans="1:11" x14ac:dyDescent="0.2">
      <c r="A240" s="1">
        <v>46049</v>
      </c>
      <c r="B240" t="s">
        <v>52</v>
      </c>
      <c r="C240" t="s">
        <v>53</v>
      </c>
      <c r="D240" t="s">
        <v>54</v>
      </c>
      <c r="E240" t="s">
        <v>54</v>
      </c>
      <c r="F240">
        <v>97152</v>
      </c>
      <c r="G240">
        <v>1074</v>
      </c>
      <c r="H240">
        <v>293.67</v>
      </c>
      <c r="I240">
        <v>80</v>
      </c>
      <c r="J240" t="s">
        <v>54</v>
      </c>
      <c r="K240" t="s">
        <v>40</v>
      </c>
    </row>
    <row r="241" spans="1:11" x14ac:dyDescent="0.2">
      <c r="A241" s="1">
        <v>46049</v>
      </c>
      <c r="B241" t="s">
        <v>52</v>
      </c>
      <c r="C241" t="s">
        <v>55</v>
      </c>
      <c r="D241" t="s">
        <v>54</v>
      </c>
      <c r="E241" t="s">
        <v>54</v>
      </c>
      <c r="F241">
        <v>151510</v>
      </c>
      <c r="G241">
        <v>2311</v>
      </c>
      <c r="H241">
        <v>616.9</v>
      </c>
      <c r="I241">
        <v>134</v>
      </c>
      <c r="J241" t="s">
        <v>54</v>
      </c>
      <c r="K241" t="s">
        <v>40</v>
      </c>
    </row>
    <row r="242" spans="1:11" x14ac:dyDescent="0.2">
      <c r="A242" s="1">
        <v>46049</v>
      </c>
      <c r="B242" t="s">
        <v>56</v>
      </c>
      <c r="C242" t="s">
        <v>57</v>
      </c>
      <c r="D242" t="s">
        <v>58</v>
      </c>
      <c r="E242" t="s">
        <v>42</v>
      </c>
      <c r="F242">
        <v>42220</v>
      </c>
      <c r="G242">
        <v>2351</v>
      </c>
      <c r="H242">
        <v>500.97</v>
      </c>
      <c r="I242">
        <v>155</v>
      </c>
      <c r="J242" t="s">
        <v>43</v>
      </c>
      <c r="K242" t="s">
        <v>40</v>
      </c>
    </row>
    <row r="243" spans="1:11" x14ac:dyDescent="0.2">
      <c r="A243" s="1">
        <v>46049</v>
      </c>
      <c r="B243" t="s">
        <v>56</v>
      </c>
      <c r="C243" t="s">
        <v>57</v>
      </c>
      <c r="D243" t="s">
        <v>59</v>
      </c>
      <c r="E243" t="s">
        <v>38</v>
      </c>
      <c r="F243">
        <v>43222</v>
      </c>
      <c r="G243">
        <v>2305</v>
      </c>
      <c r="H243">
        <v>563.17999999999995</v>
      </c>
      <c r="I243">
        <v>163</v>
      </c>
      <c r="J243" t="s">
        <v>43</v>
      </c>
      <c r="K243" t="s">
        <v>40</v>
      </c>
    </row>
    <row r="244" spans="1:11" x14ac:dyDescent="0.2">
      <c r="A244" s="1">
        <v>46049</v>
      </c>
      <c r="B244" t="s">
        <v>60</v>
      </c>
      <c r="C244" t="s">
        <v>61</v>
      </c>
      <c r="D244" t="s">
        <v>62</v>
      </c>
      <c r="E244" t="s">
        <v>42</v>
      </c>
      <c r="F244">
        <v>25400</v>
      </c>
      <c r="G244">
        <v>1267</v>
      </c>
      <c r="H244">
        <v>284.33999999999997</v>
      </c>
      <c r="I244">
        <v>98</v>
      </c>
      <c r="J244" t="s">
        <v>47</v>
      </c>
      <c r="K244" t="s">
        <v>40</v>
      </c>
    </row>
    <row r="245" spans="1:11" x14ac:dyDescent="0.2">
      <c r="A245" s="1">
        <v>46050</v>
      </c>
      <c r="B245" t="s">
        <v>35</v>
      </c>
      <c r="C245" t="s">
        <v>36</v>
      </c>
      <c r="D245" t="s">
        <v>37</v>
      </c>
      <c r="E245" t="s">
        <v>38</v>
      </c>
      <c r="F245">
        <v>15768</v>
      </c>
      <c r="G245">
        <v>1081</v>
      </c>
      <c r="H245">
        <v>242.91</v>
      </c>
      <c r="I245">
        <v>64</v>
      </c>
      <c r="J245" t="s">
        <v>39</v>
      </c>
      <c r="K245" t="s">
        <v>40</v>
      </c>
    </row>
    <row r="246" spans="1:11" x14ac:dyDescent="0.2">
      <c r="A246" s="1">
        <v>46050</v>
      </c>
      <c r="B246" t="s">
        <v>35</v>
      </c>
      <c r="C246" t="s">
        <v>36</v>
      </c>
      <c r="D246" t="s">
        <v>41</v>
      </c>
      <c r="E246" t="s">
        <v>42</v>
      </c>
      <c r="F246">
        <v>42595</v>
      </c>
      <c r="G246">
        <v>2806</v>
      </c>
      <c r="H246">
        <v>510.07</v>
      </c>
      <c r="I246">
        <v>199</v>
      </c>
      <c r="J246" t="s">
        <v>43</v>
      </c>
      <c r="K246" t="s">
        <v>40</v>
      </c>
    </row>
    <row r="247" spans="1:11" x14ac:dyDescent="0.2">
      <c r="A247" s="1">
        <v>46050</v>
      </c>
      <c r="B247" t="s">
        <v>44</v>
      </c>
      <c r="C247" t="s">
        <v>45</v>
      </c>
      <c r="D247" t="s">
        <v>46</v>
      </c>
      <c r="E247" t="s">
        <v>42</v>
      </c>
      <c r="F247">
        <v>12348</v>
      </c>
      <c r="G247">
        <v>757</v>
      </c>
      <c r="H247">
        <v>136.27000000000001</v>
      </c>
      <c r="I247">
        <v>44</v>
      </c>
      <c r="J247" t="s">
        <v>47</v>
      </c>
      <c r="K247" t="s">
        <v>40</v>
      </c>
    </row>
    <row r="248" spans="1:11" x14ac:dyDescent="0.2">
      <c r="A248" s="1">
        <v>46050</v>
      </c>
      <c r="B248" t="s">
        <v>44</v>
      </c>
      <c r="C248" t="s">
        <v>48</v>
      </c>
      <c r="D248" t="s">
        <v>49</v>
      </c>
      <c r="E248" t="s">
        <v>50</v>
      </c>
      <c r="F248">
        <v>29962</v>
      </c>
      <c r="G248">
        <v>2078</v>
      </c>
      <c r="H248">
        <v>490.89</v>
      </c>
      <c r="I248">
        <v>168</v>
      </c>
      <c r="J248" t="s">
        <v>51</v>
      </c>
      <c r="K248" t="s">
        <v>40</v>
      </c>
    </row>
    <row r="249" spans="1:11" x14ac:dyDescent="0.2">
      <c r="A249" s="1">
        <v>46050</v>
      </c>
      <c r="B249" t="s">
        <v>52</v>
      </c>
      <c r="C249" t="s">
        <v>53</v>
      </c>
      <c r="D249" t="s">
        <v>54</v>
      </c>
      <c r="E249" t="s">
        <v>54</v>
      </c>
      <c r="F249">
        <v>149796</v>
      </c>
      <c r="G249">
        <v>2359</v>
      </c>
      <c r="H249">
        <v>510.33</v>
      </c>
      <c r="I249">
        <v>134</v>
      </c>
      <c r="J249" t="s">
        <v>54</v>
      </c>
      <c r="K249" t="s">
        <v>40</v>
      </c>
    </row>
    <row r="250" spans="1:11" x14ac:dyDescent="0.2">
      <c r="A250" s="1">
        <v>46050</v>
      </c>
      <c r="B250" t="s">
        <v>52</v>
      </c>
      <c r="C250" t="s">
        <v>55</v>
      </c>
      <c r="D250" t="s">
        <v>54</v>
      </c>
      <c r="E250" t="s">
        <v>54</v>
      </c>
      <c r="F250">
        <v>119218</v>
      </c>
      <c r="G250">
        <v>1814</v>
      </c>
      <c r="H250">
        <v>386.74</v>
      </c>
      <c r="I250">
        <v>155</v>
      </c>
      <c r="J250" t="s">
        <v>54</v>
      </c>
      <c r="K250" t="s">
        <v>40</v>
      </c>
    </row>
    <row r="251" spans="1:11" x14ac:dyDescent="0.2">
      <c r="A251" s="1">
        <v>46050</v>
      </c>
      <c r="B251" t="s">
        <v>56</v>
      </c>
      <c r="C251" t="s">
        <v>57</v>
      </c>
      <c r="D251" t="s">
        <v>58</v>
      </c>
      <c r="E251" t="s">
        <v>42</v>
      </c>
      <c r="F251">
        <v>41007</v>
      </c>
      <c r="G251">
        <v>2673</v>
      </c>
      <c r="H251">
        <v>578.25</v>
      </c>
      <c r="I251">
        <v>195</v>
      </c>
      <c r="J251" t="s">
        <v>43</v>
      </c>
      <c r="K251" t="s">
        <v>40</v>
      </c>
    </row>
    <row r="252" spans="1:11" x14ac:dyDescent="0.2">
      <c r="A252" s="1">
        <v>46050</v>
      </c>
      <c r="B252" t="s">
        <v>56</v>
      </c>
      <c r="C252" t="s">
        <v>57</v>
      </c>
      <c r="D252" t="s">
        <v>59</v>
      </c>
      <c r="E252" t="s">
        <v>38</v>
      </c>
      <c r="F252">
        <v>16385</v>
      </c>
      <c r="G252">
        <v>1085</v>
      </c>
      <c r="H252">
        <v>219.36</v>
      </c>
      <c r="I252">
        <v>74</v>
      </c>
      <c r="J252" t="s">
        <v>43</v>
      </c>
      <c r="K252" t="s">
        <v>40</v>
      </c>
    </row>
    <row r="253" spans="1:11" x14ac:dyDescent="0.2">
      <c r="A253" s="1">
        <v>46050</v>
      </c>
      <c r="B253" t="s">
        <v>60</v>
      </c>
      <c r="C253" t="s">
        <v>61</v>
      </c>
      <c r="D253" t="s">
        <v>62</v>
      </c>
      <c r="E253" t="s">
        <v>42</v>
      </c>
      <c r="F253">
        <v>29135</v>
      </c>
      <c r="G253">
        <v>1781</v>
      </c>
      <c r="H253">
        <v>387.17</v>
      </c>
      <c r="I253">
        <v>105</v>
      </c>
      <c r="J253" t="s">
        <v>47</v>
      </c>
      <c r="K253" t="s">
        <v>40</v>
      </c>
    </row>
    <row r="254" spans="1:11" x14ac:dyDescent="0.2">
      <c r="A254" s="1">
        <v>46051</v>
      </c>
      <c r="B254" t="s">
        <v>35</v>
      </c>
      <c r="C254" t="s">
        <v>36</v>
      </c>
      <c r="D254" t="s">
        <v>37</v>
      </c>
      <c r="E254" t="s">
        <v>38</v>
      </c>
      <c r="F254">
        <v>20758</v>
      </c>
      <c r="G254">
        <v>1241</v>
      </c>
      <c r="H254">
        <v>325.37</v>
      </c>
      <c r="I254">
        <v>105</v>
      </c>
      <c r="J254" t="s">
        <v>39</v>
      </c>
      <c r="K254" t="s">
        <v>40</v>
      </c>
    </row>
    <row r="255" spans="1:11" x14ac:dyDescent="0.2">
      <c r="A255" s="1">
        <v>46051</v>
      </c>
      <c r="B255" t="s">
        <v>35</v>
      </c>
      <c r="C255" t="s">
        <v>36</v>
      </c>
      <c r="D255" t="s">
        <v>41</v>
      </c>
      <c r="E255" t="s">
        <v>42</v>
      </c>
      <c r="F255">
        <v>36818</v>
      </c>
      <c r="G255">
        <v>1861</v>
      </c>
      <c r="H255">
        <v>448.66</v>
      </c>
      <c r="I255">
        <v>116</v>
      </c>
      <c r="J255" t="s">
        <v>43</v>
      </c>
      <c r="K255" t="s">
        <v>40</v>
      </c>
    </row>
    <row r="256" spans="1:11" x14ac:dyDescent="0.2">
      <c r="A256" s="1">
        <v>46051</v>
      </c>
      <c r="B256" t="s">
        <v>44</v>
      </c>
      <c r="C256" t="s">
        <v>45</v>
      </c>
      <c r="D256" t="s">
        <v>46</v>
      </c>
      <c r="E256" t="s">
        <v>42</v>
      </c>
      <c r="F256">
        <v>35748</v>
      </c>
      <c r="G256">
        <v>1900</v>
      </c>
      <c r="H256">
        <v>498.67</v>
      </c>
      <c r="I256">
        <v>118</v>
      </c>
      <c r="J256" t="s">
        <v>47</v>
      </c>
      <c r="K256" t="s">
        <v>40</v>
      </c>
    </row>
    <row r="257" spans="1:11" x14ac:dyDescent="0.2">
      <c r="A257" s="1">
        <v>46051</v>
      </c>
      <c r="B257" t="s">
        <v>44</v>
      </c>
      <c r="C257" t="s">
        <v>48</v>
      </c>
      <c r="D257" t="s">
        <v>49</v>
      </c>
      <c r="E257" t="s">
        <v>50</v>
      </c>
      <c r="F257">
        <v>32146</v>
      </c>
      <c r="G257">
        <v>1626</v>
      </c>
      <c r="H257">
        <v>360.07</v>
      </c>
      <c r="I257">
        <v>149</v>
      </c>
      <c r="J257" t="s">
        <v>51</v>
      </c>
      <c r="K257" t="s">
        <v>40</v>
      </c>
    </row>
    <row r="258" spans="1:11" x14ac:dyDescent="0.2">
      <c r="A258" s="1">
        <v>46051</v>
      </c>
      <c r="B258" t="s">
        <v>52</v>
      </c>
      <c r="C258" t="s">
        <v>53</v>
      </c>
      <c r="D258" t="s">
        <v>54</v>
      </c>
      <c r="E258" t="s">
        <v>54</v>
      </c>
      <c r="F258">
        <v>167176</v>
      </c>
      <c r="G258">
        <v>1941</v>
      </c>
      <c r="H258">
        <v>522.47</v>
      </c>
      <c r="I258">
        <v>142</v>
      </c>
      <c r="J258" t="s">
        <v>54</v>
      </c>
      <c r="K258" t="s">
        <v>40</v>
      </c>
    </row>
    <row r="259" spans="1:11" x14ac:dyDescent="0.2">
      <c r="A259" s="1">
        <v>46051</v>
      </c>
      <c r="B259" t="s">
        <v>52</v>
      </c>
      <c r="C259" t="s">
        <v>55</v>
      </c>
      <c r="D259" t="s">
        <v>54</v>
      </c>
      <c r="E259" t="s">
        <v>54</v>
      </c>
      <c r="F259">
        <v>167242</v>
      </c>
      <c r="G259">
        <v>2639</v>
      </c>
      <c r="H259">
        <v>510.55</v>
      </c>
      <c r="I259">
        <v>197</v>
      </c>
      <c r="J259" t="s">
        <v>54</v>
      </c>
      <c r="K259" t="s">
        <v>40</v>
      </c>
    </row>
    <row r="260" spans="1:11" x14ac:dyDescent="0.2">
      <c r="A260" s="1">
        <v>46051</v>
      </c>
      <c r="B260" t="s">
        <v>56</v>
      </c>
      <c r="C260" t="s">
        <v>57</v>
      </c>
      <c r="D260" t="s">
        <v>58</v>
      </c>
      <c r="E260" t="s">
        <v>42</v>
      </c>
      <c r="F260">
        <v>44757</v>
      </c>
      <c r="G260">
        <v>2939</v>
      </c>
      <c r="H260">
        <v>691.61</v>
      </c>
      <c r="I260">
        <v>212</v>
      </c>
      <c r="J260" t="s">
        <v>43</v>
      </c>
      <c r="K260" t="s">
        <v>40</v>
      </c>
    </row>
    <row r="261" spans="1:11" x14ac:dyDescent="0.2">
      <c r="A261" s="1">
        <v>46051</v>
      </c>
      <c r="B261" t="s">
        <v>56</v>
      </c>
      <c r="C261" t="s">
        <v>57</v>
      </c>
      <c r="D261" t="s">
        <v>59</v>
      </c>
      <c r="E261" t="s">
        <v>38</v>
      </c>
      <c r="F261">
        <v>41649</v>
      </c>
      <c r="G261">
        <v>2923</v>
      </c>
      <c r="H261">
        <v>754.45</v>
      </c>
      <c r="I261">
        <v>267</v>
      </c>
      <c r="J261" t="s">
        <v>43</v>
      </c>
      <c r="K261" t="s">
        <v>40</v>
      </c>
    </row>
    <row r="262" spans="1:11" x14ac:dyDescent="0.2">
      <c r="A262" s="1">
        <v>46051</v>
      </c>
      <c r="B262" t="s">
        <v>60</v>
      </c>
      <c r="C262" t="s">
        <v>61</v>
      </c>
      <c r="D262" t="s">
        <v>62</v>
      </c>
      <c r="E262" t="s">
        <v>42</v>
      </c>
      <c r="F262">
        <v>21380</v>
      </c>
      <c r="G262">
        <v>1401</v>
      </c>
      <c r="H262">
        <v>270.17</v>
      </c>
      <c r="I262">
        <v>98</v>
      </c>
      <c r="J262" t="s">
        <v>47</v>
      </c>
      <c r="K262" t="s">
        <v>40</v>
      </c>
    </row>
    <row r="263" spans="1:11" x14ac:dyDescent="0.2">
      <c r="A263" s="1">
        <v>46052</v>
      </c>
      <c r="B263" t="s">
        <v>35</v>
      </c>
      <c r="C263" t="s">
        <v>36</v>
      </c>
      <c r="D263" t="s">
        <v>37</v>
      </c>
      <c r="E263" t="s">
        <v>38</v>
      </c>
      <c r="F263">
        <v>31092</v>
      </c>
      <c r="G263">
        <v>1868</v>
      </c>
      <c r="H263">
        <v>408.09</v>
      </c>
      <c r="I263">
        <v>175</v>
      </c>
      <c r="J263" t="s">
        <v>39</v>
      </c>
      <c r="K263" t="s">
        <v>40</v>
      </c>
    </row>
    <row r="264" spans="1:11" x14ac:dyDescent="0.2">
      <c r="A264" s="1">
        <v>46052</v>
      </c>
      <c r="B264" t="s">
        <v>35</v>
      </c>
      <c r="C264" t="s">
        <v>36</v>
      </c>
      <c r="D264" t="s">
        <v>41</v>
      </c>
      <c r="E264" t="s">
        <v>42</v>
      </c>
      <c r="F264">
        <v>26268</v>
      </c>
      <c r="G264">
        <v>1433</v>
      </c>
      <c r="H264">
        <v>396.02</v>
      </c>
      <c r="I264">
        <v>134</v>
      </c>
      <c r="J264" t="s">
        <v>43</v>
      </c>
      <c r="K264" t="s">
        <v>40</v>
      </c>
    </row>
    <row r="265" spans="1:11" x14ac:dyDescent="0.2">
      <c r="A265" s="1">
        <v>46052</v>
      </c>
      <c r="B265" t="s">
        <v>44</v>
      </c>
      <c r="C265" t="s">
        <v>45</v>
      </c>
      <c r="D265" t="s">
        <v>46</v>
      </c>
      <c r="E265" t="s">
        <v>42</v>
      </c>
      <c r="F265">
        <v>39677</v>
      </c>
      <c r="G265">
        <v>2670</v>
      </c>
      <c r="H265">
        <v>517.49</v>
      </c>
      <c r="I265">
        <v>211</v>
      </c>
      <c r="J265" t="s">
        <v>47</v>
      </c>
      <c r="K265" t="s">
        <v>40</v>
      </c>
    </row>
    <row r="266" spans="1:11" x14ac:dyDescent="0.2">
      <c r="A266" s="1">
        <v>46052</v>
      </c>
      <c r="B266" t="s">
        <v>44</v>
      </c>
      <c r="C266" t="s">
        <v>48</v>
      </c>
      <c r="D266" t="s">
        <v>49</v>
      </c>
      <c r="E266" t="s">
        <v>50</v>
      </c>
      <c r="F266">
        <v>43573</v>
      </c>
      <c r="G266">
        <v>2404</v>
      </c>
      <c r="H266">
        <v>601.36</v>
      </c>
      <c r="I266">
        <v>214</v>
      </c>
      <c r="J266" t="s">
        <v>51</v>
      </c>
      <c r="K266" t="s">
        <v>40</v>
      </c>
    </row>
    <row r="267" spans="1:11" x14ac:dyDescent="0.2">
      <c r="A267" s="1">
        <v>46052</v>
      </c>
      <c r="B267" t="s">
        <v>52</v>
      </c>
      <c r="C267" t="s">
        <v>53</v>
      </c>
      <c r="D267" t="s">
        <v>54</v>
      </c>
      <c r="E267" t="s">
        <v>54</v>
      </c>
      <c r="F267">
        <v>162559</v>
      </c>
      <c r="G267">
        <v>2302</v>
      </c>
      <c r="H267">
        <v>460.6</v>
      </c>
      <c r="I267">
        <v>184</v>
      </c>
      <c r="J267" t="s">
        <v>54</v>
      </c>
      <c r="K267" t="s">
        <v>40</v>
      </c>
    </row>
    <row r="268" spans="1:11" x14ac:dyDescent="0.2">
      <c r="A268" s="1">
        <v>46052</v>
      </c>
      <c r="B268" t="s">
        <v>52</v>
      </c>
      <c r="C268" t="s">
        <v>55</v>
      </c>
      <c r="D268" t="s">
        <v>54</v>
      </c>
      <c r="E268" t="s">
        <v>54</v>
      </c>
      <c r="F268">
        <v>128086</v>
      </c>
      <c r="G268">
        <v>1848</v>
      </c>
      <c r="H268">
        <v>502.88</v>
      </c>
      <c r="I268">
        <v>111</v>
      </c>
      <c r="J268" t="s">
        <v>54</v>
      </c>
      <c r="K268" t="s">
        <v>40</v>
      </c>
    </row>
    <row r="269" spans="1:11" x14ac:dyDescent="0.2">
      <c r="A269" s="1">
        <v>46052</v>
      </c>
      <c r="B269" t="s">
        <v>56</v>
      </c>
      <c r="C269" t="s">
        <v>57</v>
      </c>
      <c r="D269" t="s">
        <v>58</v>
      </c>
      <c r="E269" t="s">
        <v>42</v>
      </c>
      <c r="F269">
        <v>21653</v>
      </c>
      <c r="G269">
        <v>1301</v>
      </c>
      <c r="H269">
        <v>324.51</v>
      </c>
      <c r="I269">
        <v>88</v>
      </c>
      <c r="J269" t="s">
        <v>43</v>
      </c>
      <c r="K269" t="s">
        <v>40</v>
      </c>
    </row>
    <row r="270" spans="1:11" x14ac:dyDescent="0.2">
      <c r="A270" s="1">
        <v>46052</v>
      </c>
      <c r="B270" t="s">
        <v>56</v>
      </c>
      <c r="C270" t="s">
        <v>57</v>
      </c>
      <c r="D270" t="s">
        <v>59</v>
      </c>
      <c r="E270" t="s">
        <v>38</v>
      </c>
      <c r="F270">
        <v>17563</v>
      </c>
      <c r="G270">
        <v>1163</v>
      </c>
      <c r="H270">
        <v>274.73</v>
      </c>
      <c r="I270">
        <v>91</v>
      </c>
      <c r="J270" t="s">
        <v>43</v>
      </c>
      <c r="K270" t="s">
        <v>40</v>
      </c>
    </row>
    <row r="271" spans="1:11" x14ac:dyDescent="0.2">
      <c r="A271" s="1">
        <v>46052</v>
      </c>
      <c r="B271" t="s">
        <v>60</v>
      </c>
      <c r="C271" t="s">
        <v>61</v>
      </c>
      <c r="D271" t="s">
        <v>62</v>
      </c>
      <c r="E271" t="s">
        <v>42</v>
      </c>
      <c r="F271">
        <v>37359</v>
      </c>
      <c r="G271">
        <v>2397</v>
      </c>
      <c r="H271">
        <v>645.72</v>
      </c>
      <c r="I271">
        <v>183</v>
      </c>
      <c r="J271" t="s">
        <v>47</v>
      </c>
      <c r="K271" t="s">
        <v>40</v>
      </c>
    </row>
    <row r="272" spans="1:11" x14ac:dyDescent="0.2">
      <c r="A272" s="1">
        <v>46053</v>
      </c>
      <c r="B272" t="s">
        <v>35</v>
      </c>
      <c r="C272" t="s">
        <v>36</v>
      </c>
      <c r="D272" t="s">
        <v>37</v>
      </c>
      <c r="E272" t="s">
        <v>38</v>
      </c>
      <c r="F272">
        <v>52753</v>
      </c>
      <c r="G272">
        <v>3555</v>
      </c>
      <c r="H272">
        <v>825.73</v>
      </c>
      <c r="I272">
        <v>199</v>
      </c>
      <c r="J272" t="s">
        <v>39</v>
      </c>
      <c r="K272" t="s">
        <v>40</v>
      </c>
    </row>
    <row r="273" spans="1:11" x14ac:dyDescent="0.2">
      <c r="A273" s="1">
        <v>46053</v>
      </c>
      <c r="B273" t="s">
        <v>35</v>
      </c>
      <c r="C273" t="s">
        <v>36</v>
      </c>
      <c r="D273" t="s">
        <v>41</v>
      </c>
      <c r="E273" t="s">
        <v>42</v>
      </c>
      <c r="F273">
        <v>27333</v>
      </c>
      <c r="G273">
        <v>1346</v>
      </c>
      <c r="H273">
        <v>249.9</v>
      </c>
      <c r="I273">
        <v>88</v>
      </c>
      <c r="J273" t="s">
        <v>43</v>
      </c>
      <c r="K273" t="s">
        <v>40</v>
      </c>
    </row>
    <row r="274" spans="1:11" x14ac:dyDescent="0.2">
      <c r="A274" s="1">
        <v>46053</v>
      </c>
      <c r="B274" t="s">
        <v>44</v>
      </c>
      <c r="C274" t="s">
        <v>45</v>
      </c>
      <c r="D274" t="s">
        <v>46</v>
      </c>
      <c r="E274" t="s">
        <v>42</v>
      </c>
      <c r="F274">
        <v>28765</v>
      </c>
      <c r="G274">
        <v>2059</v>
      </c>
      <c r="H274">
        <v>511.33</v>
      </c>
      <c r="I274">
        <v>125</v>
      </c>
      <c r="J274" t="s">
        <v>47</v>
      </c>
      <c r="K274" t="s">
        <v>40</v>
      </c>
    </row>
    <row r="275" spans="1:11" x14ac:dyDescent="0.2">
      <c r="A275" s="1">
        <v>46053</v>
      </c>
      <c r="B275" t="s">
        <v>44</v>
      </c>
      <c r="C275" t="s">
        <v>48</v>
      </c>
      <c r="D275" t="s">
        <v>49</v>
      </c>
      <c r="E275" t="s">
        <v>50</v>
      </c>
      <c r="F275">
        <v>19691</v>
      </c>
      <c r="G275">
        <v>1271</v>
      </c>
      <c r="H275">
        <v>266.29000000000002</v>
      </c>
      <c r="I275">
        <v>108</v>
      </c>
      <c r="J275" t="s">
        <v>51</v>
      </c>
      <c r="K275" t="s">
        <v>40</v>
      </c>
    </row>
    <row r="276" spans="1:11" x14ac:dyDescent="0.2">
      <c r="A276" s="1">
        <v>46053</v>
      </c>
      <c r="B276" t="s">
        <v>52</v>
      </c>
      <c r="C276" t="s">
        <v>53</v>
      </c>
      <c r="D276" t="s">
        <v>54</v>
      </c>
      <c r="E276" t="s">
        <v>54</v>
      </c>
      <c r="F276">
        <v>131927</v>
      </c>
      <c r="G276">
        <v>1687</v>
      </c>
      <c r="H276">
        <v>380.01</v>
      </c>
      <c r="I276">
        <v>134</v>
      </c>
      <c r="J276" t="s">
        <v>54</v>
      </c>
      <c r="K276" t="s">
        <v>40</v>
      </c>
    </row>
    <row r="277" spans="1:11" x14ac:dyDescent="0.2">
      <c r="A277" s="1">
        <v>46053</v>
      </c>
      <c r="B277" t="s">
        <v>52</v>
      </c>
      <c r="C277" t="s">
        <v>55</v>
      </c>
      <c r="D277" t="s">
        <v>54</v>
      </c>
      <c r="E277" t="s">
        <v>54</v>
      </c>
      <c r="F277">
        <v>229105</v>
      </c>
      <c r="G277">
        <v>3510</v>
      </c>
      <c r="H277">
        <v>892.39</v>
      </c>
      <c r="I277">
        <v>271</v>
      </c>
      <c r="J277" t="s">
        <v>54</v>
      </c>
      <c r="K277" t="s">
        <v>40</v>
      </c>
    </row>
    <row r="278" spans="1:11" x14ac:dyDescent="0.2">
      <c r="A278" s="1">
        <v>46053</v>
      </c>
      <c r="B278" t="s">
        <v>56</v>
      </c>
      <c r="C278" t="s">
        <v>57</v>
      </c>
      <c r="D278" t="s">
        <v>58</v>
      </c>
      <c r="E278" t="s">
        <v>42</v>
      </c>
      <c r="F278">
        <v>35799</v>
      </c>
      <c r="G278">
        <v>2157</v>
      </c>
      <c r="H278">
        <v>560.14</v>
      </c>
      <c r="I278">
        <v>178</v>
      </c>
      <c r="J278" t="s">
        <v>43</v>
      </c>
      <c r="K278" t="s">
        <v>40</v>
      </c>
    </row>
    <row r="279" spans="1:11" x14ac:dyDescent="0.2">
      <c r="A279" s="1">
        <v>46053</v>
      </c>
      <c r="B279" t="s">
        <v>56</v>
      </c>
      <c r="C279" t="s">
        <v>57</v>
      </c>
      <c r="D279" t="s">
        <v>59</v>
      </c>
      <c r="E279" t="s">
        <v>38</v>
      </c>
      <c r="F279">
        <v>18309</v>
      </c>
      <c r="G279">
        <v>1285</v>
      </c>
      <c r="H279">
        <v>281.10000000000002</v>
      </c>
      <c r="I279">
        <v>119</v>
      </c>
      <c r="J279" t="s">
        <v>43</v>
      </c>
      <c r="K279" t="s">
        <v>40</v>
      </c>
    </row>
    <row r="280" spans="1:11" x14ac:dyDescent="0.2">
      <c r="A280" s="1">
        <v>46053</v>
      </c>
      <c r="B280" t="s">
        <v>60</v>
      </c>
      <c r="C280" t="s">
        <v>61</v>
      </c>
      <c r="D280" t="s">
        <v>62</v>
      </c>
      <c r="E280" t="s">
        <v>42</v>
      </c>
      <c r="F280">
        <v>42686</v>
      </c>
      <c r="G280">
        <v>3038</v>
      </c>
      <c r="H280">
        <v>563.19000000000005</v>
      </c>
      <c r="I280">
        <v>257</v>
      </c>
      <c r="J280" t="s">
        <v>47</v>
      </c>
      <c r="K280" t="s">
        <v>40</v>
      </c>
    </row>
    <row r="281" spans="1:11" x14ac:dyDescent="0.2">
      <c r="A281" s="1">
        <v>46054</v>
      </c>
      <c r="B281" t="s">
        <v>35</v>
      </c>
      <c r="C281" t="s">
        <v>36</v>
      </c>
      <c r="D281" t="s">
        <v>37</v>
      </c>
      <c r="E281" t="s">
        <v>38</v>
      </c>
      <c r="F281">
        <v>32632</v>
      </c>
      <c r="G281">
        <v>2052</v>
      </c>
      <c r="H281">
        <v>529.61</v>
      </c>
      <c r="I281">
        <v>184</v>
      </c>
      <c r="J281" t="s">
        <v>39</v>
      </c>
      <c r="K281" t="s">
        <v>40</v>
      </c>
    </row>
    <row r="282" spans="1:11" x14ac:dyDescent="0.2">
      <c r="A282" s="1">
        <v>46054</v>
      </c>
      <c r="B282" t="s">
        <v>35</v>
      </c>
      <c r="C282" t="s">
        <v>36</v>
      </c>
      <c r="D282" t="s">
        <v>41</v>
      </c>
      <c r="E282" t="s">
        <v>42</v>
      </c>
      <c r="F282">
        <v>34693</v>
      </c>
      <c r="G282">
        <v>2424</v>
      </c>
      <c r="H282">
        <v>607.12</v>
      </c>
      <c r="I282">
        <v>196</v>
      </c>
      <c r="J282" t="s">
        <v>43</v>
      </c>
      <c r="K282" t="s">
        <v>40</v>
      </c>
    </row>
    <row r="283" spans="1:11" x14ac:dyDescent="0.2">
      <c r="A283" s="1">
        <v>46054</v>
      </c>
      <c r="B283" t="s">
        <v>44</v>
      </c>
      <c r="C283" t="s">
        <v>45</v>
      </c>
      <c r="D283" t="s">
        <v>46</v>
      </c>
      <c r="E283" t="s">
        <v>42</v>
      </c>
      <c r="F283">
        <v>32024</v>
      </c>
      <c r="G283">
        <v>2133</v>
      </c>
      <c r="H283">
        <v>589.62</v>
      </c>
      <c r="I283">
        <v>142</v>
      </c>
      <c r="J283" t="s">
        <v>47</v>
      </c>
      <c r="K283" t="s">
        <v>40</v>
      </c>
    </row>
    <row r="284" spans="1:11" x14ac:dyDescent="0.2">
      <c r="A284" s="1">
        <v>46054</v>
      </c>
      <c r="B284" t="s">
        <v>44</v>
      </c>
      <c r="C284" t="s">
        <v>48</v>
      </c>
      <c r="D284" t="s">
        <v>49</v>
      </c>
      <c r="E284" t="s">
        <v>50</v>
      </c>
      <c r="F284">
        <v>30277</v>
      </c>
      <c r="G284">
        <v>2167</v>
      </c>
      <c r="H284">
        <v>406.2</v>
      </c>
      <c r="I284">
        <v>202</v>
      </c>
      <c r="J284" t="s">
        <v>51</v>
      </c>
      <c r="K284" t="s">
        <v>40</v>
      </c>
    </row>
    <row r="285" spans="1:11" x14ac:dyDescent="0.2">
      <c r="A285" s="1">
        <v>46054</v>
      </c>
      <c r="B285" t="s">
        <v>52</v>
      </c>
      <c r="C285" t="s">
        <v>53</v>
      </c>
      <c r="D285" t="s">
        <v>54</v>
      </c>
      <c r="E285" t="s">
        <v>54</v>
      </c>
      <c r="F285">
        <v>220290</v>
      </c>
      <c r="G285">
        <v>2554</v>
      </c>
      <c r="H285">
        <v>470.1</v>
      </c>
      <c r="I285">
        <v>168</v>
      </c>
      <c r="J285" t="s">
        <v>54</v>
      </c>
      <c r="K285" t="s">
        <v>40</v>
      </c>
    </row>
    <row r="286" spans="1:11" x14ac:dyDescent="0.2">
      <c r="A286" s="1">
        <v>46054</v>
      </c>
      <c r="B286" t="s">
        <v>52</v>
      </c>
      <c r="C286" t="s">
        <v>55</v>
      </c>
      <c r="D286" t="s">
        <v>54</v>
      </c>
      <c r="E286" t="s">
        <v>54</v>
      </c>
      <c r="F286">
        <v>174487</v>
      </c>
      <c r="G286">
        <v>2032</v>
      </c>
      <c r="H286">
        <v>484.43</v>
      </c>
      <c r="I286">
        <v>132</v>
      </c>
      <c r="J286" t="s">
        <v>54</v>
      </c>
      <c r="K286" t="s">
        <v>40</v>
      </c>
    </row>
    <row r="287" spans="1:11" x14ac:dyDescent="0.2">
      <c r="A287" s="1">
        <v>46054</v>
      </c>
      <c r="B287" t="s">
        <v>56</v>
      </c>
      <c r="C287" t="s">
        <v>57</v>
      </c>
      <c r="D287" t="s">
        <v>58</v>
      </c>
      <c r="E287" t="s">
        <v>42</v>
      </c>
      <c r="F287">
        <v>44328</v>
      </c>
      <c r="G287">
        <v>2623</v>
      </c>
      <c r="H287">
        <v>718.04</v>
      </c>
      <c r="I287">
        <v>148</v>
      </c>
      <c r="J287" t="s">
        <v>43</v>
      </c>
      <c r="K287" t="s">
        <v>40</v>
      </c>
    </row>
    <row r="288" spans="1:11" x14ac:dyDescent="0.2">
      <c r="A288" s="1">
        <v>46054</v>
      </c>
      <c r="B288" t="s">
        <v>56</v>
      </c>
      <c r="C288" t="s">
        <v>57</v>
      </c>
      <c r="D288" t="s">
        <v>59</v>
      </c>
      <c r="E288" t="s">
        <v>38</v>
      </c>
      <c r="F288">
        <v>43600</v>
      </c>
      <c r="G288">
        <v>2717</v>
      </c>
      <c r="H288">
        <v>699.26</v>
      </c>
      <c r="I288">
        <v>217</v>
      </c>
      <c r="J288" t="s">
        <v>43</v>
      </c>
      <c r="K288" t="s">
        <v>40</v>
      </c>
    </row>
    <row r="289" spans="1:11" x14ac:dyDescent="0.2">
      <c r="A289" s="1">
        <v>46054</v>
      </c>
      <c r="B289" t="s">
        <v>63</v>
      </c>
      <c r="C289" t="s">
        <v>64</v>
      </c>
      <c r="D289" t="s">
        <v>65</v>
      </c>
      <c r="E289" t="s">
        <v>38</v>
      </c>
      <c r="F289">
        <v>41630</v>
      </c>
      <c r="G289">
        <v>2488</v>
      </c>
      <c r="H289">
        <v>590.32000000000005</v>
      </c>
      <c r="I289">
        <v>172</v>
      </c>
      <c r="J289" t="s">
        <v>43</v>
      </c>
      <c r="K289" t="s">
        <v>40</v>
      </c>
    </row>
    <row r="290" spans="1:11" x14ac:dyDescent="0.2">
      <c r="A290" s="1">
        <v>46054</v>
      </c>
      <c r="B290" t="s">
        <v>63</v>
      </c>
      <c r="C290" t="s">
        <v>64</v>
      </c>
      <c r="D290" t="s">
        <v>66</v>
      </c>
      <c r="E290" t="s">
        <v>42</v>
      </c>
      <c r="F290">
        <v>43163</v>
      </c>
      <c r="G290">
        <v>2616</v>
      </c>
      <c r="H290">
        <v>721.23</v>
      </c>
      <c r="I290">
        <v>198</v>
      </c>
      <c r="J290" t="s">
        <v>47</v>
      </c>
      <c r="K290" t="s">
        <v>40</v>
      </c>
    </row>
    <row r="291" spans="1:11" x14ac:dyDescent="0.2">
      <c r="A291" s="1">
        <v>46055</v>
      </c>
      <c r="B291" t="s">
        <v>35</v>
      </c>
      <c r="C291" t="s">
        <v>36</v>
      </c>
      <c r="D291" t="s">
        <v>37</v>
      </c>
      <c r="E291" t="s">
        <v>38</v>
      </c>
      <c r="F291">
        <v>43104</v>
      </c>
      <c r="G291">
        <v>2233</v>
      </c>
      <c r="H291">
        <v>523.21</v>
      </c>
      <c r="I291">
        <v>158</v>
      </c>
      <c r="J291" t="s">
        <v>39</v>
      </c>
      <c r="K291" t="s">
        <v>40</v>
      </c>
    </row>
    <row r="292" spans="1:11" x14ac:dyDescent="0.2">
      <c r="A292" s="1">
        <v>46055</v>
      </c>
      <c r="B292" t="s">
        <v>35</v>
      </c>
      <c r="C292" t="s">
        <v>36</v>
      </c>
      <c r="D292" t="s">
        <v>41</v>
      </c>
      <c r="E292" t="s">
        <v>42</v>
      </c>
      <c r="F292">
        <v>32898</v>
      </c>
      <c r="G292">
        <v>1753</v>
      </c>
      <c r="H292">
        <v>352.94</v>
      </c>
      <c r="I292">
        <v>119</v>
      </c>
      <c r="J292" t="s">
        <v>43</v>
      </c>
      <c r="K292" t="s">
        <v>40</v>
      </c>
    </row>
    <row r="293" spans="1:11" x14ac:dyDescent="0.2">
      <c r="A293" s="1">
        <v>46055</v>
      </c>
      <c r="B293" t="s">
        <v>44</v>
      </c>
      <c r="C293" t="s">
        <v>45</v>
      </c>
      <c r="D293" t="s">
        <v>46</v>
      </c>
      <c r="E293" t="s">
        <v>42</v>
      </c>
      <c r="F293">
        <v>33645</v>
      </c>
      <c r="G293">
        <v>1852</v>
      </c>
      <c r="H293">
        <v>509.36</v>
      </c>
      <c r="I293">
        <v>147</v>
      </c>
      <c r="J293" t="s">
        <v>47</v>
      </c>
      <c r="K293" t="s">
        <v>40</v>
      </c>
    </row>
    <row r="294" spans="1:11" x14ac:dyDescent="0.2">
      <c r="A294" s="1">
        <v>46055</v>
      </c>
      <c r="B294" t="s">
        <v>44</v>
      </c>
      <c r="C294" t="s">
        <v>48</v>
      </c>
      <c r="D294" t="s">
        <v>49</v>
      </c>
      <c r="E294" t="s">
        <v>50</v>
      </c>
      <c r="F294">
        <v>41120</v>
      </c>
      <c r="G294">
        <v>2957</v>
      </c>
      <c r="H294">
        <v>775.82</v>
      </c>
      <c r="I294">
        <v>278</v>
      </c>
      <c r="J294" t="s">
        <v>51</v>
      </c>
      <c r="K294" t="s">
        <v>40</v>
      </c>
    </row>
    <row r="295" spans="1:11" x14ac:dyDescent="0.2">
      <c r="A295" s="1">
        <v>46055</v>
      </c>
      <c r="B295" t="s">
        <v>52</v>
      </c>
      <c r="C295" t="s">
        <v>53</v>
      </c>
      <c r="D295" t="s">
        <v>54</v>
      </c>
      <c r="E295" t="s">
        <v>54</v>
      </c>
      <c r="F295">
        <v>91153</v>
      </c>
      <c r="G295">
        <v>1054</v>
      </c>
      <c r="H295">
        <v>226.19</v>
      </c>
      <c r="I295">
        <v>68</v>
      </c>
      <c r="J295" t="s">
        <v>54</v>
      </c>
      <c r="K295" t="s">
        <v>40</v>
      </c>
    </row>
    <row r="296" spans="1:11" x14ac:dyDescent="0.2">
      <c r="A296" s="1">
        <v>46055</v>
      </c>
      <c r="B296" t="s">
        <v>52</v>
      </c>
      <c r="C296" t="s">
        <v>55</v>
      </c>
      <c r="D296" t="s">
        <v>54</v>
      </c>
      <c r="E296" t="s">
        <v>54</v>
      </c>
      <c r="F296">
        <v>121958</v>
      </c>
      <c r="G296">
        <v>1926</v>
      </c>
      <c r="H296">
        <v>478.14</v>
      </c>
      <c r="I296">
        <v>130</v>
      </c>
      <c r="J296" t="s">
        <v>54</v>
      </c>
      <c r="K296" t="s">
        <v>40</v>
      </c>
    </row>
    <row r="297" spans="1:11" x14ac:dyDescent="0.2">
      <c r="A297" s="1">
        <v>46055</v>
      </c>
      <c r="B297" t="s">
        <v>56</v>
      </c>
      <c r="C297" t="s">
        <v>57</v>
      </c>
      <c r="D297" t="s">
        <v>58</v>
      </c>
      <c r="E297" t="s">
        <v>42</v>
      </c>
      <c r="F297">
        <v>17430</v>
      </c>
      <c r="G297">
        <v>998</v>
      </c>
      <c r="H297">
        <v>233.56</v>
      </c>
      <c r="I297">
        <v>66</v>
      </c>
      <c r="J297" t="s">
        <v>43</v>
      </c>
      <c r="K297" t="s">
        <v>40</v>
      </c>
    </row>
    <row r="298" spans="1:11" x14ac:dyDescent="0.2">
      <c r="A298" s="1">
        <v>46055</v>
      </c>
      <c r="B298" t="s">
        <v>56</v>
      </c>
      <c r="C298" t="s">
        <v>57</v>
      </c>
      <c r="D298" t="s">
        <v>59</v>
      </c>
      <c r="E298" t="s">
        <v>38</v>
      </c>
      <c r="F298">
        <v>43873</v>
      </c>
      <c r="G298">
        <v>2971</v>
      </c>
      <c r="H298">
        <v>646.17999999999995</v>
      </c>
      <c r="I298">
        <v>258</v>
      </c>
      <c r="J298" t="s">
        <v>43</v>
      </c>
      <c r="K298" t="s">
        <v>40</v>
      </c>
    </row>
    <row r="299" spans="1:11" x14ac:dyDescent="0.2">
      <c r="A299" s="1">
        <v>46055</v>
      </c>
      <c r="B299" t="s">
        <v>63</v>
      </c>
      <c r="C299" t="s">
        <v>64</v>
      </c>
      <c r="D299" t="s">
        <v>65</v>
      </c>
      <c r="E299" t="s">
        <v>38</v>
      </c>
      <c r="F299">
        <v>39200</v>
      </c>
      <c r="G299">
        <v>2339</v>
      </c>
      <c r="H299">
        <v>490.36</v>
      </c>
      <c r="I299">
        <v>189</v>
      </c>
      <c r="J299" t="s">
        <v>43</v>
      </c>
      <c r="K299" t="s">
        <v>40</v>
      </c>
    </row>
    <row r="300" spans="1:11" x14ac:dyDescent="0.2">
      <c r="A300" s="1">
        <v>46055</v>
      </c>
      <c r="B300" t="s">
        <v>63</v>
      </c>
      <c r="C300" t="s">
        <v>64</v>
      </c>
      <c r="D300" t="s">
        <v>66</v>
      </c>
      <c r="E300" t="s">
        <v>42</v>
      </c>
      <c r="F300">
        <v>30992</v>
      </c>
      <c r="G300">
        <v>1869</v>
      </c>
      <c r="H300">
        <v>513.64</v>
      </c>
      <c r="I300">
        <v>115</v>
      </c>
      <c r="J300" t="s">
        <v>47</v>
      </c>
      <c r="K300" t="s">
        <v>40</v>
      </c>
    </row>
    <row r="301" spans="1:11" x14ac:dyDescent="0.2">
      <c r="A301" s="1">
        <v>46056</v>
      </c>
      <c r="B301" t="s">
        <v>35</v>
      </c>
      <c r="C301" t="s">
        <v>36</v>
      </c>
      <c r="D301" t="s">
        <v>37</v>
      </c>
      <c r="E301" t="s">
        <v>38</v>
      </c>
      <c r="F301">
        <v>44944</v>
      </c>
      <c r="G301">
        <v>2165</v>
      </c>
      <c r="H301">
        <v>403.87</v>
      </c>
      <c r="I301">
        <v>177</v>
      </c>
      <c r="J301" t="s">
        <v>39</v>
      </c>
      <c r="K301" t="s">
        <v>40</v>
      </c>
    </row>
    <row r="302" spans="1:11" x14ac:dyDescent="0.2">
      <c r="A302" s="1">
        <v>46056</v>
      </c>
      <c r="B302" t="s">
        <v>35</v>
      </c>
      <c r="C302" t="s">
        <v>36</v>
      </c>
      <c r="D302" t="s">
        <v>41</v>
      </c>
      <c r="E302" t="s">
        <v>42</v>
      </c>
      <c r="F302">
        <v>23970</v>
      </c>
      <c r="G302">
        <v>1648</v>
      </c>
      <c r="H302">
        <v>366.55</v>
      </c>
      <c r="I302">
        <v>97</v>
      </c>
      <c r="J302" t="s">
        <v>43</v>
      </c>
      <c r="K302" t="s">
        <v>40</v>
      </c>
    </row>
    <row r="303" spans="1:11" x14ac:dyDescent="0.2">
      <c r="A303" s="1">
        <v>46056</v>
      </c>
      <c r="B303" t="s">
        <v>44</v>
      </c>
      <c r="C303" t="s">
        <v>45</v>
      </c>
      <c r="D303" t="s">
        <v>46</v>
      </c>
      <c r="E303" t="s">
        <v>42</v>
      </c>
      <c r="F303">
        <v>38523</v>
      </c>
      <c r="G303">
        <v>2446</v>
      </c>
      <c r="H303">
        <v>670.14</v>
      </c>
      <c r="I303">
        <v>207</v>
      </c>
      <c r="J303" t="s">
        <v>47</v>
      </c>
      <c r="K303" t="s">
        <v>40</v>
      </c>
    </row>
    <row r="304" spans="1:11" x14ac:dyDescent="0.2">
      <c r="A304" s="1">
        <v>46056</v>
      </c>
      <c r="B304" t="s">
        <v>44</v>
      </c>
      <c r="C304" t="s">
        <v>48</v>
      </c>
      <c r="D304" t="s">
        <v>49</v>
      </c>
      <c r="E304" t="s">
        <v>50</v>
      </c>
      <c r="F304">
        <v>20076</v>
      </c>
      <c r="G304">
        <v>975</v>
      </c>
      <c r="H304">
        <v>245.39</v>
      </c>
      <c r="I304">
        <v>55</v>
      </c>
      <c r="J304" t="s">
        <v>51</v>
      </c>
      <c r="K304" t="s">
        <v>40</v>
      </c>
    </row>
    <row r="305" spans="1:11" x14ac:dyDescent="0.2">
      <c r="A305" s="1">
        <v>46056</v>
      </c>
      <c r="B305" t="s">
        <v>52</v>
      </c>
      <c r="C305" t="s">
        <v>53</v>
      </c>
      <c r="D305" t="s">
        <v>54</v>
      </c>
      <c r="E305" t="s">
        <v>54</v>
      </c>
      <c r="F305">
        <v>99600</v>
      </c>
      <c r="G305">
        <v>1122</v>
      </c>
      <c r="H305">
        <v>291.07</v>
      </c>
      <c r="I305">
        <v>86</v>
      </c>
      <c r="J305" t="s">
        <v>54</v>
      </c>
      <c r="K305" t="s">
        <v>40</v>
      </c>
    </row>
    <row r="306" spans="1:11" x14ac:dyDescent="0.2">
      <c r="A306" s="1">
        <v>46056</v>
      </c>
      <c r="B306" t="s">
        <v>52</v>
      </c>
      <c r="C306" t="s">
        <v>55</v>
      </c>
      <c r="D306" t="s">
        <v>54</v>
      </c>
      <c r="E306" t="s">
        <v>54</v>
      </c>
      <c r="F306">
        <v>165361</v>
      </c>
      <c r="G306">
        <v>2498</v>
      </c>
      <c r="H306">
        <v>677.2</v>
      </c>
      <c r="I306">
        <v>178</v>
      </c>
      <c r="J306" t="s">
        <v>54</v>
      </c>
      <c r="K306" t="s">
        <v>40</v>
      </c>
    </row>
    <row r="307" spans="1:11" x14ac:dyDescent="0.2">
      <c r="A307" s="1">
        <v>46056</v>
      </c>
      <c r="B307" t="s">
        <v>56</v>
      </c>
      <c r="C307" t="s">
        <v>57</v>
      </c>
      <c r="D307" t="s">
        <v>58</v>
      </c>
      <c r="E307" t="s">
        <v>42</v>
      </c>
      <c r="F307">
        <v>39564</v>
      </c>
      <c r="G307">
        <v>2497</v>
      </c>
      <c r="H307">
        <v>557.59</v>
      </c>
      <c r="I307">
        <v>139</v>
      </c>
      <c r="J307" t="s">
        <v>43</v>
      </c>
      <c r="K307" t="s">
        <v>40</v>
      </c>
    </row>
    <row r="308" spans="1:11" x14ac:dyDescent="0.2">
      <c r="A308" s="1">
        <v>46056</v>
      </c>
      <c r="B308" t="s">
        <v>56</v>
      </c>
      <c r="C308" t="s">
        <v>57</v>
      </c>
      <c r="D308" t="s">
        <v>59</v>
      </c>
      <c r="E308" t="s">
        <v>38</v>
      </c>
      <c r="F308">
        <v>17753</v>
      </c>
      <c r="G308">
        <v>1080</v>
      </c>
      <c r="H308">
        <v>263.67</v>
      </c>
      <c r="I308">
        <v>86</v>
      </c>
      <c r="J308" t="s">
        <v>43</v>
      </c>
      <c r="K308" t="s">
        <v>40</v>
      </c>
    </row>
    <row r="309" spans="1:11" x14ac:dyDescent="0.2">
      <c r="A309" s="1">
        <v>46056</v>
      </c>
      <c r="B309" t="s">
        <v>63</v>
      </c>
      <c r="C309" t="s">
        <v>64</v>
      </c>
      <c r="D309" t="s">
        <v>65</v>
      </c>
      <c r="E309" t="s">
        <v>38</v>
      </c>
      <c r="F309">
        <v>12982</v>
      </c>
      <c r="G309">
        <v>841</v>
      </c>
      <c r="H309">
        <v>157.47999999999999</v>
      </c>
      <c r="I309">
        <v>77</v>
      </c>
      <c r="J309" t="s">
        <v>43</v>
      </c>
      <c r="K309" t="s">
        <v>40</v>
      </c>
    </row>
    <row r="310" spans="1:11" x14ac:dyDescent="0.2">
      <c r="A310" s="1">
        <v>46056</v>
      </c>
      <c r="B310" t="s">
        <v>63</v>
      </c>
      <c r="C310" t="s">
        <v>64</v>
      </c>
      <c r="D310" t="s">
        <v>66</v>
      </c>
      <c r="E310" t="s">
        <v>42</v>
      </c>
      <c r="F310">
        <v>16955</v>
      </c>
      <c r="G310">
        <v>931</v>
      </c>
      <c r="H310">
        <v>231.44</v>
      </c>
      <c r="I310">
        <v>73</v>
      </c>
      <c r="J310" t="s">
        <v>47</v>
      </c>
      <c r="K310" t="s">
        <v>40</v>
      </c>
    </row>
    <row r="311" spans="1:11" x14ac:dyDescent="0.2">
      <c r="A311" s="1">
        <v>46057</v>
      </c>
      <c r="B311" t="s">
        <v>35</v>
      </c>
      <c r="C311" t="s">
        <v>36</v>
      </c>
      <c r="D311" t="s">
        <v>37</v>
      </c>
      <c r="E311" t="s">
        <v>38</v>
      </c>
      <c r="F311">
        <v>28449</v>
      </c>
      <c r="G311">
        <v>1888</v>
      </c>
      <c r="H311">
        <v>422.47</v>
      </c>
      <c r="I311">
        <v>133</v>
      </c>
      <c r="J311" t="s">
        <v>39</v>
      </c>
      <c r="K311" t="s">
        <v>40</v>
      </c>
    </row>
    <row r="312" spans="1:11" x14ac:dyDescent="0.2">
      <c r="A312" s="1">
        <v>46057</v>
      </c>
      <c r="B312" t="s">
        <v>35</v>
      </c>
      <c r="C312" t="s">
        <v>36</v>
      </c>
      <c r="D312" t="s">
        <v>41</v>
      </c>
      <c r="E312" t="s">
        <v>42</v>
      </c>
      <c r="F312">
        <v>12019</v>
      </c>
      <c r="G312">
        <v>713</v>
      </c>
      <c r="H312">
        <v>166.38</v>
      </c>
      <c r="I312">
        <v>43</v>
      </c>
      <c r="J312" t="s">
        <v>43</v>
      </c>
      <c r="K312" t="s">
        <v>40</v>
      </c>
    </row>
    <row r="313" spans="1:11" x14ac:dyDescent="0.2">
      <c r="A313" s="1">
        <v>46057</v>
      </c>
      <c r="B313" t="s">
        <v>44</v>
      </c>
      <c r="C313" t="s">
        <v>45</v>
      </c>
      <c r="D313" t="s">
        <v>46</v>
      </c>
      <c r="E313" t="s">
        <v>42</v>
      </c>
      <c r="F313">
        <v>35624</v>
      </c>
      <c r="G313">
        <v>2391</v>
      </c>
      <c r="H313">
        <v>633.49</v>
      </c>
      <c r="I313">
        <v>159</v>
      </c>
      <c r="J313" t="s">
        <v>47</v>
      </c>
      <c r="K313" t="s">
        <v>40</v>
      </c>
    </row>
    <row r="314" spans="1:11" x14ac:dyDescent="0.2">
      <c r="A314" s="1">
        <v>46057</v>
      </c>
      <c r="B314" t="s">
        <v>44</v>
      </c>
      <c r="C314" t="s">
        <v>48</v>
      </c>
      <c r="D314" t="s">
        <v>49</v>
      </c>
      <c r="E314" t="s">
        <v>50</v>
      </c>
      <c r="F314">
        <v>19442</v>
      </c>
      <c r="G314">
        <v>1072</v>
      </c>
      <c r="H314">
        <v>288.04000000000002</v>
      </c>
      <c r="I314">
        <v>100</v>
      </c>
      <c r="J314" t="s">
        <v>51</v>
      </c>
      <c r="K314" t="s">
        <v>40</v>
      </c>
    </row>
    <row r="315" spans="1:11" x14ac:dyDescent="0.2">
      <c r="A315" s="1">
        <v>46057</v>
      </c>
      <c r="B315" t="s">
        <v>52</v>
      </c>
      <c r="C315" t="s">
        <v>53</v>
      </c>
      <c r="D315" t="s">
        <v>54</v>
      </c>
      <c r="E315" t="s">
        <v>54</v>
      </c>
      <c r="F315">
        <v>138906</v>
      </c>
      <c r="G315">
        <v>2192</v>
      </c>
      <c r="H315">
        <v>397</v>
      </c>
      <c r="I315">
        <v>197</v>
      </c>
      <c r="J315" t="s">
        <v>54</v>
      </c>
      <c r="K315" t="s">
        <v>40</v>
      </c>
    </row>
    <row r="316" spans="1:11" x14ac:dyDescent="0.2">
      <c r="A316" s="1">
        <v>46057</v>
      </c>
      <c r="B316" t="s">
        <v>52</v>
      </c>
      <c r="C316" t="s">
        <v>55</v>
      </c>
      <c r="D316" t="s">
        <v>54</v>
      </c>
      <c r="E316" t="s">
        <v>54</v>
      </c>
      <c r="F316">
        <v>108530</v>
      </c>
      <c r="G316">
        <v>1260</v>
      </c>
      <c r="H316">
        <v>227.43</v>
      </c>
      <c r="I316">
        <v>99</v>
      </c>
      <c r="J316" t="s">
        <v>54</v>
      </c>
      <c r="K316" t="s">
        <v>40</v>
      </c>
    </row>
    <row r="317" spans="1:11" x14ac:dyDescent="0.2">
      <c r="A317" s="1">
        <v>46057</v>
      </c>
      <c r="B317" t="s">
        <v>56</v>
      </c>
      <c r="C317" t="s">
        <v>57</v>
      </c>
      <c r="D317" t="s">
        <v>58</v>
      </c>
      <c r="E317" t="s">
        <v>42</v>
      </c>
      <c r="F317">
        <v>15578</v>
      </c>
      <c r="G317">
        <v>861</v>
      </c>
      <c r="H317">
        <v>219.41</v>
      </c>
      <c r="I317">
        <v>78</v>
      </c>
      <c r="J317" t="s">
        <v>43</v>
      </c>
      <c r="K317" t="s">
        <v>40</v>
      </c>
    </row>
    <row r="318" spans="1:11" x14ac:dyDescent="0.2">
      <c r="A318" s="1">
        <v>46057</v>
      </c>
      <c r="B318" t="s">
        <v>56</v>
      </c>
      <c r="C318" t="s">
        <v>57</v>
      </c>
      <c r="D318" t="s">
        <v>59</v>
      </c>
      <c r="E318" t="s">
        <v>38</v>
      </c>
      <c r="F318">
        <v>32534</v>
      </c>
      <c r="G318">
        <v>1726</v>
      </c>
      <c r="H318">
        <v>466.99</v>
      </c>
      <c r="I318">
        <v>153</v>
      </c>
      <c r="J318" t="s">
        <v>43</v>
      </c>
      <c r="K318" t="s">
        <v>40</v>
      </c>
    </row>
    <row r="319" spans="1:11" x14ac:dyDescent="0.2">
      <c r="A319" s="1">
        <v>46057</v>
      </c>
      <c r="B319" t="s">
        <v>63</v>
      </c>
      <c r="C319" t="s">
        <v>64</v>
      </c>
      <c r="D319" t="s">
        <v>65</v>
      </c>
      <c r="E319" t="s">
        <v>38</v>
      </c>
      <c r="F319">
        <v>19335</v>
      </c>
      <c r="G319">
        <v>1002</v>
      </c>
      <c r="H319">
        <v>202.48</v>
      </c>
      <c r="I319">
        <v>88</v>
      </c>
      <c r="J319" t="s">
        <v>43</v>
      </c>
      <c r="K319" t="s">
        <v>40</v>
      </c>
    </row>
    <row r="320" spans="1:11" x14ac:dyDescent="0.2">
      <c r="A320" s="1">
        <v>46057</v>
      </c>
      <c r="B320" t="s">
        <v>63</v>
      </c>
      <c r="C320" t="s">
        <v>64</v>
      </c>
      <c r="D320" t="s">
        <v>66</v>
      </c>
      <c r="E320" t="s">
        <v>42</v>
      </c>
      <c r="F320">
        <v>22735</v>
      </c>
      <c r="G320">
        <v>1153</v>
      </c>
      <c r="H320">
        <v>284.89999999999998</v>
      </c>
      <c r="I320">
        <v>89</v>
      </c>
      <c r="J320" t="s">
        <v>47</v>
      </c>
      <c r="K320" t="s">
        <v>40</v>
      </c>
    </row>
    <row r="321" spans="1:11" x14ac:dyDescent="0.2">
      <c r="A321" s="1">
        <v>46058</v>
      </c>
      <c r="B321" t="s">
        <v>35</v>
      </c>
      <c r="C321" t="s">
        <v>36</v>
      </c>
      <c r="D321" t="s">
        <v>37</v>
      </c>
      <c r="E321" t="s">
        <v>38</v>
      </c>
      <c r="F321">
        <v>13564</v>
      </c>
      <c r="G321">
        <v>928</v>
      </c>
      <c r="H321">
        <v>253.56</v>
      </c>
      <c r="I321">
        <v>87</v>
      </c>
      <c r="J321" t="s">
        <v>39</v>
      </c>
      <c r="K321" t="s">
        <v>40</v>
      </c>
    </row>
    <row r="322" spans="1:11" x14ac:dyDescent="0.2">
      <c r="A322" s="1">
        <v>46058</v>
      </c>
      <c r="B322" t="s">
        <v>35</v>
      </c>
      <c r="C322" t="s">
        <v>36</v>
      </c>
      <c r="D322" t="s">
        <v>41</v>
      </c>
      <c r="E322" t="s">
        <v>42</v>
      </c>
      <c r="F322">
        <v>40229</v>
      </c>
      <c r="G322">
        <v>2553</v>
      </c>
      <c r="H322">
        <v>478.21</v>
      </c>
      <c r="I322">
        <v>209</v>
      </c>
      <c r="J322" t="s">
        <v>43</v>
      </c>
      <c r="K322" t="s">
        <v>40</v>
      </c>
    </row>
    <row r="323" spans="1:11" x14ac:dyDescent="0.2">
      <c r="A323" s="1">
        <v>46058</v>
      </c>
      <c r="B323" t="s">
        <v>44</v>
      </c>
      <c r="C323" t="s">
        <v>45</v>
      </c>
      <c r="D323" t="s">
        <v>46</v>
      </c>
      <c r="E323" t="s">
        <v>42</v>
      </c>
      <c r="F323">
        <v>26429</v>
      </c>
      <c r="G323">
        <v>1330</v>
      </c>
      <c r="H323">
        <v>335.9</v>
      </c>
      <c r="I323">
        <v>99</v>
      </c>
      <c r="J323" t="s">
        <v>47</v>
      </c>
      <c r="K323" t="s">
        <v>40</v>
      </c>
    </row>
    <row r="324" spans="1:11" x14ac:dyDescent="0.2">
      <c r="A324" s="1">
        <v>46058</v>
      </c>
      <c r="B324" t="s">
        <v>44</v>
      </c>
      <c r="C324" t="s">
        <v>48</v>
      </c>
      <c r="D324" t="s">
        <v>49</v>
      </c>
      <c r="E324" t="s">
        <v>50</v>
      </c>
      <c r="F324">
        <v>31682</v>
      </c>
      <c r="G324">
        <v>1792</v>
      </c>
      <c r="H324">
        <v>442.86</v>
      </c>
      <c r="I324">
        <v>115</v>
      </c>
      <c r="J324" t="s">
        <v>51</v>
      </c>
      <c r="K324" t="s">
        <v>40</v>
      </c>
    </row>
    <row r="325" spans="1:11" x14ac:dyDescent="0.2">
      <c r="A325" s="1">
        <v>46058</v>
      </c>
      <c r="B325" t="s">
        <v>52</v>
      </c>
      <c r="C325" t="s">
        <v>53</v>
      </c>
      <c r="D325" t="s">
        <v>54</v>
      </c>
      <c r="E325" t="s">
        <v>54</v>
      </c>
      <c r="F325">
        <v>127373</v>
      </c>
      <c r="G325">
        <v>1795</v>
      </c>
      <c r="H325">
        <v>484.67</v>
      </c>
      <c r="I325">
        <v>121</v>
      </c>
      <c r="J325" t="s">
        <v>54</v>
      </c>
      <c r="K325" t="s">
        <v>40</v>
      </c>
    </row>
    <row r="326" spans="1:11" x14ac:dyDescent="0.2">
      <c r="A326" s="1">
        <v>46058</v>
      </c>
      <c r="B326" t="s">
        <v>52</v>
      </c>
      <c r="C326" t="s">
        <v>55</v>
      </c>
      <c r="D326" t="s">
        <v>54</v>
      </c>
      <c r="E326" t="s">
        <v>54</v>
      </c>
      <c r="F326">
        <v>149067</v>
      </c>
      <c r="G326">
        <v>1884</v>
      </c>
      <c r="H326">
        <v>463.36</v>
      </c>
      <c r="I326">
        <v>155</v>
      </c>
      <c r="J326" t="s">
        <v>54</v>
      </c>
      <c r="K326" t="s">
        <v>40</v>
      </c>
    </row>
    <row r="327" spans="1:11" x14ac:dyDescent="0.2">
      <c r="A327" s="1">
        <v>46058</v>
      </c>
      <c r="B327" t="s">
        <v>56</v>
      </c>
      <c r="C327" t="s">
        <v>57</v>
      </c>
      <c r="D327" t="s">
        <v>58</v>
      </c>
      <c r="E327" t="s">
        <v>42</v>
      </c>
      <c r="F327">
        <v>19987</v>
      </c>
      <c r="G327">
        <v>1230</v>
      </c>
      <c r="H327">
        <v>266.23</v>
      </c>
      <c r="I327">
        <v>83</v>
      </c>
      <c r="J327" t="s">
        <v>43</v>
      </c>
      <c r="K327" t="s">
        <v>40</v>
      </c>
    </row>
    <row r="328" spans="1:11" x14ac:dyDescent="0.2">
      <c r="A328" s="1">
        <v>46058</v>
      </c>
      <c r="B328" t="s">
        <v>56</v>
      </c>
      <c r="C328" t="s">
        <v>57</v>
      </c>
      <c r="D328" t="s">
        <v>59</v>
      </c>
      <c r="E328" t="s">
        <v>38</v>
      </c>
      <c r="F328">
        <v>38069</v>
      </c>
      <c r="G328">
        <v>1981</v>
      </c>
      <c r="H328">
        <v>418.63</v>
      </c>
      <c r="I328">
        <v>171</v>
      </c>
      <c r="J328" t="s">
        <v>43</v>
      </c>
      <c r="K328" t="s">
        <v>40</v>
      </c>
    </row>
    <row r="329" spans="1:11" x14ac:dyDescent="0.2">
      <c r="A329" s="1">
        <v>46058</v>
      </c>
      <c r="B329" t="s">
        <v>63</v>
      </c>
      <c r="C329" t="s">
        <v>64</v>
      </c>
      <c r="D329" t="s">
        <v>65</v>
      </c>
      <c r="E329" t="s">
        <v>38</v>
      </c>
      <c r="F329">
        <v>38581</v>
      </c>
      <c r="G329">
        <v>2108</v>
      </c>
      <c r="H329">
        <v>455.22</v>
      </c>
      <c r="I329">
        <v>173</v>
      </c>
      <c r="J329" t="s">
        <v>43</v>
      </c>
      <c r="K329" t="s">
        <v>40</v>
      </c>
    </row>
    <row r="330" spans="1:11" x14ac:dyDescent="0.2">
      <c r="A330" s="1">
        <v>46058</v>
      </c>
      <c r="B330" t="s">
        <v>63</v>
      </c>
      <c r="C330" t="s">
        <v>64</v>
      </c>
      <c r="D330" t="s">
        <v>66</v>
      </c>
      <c r="E330" t="s">
        <v>42</v>
      </c>
      <c r="F330">
        <v>31729</v>
      </c>
      <c r="G330">
        <v>2191</v>
      </c>
      <c r="H330">
        <v>495.79</v>
      </c>
      <c r="I330">
        <v>151</v>
      </c>
      <c r="J330" t="s">
        <v>47</v>
      </c>
      <c r="K330" t="s">
        <v>40</v>
      </c>
    </row>
    <row r="331" spans="1:11" x14ac:dyDescent="0.2">
      <c r="A331" s="1">
        <v>46059</v>
      </c>
      <c r="B331" t="s">
        <v>35</v>
      </c>
      <c r="C331" t="s">
        <v>36</v>
      </c>
      <c r="D331" t="s">
        <v>37</v>
      </c>
      <c r="E331" t="s">
        <v>38</v>
      </c>
      <c r="F331">
        <v>30019</v>
      </c>
      <c r="G331">
        <v>1791</v>
      </c>
      <c r="H331">
        <v>341.87</v>
      </c>
      <c r="I331">
        <v>144</v>
      </c>
      <c r="J331" t="s">
        <v>39</v>
      </c>
      <c r="K331" t="s">
        <v>40</v>
      </c>
    </row>
    <row r="332" spans="1:11" x14ac:dyDescent="0.2">
      <c r="A332" s="1">
        <v>46059</v>
      </c>
      <c r="B332" t="s">
        <v>35</v>
      </c>
      <c r="C332" t="s">
        <v>36</v>
      </c>
      <c r="D332" t="s">
        <v>41</v>
      </c>
      <c r="E332" t="s">
        <v>42</v>
      </c>
      <c r="F332">
        <v>15372</v>
      </c>
      <c r="G332">
        <v>1048</v>
      </c>
      <c r="H332">
        <v>278.63</v>
      </c>
      <c r="I332">
        <v>63</v>
      </c>
      <c r="J332" t="s">
        <v>43</v>
      </c>
      <c r="K332" t="s">
        <v>40</v>
      </c>
    </row>
    <row r="333" spans="1:11" x14ac:dyDescent="0.2">
      <c r="A333" s="1">
        <v>46059</v>
      </c>
      <c r="B333" t="s">
        <v>44</v>
      </c>
      <c r="C333" t="s">
        <v>45</v>
      </c>
      <c r="D333" t="s">
        <v>46</v>
      </c>
      <c r="E333" t="s">
        <v>42</v>
      </c>
      <c r="F333">
        <v>22873</v>
      </c>
      <c r="G333">
        <v>1242</v>
      </c>
      <c r="H333">
        <v>333.64</v>
      </c>
      <c r="I333">
        <v>72</v>
      </c>
      <c r="J333" t="s">
        <v>47</v>
      </c>
      <c r="K333" t="s">
        <v>40</v>
      </c>
    </row>
    <row r="334" spans="1:11" x14ac:dyDescent="0.2">
      <c r="A334" s="1">
        <v>46059</v>
      </c>
      <c r="B334" t="s">
        <v>44</v>
      </c>
      <c r="C334" t="s">
        <v>48</v>
      </c>
      <c r="D334" t="s">
        <v>49</v>
      </c>
      <c r="E334" t="s">
        <v>50</v>
      </c>
      <c r="F334">
        <v>14941</v>
      </c>
      <c r="G334">
        <v>1037</v>
      </c>
      <c r="H334">
        <v>274.76</v>
      </c>
      <c r="I334">
        <v>83</v>
      </c>
      <c r="J334" t="s">
        <v>51</v>
      </c>
      <c r="K334" t="s">
        <v>40</v>
      </c>
    </row>
    <row r="335" spans="1:11" x14ac:dyDescent="0.2">
      <c r="A335" s="1">
        <v>46059</v>
      </c>
      <c r="B335" t="s">
        <v>52</v>
      </c>
      <c r="C335" t="s">
        <v>53</v>
      </c>
      <c r="D335" t="s">
        <v>54</v>
      </c>
      <c r="E335" t="s">
        <v>54</v>
      </c>
      <c r="F335">
        <v>166269</v>
      </c>
      <c r="G335">
        <v>2310</v>
      </c>
      <c r="H335">
        <v>593.49</v>
      </c>
      <c r="I335">
        <v>146</v>
      </c>
      <c r="J335" t="s">
        <v>54</v>
      </c>
      <c r="K335" t="s">
        <v>40</v>
      </c>
    </row>
    <row r="336" spans="1:11" x14ac:dyDescent="0.2">
      <c r="A336" s="1">
        <v>46059</v>
      </c>
      <c r="B336" t="s">
        <v>52</v>
      </c>
      <c r="C336" t="s">
        <v>55</v>
      </c>
      <c r="D336" t="s">
        <v>54</v>
      </c>
      <c r="E336" t="s">
        <v>54</v>
      </c>
      <c r="F336">
        <v>94804</v>
      </c>
      <c r="G336">
        <v>1304</v>
      </c>
      <c r="H336">
        <v>305.58999999999997</v>
      </c>
      <c r="I336">
        <v>123</v>
      </c>
      <c r="J336" t="s">
        <v>54</v>
      </c>
      <c r="K336" t="s">
        <v>40</v>
      </c>
    </row>
    <row r="337" spans="1:11" x14ac:dyDescent="0.2">
      <c r="A337" s="1">
        <v>46059</v>
      </c>
      <c r="B337" t="s">
        <v>56</v>
      </c>
      <c r="C337" t="s">
        <v>57</v>
      </c>
      <c r="D337" t="s">
        <v>58</v>
      </c>
      <c r="E337" t="s">
        <v>42</v>
      </c>
      <c r="F337">
        <v>40939</v>
      </c>
      <c r="G337">
        <v>2607</v>
      </c>
      <c r="H337">
        <v>508.01</v>
      </c>
      <c r="I337">
        <v>184</v>
      </c>
      <c r="J337" t="s">
        <v>43</v>
      </c>
      <c r="K337" t="s">
        <v>40</v>
      </c>
    </row>
    <row r="338" spans="1:11" x14ac:dyDescent="0.2">
      <c r="A338" s="1">
        <v>46059</v>
      </c>
      <c r="B338" t="s">
        <v>56</v>
      </c>
      <c r="C338" t="s">
        <v>57</v>
      </c>
      <c r="D338" t="s">
        <v>59</v>
      </c>
      <c r="E338" t="s">
        <v>38</v>
      </c>
      <c r="F338">
        <v>29070</v>
      </c>
      <c r="G338">
        <v>1488</v>
      </c>
      <c r="H338">
        <v>342.41</v>
      </c>
      <c r="I338">
        <v>87</v>
      </c>
      <c r="J338" t="s">
        <v>43</v>
      </c>
      <c r="K338" t="s">
        <v>40</v>
      </c>
    </row>
    <row r="339" spans="1:11" x14ac:dyDescent="0.2">
      <c r="A339" s="1">
        <v>46059</v>
      </c>
      <c r="B339" t="s">
        <v>63</v>
      </c>
      <c r="C339" t="s">
        <v>64</v>
      </c>
      <c r="D339" t="s">
        <v>65</v>
      </c>
      <c r="E339" t="s">
        <v>38</v>
      </c>
      <c r="F339">
        <v>33846</v>
      </c>
      <c r="G339">
        <v>2032</v>
      </c>
      <c r="H339">
        <v>500.42</v>
      </c>
      <c r="I339">
        <v>180</v>
      </c>
      <c r="J339" t="s">
        <v>43</v>
      </c>
      <c r="K339" t="s">
        <v>40</v>
      </c>
    </row>
    <row r="340" spans="1:11" x14ac:dyDescent="0.2">
      <c r="A340" s="1">
        <v>46059</v>
      </c>
      <c r="B340" t="s">
        <v>63</v>
      </c>
      <c r="C340" t="s">
        <v>64</v>
      </c>
      <c r="D340" t="s">
        <v>66</v>
      </c>
      <c r="E340" t="s">
        <v>42</v>
      </c>
      <c r="F340">
        <v>20868</v>
      </c>
      <c r="G340">
        <v>1380</v>
      </c>
      <c r="H340">
        <v>267.77</v>
      </c>
      <c r="I340">
        <v>84</v>
      </c>
      <c r="J340" t="s">
        <v>47</v>
      </c>
      <c r="K340" t="s">
        <v>40</v>
      </c>
    </row>
    <row r="341" spans="1:11" x14ac:dyDescent="0.2">
      <c r="A341" s="1">
        <v>46060</v>
      </c>
      <c r="B341" t="s">
        <v>35</v>
      </c>
      <c r="C341" t="s">
        <v>36</v>
      </c>
      <c r="D341" t="s">
        <v>37</v>
      </c>
      <c r="E341" t="s">
        <v>38</v>
      </c>
      <c r="F341">
        <v>27413</v>
      </c>
      <c r="G341">
        <v>1799</v>
      </c>
      <c r="H341">
        <v>410.8</v>
      </c>
      <c r="I341">
        <v>124</v>
      </c>
      <c r="J341" t="s">
        <v>39</v>
      </c>
      <c r="K341" t="s">
        <v>40</v>
      </c>
    </row>
    <row r="342" spans="1:11" x14ac:dyDescent="0.2">
      <c r="A342" s="1">
        <v>46060</v>
      </c>
      <c r="B342" t="s">
        <v>35</v>
      </c>
      <c r="C342" t="s">
        <v>36</v>
      </c>
      <c r="D342" t="s">
        <v>41</v>
      </c>
      <c r="E342" t="s">
        <v>42</v>
      </c>
      <c r="F342">
        <v>34076</v>
      </c>
      <c r="G342">
        <v>2258</v>
      </c>
      <c r="H342">
        <v>458.77</v>
      </c>
      <c r="I342">
        <v>148</v>
      </c>
      <c r="J342" t="s">
        <v>43</v>
      </c>
      <c r="K342" t="s">
        <v>40</v>
      </c>
    </row>
    <row r="343" spans="1:11" x14ac:dyDescent="0.2">
      <c r="A343" s="1">
        <v>46060</v>
      </c>
      <c r="B343" t="s">
        <v>44</v>
      </c>
      <c r="C343" t="s">
        <v>45</v>
      </c>
      <c r="D343" t="s">
        <v>46</v>
      </c>
      <c r="E343" t="s">
        <v>42</v>
      </c>
      <c r="F343">
        <v>35470</v>
      </c>
      <c r="G343">
        <v>1739</v>
      </c>
      <c r="H343">
        <v>348.98</v>
      </c>
      <c r="I343">
        <v>158</v>
      </c>
      <c r="J343" t="s">
        <v>47</v>
      </c>
      <c r="K343" t="s">
        <v>40</v>
      </c>
    </row>
    <row r="344" spans="1:11" x14ac:dyDescent="0.2">
      <c r="A344" s="1">
        <v>46060</v>
      </c>
      <c r="B344" t="s">
        <v>44</v>
      </c>
      <c r="C344" t="s">
        <v>48</v>
      </c>
      <c r="D344" t="s">
        <v>49</v>
      </c>
      <c r="E344" t="s">
        <v>50</v>
      </c>
      <c r="F344">
        <v>47143</v>
      </c>
      <c r="G344">
        <v>2701</v>
      </c>
      <c r="H344">
        <v>734.11</v>
      </c>
      <c r="I344">
        <v>243</v>
      </c>
      <c r="J344" t="s">
        <v>51</v>
      </c>
      <c r="K344" t="s">
        <v>40</v>
      </c>
    </row>
    <row r="345" spans="1:11" x14ac:dyDescent="0.2">
      <c r="A345" s="1">
        <v>46060</v>
      </c>
      <c r="B345" t="s">
        <v>52</v>
      </c>
      <c r="C345" t="s">
        <v>53</v>
      </c>
      <c r="D345" t="s">
        <v>54</v>
      </c>
      <c r="E345" t="s">
        <v>54</v>
      </c>
      <c r="F345">
        <v>133322</v>
      </c>
      <c r="G345">
        <v>2120</v>
      </c>
      <c r="H345">
        <v>450.3</v>
      </c>
      <c r="I345">
        <v>176</v>
      </c>
      <c r="J345" t="s">
        <v>54</v>
      </c>
      <c r="K345" t="s">
        <v>40</v>
      </c>
    </row>
    <row r="346" spans="1:11" x14ac:dyDescent="0.2">
      <c r="A346" s="1">
        <v>46060</v>
      </c>
      <c r="B346" t="s">
        <v>52</v>
      </c>
      <c r="C346" t="s">
        <v>55</v>
      </c>
      <c r="D346" t="s">
        <v>54</v>
      </c>
      <c r="E346" t="s">
        <v>54</v>
      </c>
      <c r="F346">
        <v>221671</v>
      </c>
      <c r="G346">
        <v>3140</v>
      </c>
      <c r="H346">
        <v>651.08000000000004</v>
      </c>
      <c r="I346">
        <v>265</v>
      </c>
      <c r="J346" t="s">
        <v>54</v>
      </c>
      <c r="K346" t="s">
        <v>40</v>
      </c>
    </row>
    <row r="347" spans="1:11" x14ac:dyDescent="0.2">
      <c r="A347" s="1">
        <v>46060</v>
      </c>
      <c r="B347" t="s">
        <v>56</v>
      </c>
      <c r="C347" t="s">
        <v>57</v>
      </c>
      <c r="D347" t="s">
        <v>58</v>
      </c>
      <c r="E347" t="s">
        <v>42</v>
      </c>
      <c r="F347">
        <v>29950</v>
      </c>
      <c r="G347">
        <v>1708</v>
      </c>
      <c r="H347">
        <v>372.09</v>
      </c>
      <c r="I347">
        <v>134</v>
      </c>
      <c r="J347" t="s">
        <v>43</v>
      </c>
      <c r="K347" t="s">
        <v>40</v>
      </c>
    </row>
    <row r="348" spans="1:11" x14ac:dyDescent="0.2">
      <c r="A348" s="1">
        <v>46060</v>
      </c>
      <c r="B348" t="s">
        <v>56</v>
      </c>
      <c r="C348" t="s">
        <v>57</v>
      </c>
      <c r="D348" t="s">
        <v>59</v>
      </c>
      <c r="E348" t="s">
        <v>38</v>
      </c>
      <c r="F348">
        <v>21141</v>
      </c>
      <c r="G348">
        <v>1276</v>
      </c>
      <c r="H348">
        <v>277.7</v>
      </c>
      <c r="I348">
        <v>116</v>
      </c>
      <c r="J348" t="s">
        <v>43</v>
      </c>
      <c r="K348" t="s">
        <v>40</v>
      </c>
    </row>
    <row r="349" spans="1:11" x14ac:dyDescent="0.2">
      <c r="A349" s="1">
        <v>46060</v>
      </c>
      <c r="B349" t="s">
        <v>63</v>
      </c>
      <c r="C349" t="s">
        <v>64</v>
      </c>
      <c r="D349" t="s">
        <v>65</v>
      </c>
      <c r="E349" t="s">
        <v>38</v>
      </c>
      <c r="F349">
        <v>61375</v>
      </c>
      <c r="G349">
        <v>3543</v>
      </c>
      <c r="H349">
        <v>927.29</v>
      </c>
      <c r="I349">
        <v>243</v>
      </c>
      <c r="J349" t="s">
        <v>43</v>
      </c>
      <c r="K349" t="s">
        <v>40</v>
      </c>
    </row>
    <row r="350" spans="1:11" x14ac:dyDescent="0.2">
      <c r="A350" s="1">
        <v>46060</v>
      </c>
      <c r="B350" t="s">
        <v>63</v>
      </c>
      <c r="C350" t="s">
        <v>64</v>
      </c>
      <c r="D350" t="s">
        <v>66</v>
      </c>
      <c r="E350" t="s">
        <v>42</v>
      </c>
      <c r="F350">
        <v>58232</v>
      </c>
      <c r="G350">
        <v>4035</v>
      </c>
      <c r="H350">
        <v>728.96</v>
      </c>
      <c r="I350">
        <v>364</v>
      </c>
      <c r="J350" t="s">
        <v>47</v>
      </c>
      <c r="K350" t="s">
        <v>40</v>
      </c>
    </row>
    <row r="351" spans="1:11" x14ac:dyDescent="0.2">
      <c r="A351" s="1">
        <v>46061</v>
      </c>
      <c r="B351" t="s">
        <v>35</v>
      </c>
      <c r="C351" t="s">
        <v>36</v>
      </c>
      <c r="D351" t="s">
        <v>37</v>
      </c>
      <c r="E351" t="s">
        <v>38</v>
      </c>
      <c r="F351">
        <v>54360</v>
      </c>
      <c r="G351">
        <v>2825</v>
      </c>
      <c r="H351">
        <v>530.28</v>
      </c>
      <c r="I351">
        <v>228</v>
      </c>
      <c r="J351" t="s">
        <v>39</v>
      </c>
      <c r="K351" t="s">
        <v>40</v>
      </c>
    </row>
    <row r="352" spans="1:11" x14ac:dyDescent="0.2">
      <c r="A352" s="1">
        <v>46061</v>
      </c>
      <c r="B352" t="s">
        <v>35</v>
      </c>
      <c r="C352" t="s">
        <v>36</v>
      </c>
      <c r="D352" t="s">
        <v>41</v>
      </c>
      <c r="E352" t="s">
        <v>42</v>
      </c>
      <c r="F352">
        <v>33405</v>
      </c>
      <c r="G352">
        <v>1723</v>
      </c>
      <c r="H352">
        <v>337.25</v>
      </c>
      <c r="I352">
        <v>136</v>
      </c>
      <c r="J352" t="s">
        <v>43</v>
      </c>
      <c r="K352" t="s">
        <v>40</v>
      </c>
    </row>
    <row r="353" spans="1:11" x14ac:dyDescent="0.2">
      <c r="A353" s="1">
        <v>46061</v>
      </c>
      <c r="B353" t="s">
        <v>44</v>
      </c>
      <c r="C353" t="s">
        <v>45</v>
      </c>
      <c r="D353" t="s">
        <v>46</v>
      </c>
      <c r="E353" t="s">
        <v>42</v>
      </c>
      <c r="F353">
        <v>24855</v>
      </c>
      <c r="G353">
        <v>1587</v>
      </c>
      <c r="H353">
        <v>351.46</v>
      </c>
      <c r="I353">
        <v>108</v>
      </c>
      <c r="J353" t="s">
        <v>47</v>
      </c>
      <c r="K353" t="s">
        <v>40</v>
      </c>
    </row>
    <row r="354" spans="1:11" x14ac:dyDescent="0.2">
      <c r="A354" s="1">
        <v>46061</v>
      </c>
      <c r="B354" t="s">
        <v>44</v>
      </c>
      <c r="C354" t="s">
        <v>48</v>
      </c>
      <c r="D354" t="s">
        <v>49</v>
      </c>
      <c r="E354" t="s">
        <v>50</v>
      </c>
      <c r="F354">
        <v>24397</v>
      </c>
      <c r="G354">
        <v>1452</v>
      </c>
      <c r="H354">
        <v>330.88</v>
      </c>
      <c r="I354">
        <v>92</v>
      </c>
      <c r="J354" t="s">
        <v>51</v>
      </c>
      <c r="K354" t="s">
        <v>40</v>
      </c>
    </row>
    <row r="355" spans="1:11" x14ac:dyDescent="0.2">
      <c r="A355" s="1">
        <v>46061</v>
      </c>
      <c r="B355" t="s">
        <v>52</v>
      </c>
      <c r="C355" t="s">
        <v>53</v>
      </c>
      <c r="D355" t="s">
        <v>54</v>
      </c>
      <c r="E355" t="s">
        <v>54</v>
      </c>
      <c r="F355">
        <v>155587</v>
      </c>
      <c r="G355">
        <v>2214</v>
      </c>
      <c r="H355">
        <v>489.49</v>
      </c>
      <c r="I355">
        <v>143</v>
      </c>
      <c r="J355" t="s">
        <v>54</v>
      </c>
      <c r="K355" t="s">
        <v>40</v>
      </c>
    </row>
    <row r="356" spans="1:11" x14ac:dyDescent="0.2">
      <c r="A356" s="1">
        <v>46061</v>
      </c>
      <c r="B356" t="s">
        <v>52</v>
      </c>
      <c r="C356" t="s">
        <v>55</v>
      </c>
      <c r="D356" t="s">
        <v>54</v>
      </c>
      <c r="E356" t="s">
        <v>54</v>
      </c>
      <c r="F356">
        <v>149466</v>
      </c>
      <c r="G356">
        <v>2072</v>
      </c>
      <c r="H356">
        <v>406.35</v>
      </c>
      <c r="I356">
        <v>166</v>
      </c>
      <c r="J356" t="s">
        <v>54</v>
      </c>
      <c r="K356" t="s">
        <v>40</v>
      </c>
    </row>
    <row r="357" spans="1:11" x14ac:dyDescent="0.2">
      <c r="A357" s="1">
        <v>46061</v>
      </c>
      <c r="B357" t="s">
        <v>56</v>
      </c>
      <c r="C357" t="s">
        <v>57</v>
      </c>
      <c r="D357" t="s">
        <v>58</v>
      </c>
      <c r="E357" t="s">
        <v>42</v>
      </c>
      <c r="F357">
        <v>17595</v>
      </c>
      <c r="G357">
        <v>1220</v>
      </c>
      <c r="H357">
        <v>237.52</v>
      </c>
      <c r="I357">
        <v>75</v>
      </c>
      <c r="J357" t="s">
        <v>43</v>
      </c>
      <c r="K357" t="s">
        <v>40</v>
      </c>
    </row>
    <row r="358" spans="1:11" x14ac:dyDescent="0.2">
      <c r="A358" s="1">
        <v>46061</v>
      </c>
      <c r="B358" t="s">
        <v>56</v>
      </c>
      <c r="C358" t="s">
        <v>57</v>
      </c>
      <c r="D358" t="s">
        <v>59</v>
      </c>
      <c r="E358" t="s">
        <v>38</v>
      </c>
      <c r="F358">
        <v>30517</v>
      </c>
      <c r="G358">
        <v>1843</v>
      </c>
      <c r="H358">
        <v>406.47</v>
      </c>
      <c r="I358">
        <v>172</v>
      </c>
      <c r="J358" t="s">
        <v>43</v>
      </c>
      <c r="K358" t="s">
        <v>40</v>
      </c>
    </row>
    <row r="359" spans="1:11" x14ac:dyDescent="0.2">
      <c r="A359" s="1">
        <v>46061</v>
      </c>
      <c r="B359" t="s">
        <v>63</v>
      </c>
      <c r="C359" t="s">
        <v>64</v>
      </c>
      <c r="D359" t="s">
        <v>65</v>
      </c>
      <c r="E359" t="s">
        <v>38</v>
      </c>
      <c r="F359">
        <v>15707</v>
      </c>
      <c r="G359">
        <v>1085</v>
      </c>
      <c r="H359">
        <v>274.29000000000002</v>
      </c>
      <c r="I359">
        <v>95</v>
      </c>
      <c r="J359" t="s">
        <v>43</v>
      </c>
      <c r="K359" t="s">
        <v>40</v>
      </c>
    </row>
    <row r="360" spans="1:11" x14ac:dyDescent="0.2">
      <c r="A360" s="1">
        <v>46061</v>
      </c>
      <c r="B360" t="s">
        <v>63</v>
      </c>
      <c r="C360" t="s">
        <v>64</v>
      </c>
      <c r="D360" t="s">
        <v>66</v>
      </c>
      <c r="E360" t="s">
        <v>42</v>
      </c>
      <c r="F360">
        <v>21866</v>
      </c>
      <c r="G360">
        <v>1163</v>
      </c>
      <c r="H360">
        <v>279.88</v>
      </c>
      <c r="I360">
        <v>85</v>
      </c>
      <c r="J360" t="s">
        <v>47</v>
      </c>
      <c r="K360" t="s">
        <v>40</v>
      </c>
    </row>
    <row r="361" spans="1:11" x14ac:dyDescent="0.2">
      <c r="A361" s="1">
        <v>46062</v>
      </c>
      <c r="B361" t="s">
        <v>35</v>
      </c>
      <c r="C361" t="s">
        <v>36</v>
      </c>
      <c r="D361" t="s">
        <v>37</v>
      </c>
      <c r="E361" t="s">
        <v>38</v>
      </c>
      <c r="F361">
        <v>66505</v>
      </c>
      <c r="G361">
        <v>3464</v>
      </c>
      <c r="H361">
        <v>911.16</v>
      </c>
      <c r="I361">
        <v>273</v>
      </c>
      <c r="J361" t="s">
        <v>39</v>
      </c>
      <c r="K361" t="s">
        <v>40</v>
      </c>
    </row>
    <row r="362" spans="1:11" x14ac:dyDescent="0.2">
      <c r="A362" s="1">
        <v>46062</v>
      </c>
      <c r="B362" t="s">
        <v>35</v>
      </c>
      <c r="C362" t="s">
        <v>36</v>
      </c>
      <c r="D362" t="s">
        <v>41</v>
      </c>
      <c r="E362" t="s">
        <v>42</v>
      </c>
      <c r="F362">
        <v>35070</v>
      </c>
      <c r="G362">
        <v>2207</v>
      </c>
      <c r="H362">
        <v>509.99</v>
      </c>
      <c r="I362">
        <v>136</v>
      </c>
      <c r="J362" t="s">
        <v>43</v>
      </c>
      <c r="K362" t="s">
        <v>40</v>
      </c>
    </row>
    <row r="363" spans="1:11" x14ac:dyDescent="0.2">
      <c r="A363" s="1">
        <v>46062</v>
      </c>
      <c r="B363" t="s">
        <v>44</v>
      </c>
      <c r="C363" t="s">
        <v>45</v>
      </c>
      <c r="D363" t="s">
        <v>46</v>
      </c>
      <c r="E363" t="s">
        <v>42</v>
      </c>
      <c r="F363">
        <v>51931</v>
      </c>
      <c r="G363">
        <v>3642</v>
      </c>
      <c r="H363">
        <v>872.82</v>
      </c>
      <c r="I363">
        <v>210</v>
      </c>
      <c r="J363" t="s">
        <v>47</v>
      </c>
      <c r="K363" t="s">
        <v>40</v>
      </c>
    </row>
    <row r="364" spans="1:11" x14ac:dyDescent="0.2">
      <c r="A364" s="1">
        <v>46062</v>
      </c>
      <c r="B364" t="s">
        <v>44</v>
      </c>
      <c r="C364" t="s">
        <v>48</v>
      </c>
      <c r="D364" t="s">
        <v>49</v>
      </c>
      <c r="E364" t="s">
        <v>50</v>
      </c>
      <c r="F364">
        <v>55657</v>
      </c>
      <c r="G364">
        <v>3186</v>
      </c>
      <c r="H364">
        <v>608.07000000000005</v>
      </c>
      <c r="I364">
        <v>201</v>
      </c>
      <c r="J364" t="s">
        <v>51</v>
      </c>
      <c r="K364" t="s">
        <v>40</v>
      </c>
    </row>
    <row r="365" spans="1:11" x14ac:dyDescent="0.2">
      <c r="A365" s="1">
        <v>46062</v>
      </c>
      <c r="B365" t="s">
        <v>52</v>
      </c>
      <c r="C365" t="s">
        <v>53</v>
      </c>
      <c r="D365" t="s">
        <v>54</v>
      </c>
      <c r="E365" t="s">
        <v>54</v>
      </c>
      <c r="F365">
        <v>249771</v>
      </c>
      <c r="G365">
        <v>3602</v>
      </c>
      <c r="H365">
        <v>946.07</v>
      </c>
      <c r="I365">
        <v>285</v>
      </c>
      <c r="J365" t="s">
        <v>54</v>
      </c>
      <c r="K365" t="s">
        <v>40</v>
      </c>
    </row>
    <row r="366" spans="1:11" x14ac:dyDescent="0.2">
      <c r="A366" s="1">
        <v>46062</v>
      </c>
      <c r="B366" t="s">
        <v>52</v>
      </c>
      <c r="C366" t="s">
        <v>55</v>
      </c>
      <c r="D366" t="s">
        <v>54</v>
      </c>
      <c r="E366" t="s">
        <v>54</v>
      </c>
      <c r="F366">
        <v>181208</v>
      </c>
      <c r="G366">
        <v>2424</v>
      </c>
      <c r="H366">
        <v>585.33000000000004</v>
      </c>
      <c r="I366">
        <v>137</v>
      </c>
      <c r="J366" t="s">
        <v>54</v>
      </c>
      <c r="K366" t="s">
        <v>40</v>
      </c>
    </row>
    <row r="367" spans="1:11" x14ac:dyDescent="0.2">
      <c r="A367" s="1">
        <v>46062</v>
      </c>
      <c r="B367" t="s">
        <v>56</v>
      </c>
      <c r="C367" t="s">
        <v>57</v>
      </c>
      <c r="D367" t="s">
        <v>58</v>
      </c>
      <c r="E367" t="s">
        <v>42</v>
      </c>
      <c r="F367">
        <v>71723</v>
      </c>
      <c r="G367">
        <v>4309</v>
      </c>
      <c r="H367">
        <v>826.26</v>
      </c>
      <c r="I367">
        <v>320</v>
      </c>
      <c r="J367" t="s">
        <v>43</v>
      </c>
      <c r="K367" t="s">
        <v>40</v>
      </c>
    </row>
    <row r="368" spans="1:11" x14ac:dyDescent="0.2">
      <c r="A368" s="1">
        <v>46062</v>
      </c>
      <c r="B368" t="s">
        <v>56</v>
      </c>
      <c r="C368" t="s">
        <v>57</v>
      </c>
      <c r="D368" t="s">
        <v>59</v>
      </c>
      <c r="E368" t="s">
        <v>38</v>
      </c>
      <c r="F368">
        <v>29665</v>
      </c>
      <c r="G368">
        <v>2066</v>
      </c>
      <c r="H368">
        <v>483.3</v>
      </c>
      <c r="I368">
        <v>113</v>
      </c>
      <c r="J368" t="s">
        <v>43</v>
      </c>
      <c r="K368" t="s">
        <v>40</v>
      </c>
    </row>
    <row r="369" spans="1:11" x14ac:dyDescent="0.2">
      <c r="A369" s="1">
        <v>46062</v>
      </c>
      <c r="B369" t="s">
        <v>63</v>
      </c>
      <c r="C369" t="s">
        <v>64</v>
      </c>
      <c r="D369" t="s">
        <v>65</v>
      </c>
      <c r="E369" t="s">
        <v>38</v>
      </c>
      <c r="F369">
        <v>61244</v>
      </c>
      <c r="G369">
        <v>3707</v>
      </c>
      <c r="H369">
        <v>804.56</v>
      </c>
      <c r="I369">
        <v>210</v>
      </c>
      <c r="J369" t="s">
        <v>43</v>
      </c>
      <c r="K369" t="s">
        <v>40</v>
      </c>
    </row>
    <row r="370" spans="1:11" x14ac:dyDescent="0.2">
      <c r="A370" s="1">
        <v>46062</v>
      </c>
      <c r="B370" t="s">
        <v>63</v>
      </c>
      <c r="C370" t="s">
        <v>64</v>
      </c>
      <c r="D370" t="s">
        <v>66</v>
      </c>
      <c r="E370" t="s">
        <v>42</v>
      </c>
      <c r="F370">
        <v>71555</v>
      </c>
      <c r="G370">
        <v>4171</v>
      </c>
      <c r="H370">
        <v>1142.2</v>
      </c>
      <c r="I370">
        <v>309</v>
      </c>
      <c r="J370" t="s">
        <v>47</v>
      </c>
      <c r="K370" t="s">
        <v>40</v>
      </c>
    </row>
    <row r="371" spans="1:11" x14ac:dyDescent="0.2">
      <c r="A371" s="1">
        <v>46063</v>
      </c>
      <c r="B371" t="s">
        <v>35</v>
      </c>
      <c r="C371" t="s">
        <v>36</v>
      </c>
      <c r="D371" t="s">
        <v>37</v>
      </c>
      <c r="E371" t="s">
        <v>38</v>
      </c>
      <c r="F371">
        <v>55974</v>
      </c>
      <c r="G371">
        <v>3157</v>
      </c>
      <c r="H371">
        <v>822.28</v>
      </c>
      <c r="I371">
        <v>288</v>
      </c>
      <c r="J371" t="s">
        <v>39</v>
      </c>
      <c r="K371" t="s">
        <v>40</v>
      </c>
    </row>
    <row r="372" spans="1:11" x14ac:dyDescent="0.2">
      <c r="A372" s="1">
        <v>46063</v>
      </c>
      <c r="B372" t="s">
        <v>35</v>
      </c>
      <c r="C372" t="s">
        <v>36</v>
      </c>
      <c r="D372" t="s">
        <v>41</v>
      </c>
      <c r="E372" t="s">
        <v>42</v>
      </c>
      <c r="F372">
        <v>26244</v>
      </c>
      <c r="G372">
        <v>1527</v>
      </c>
      <c r="H372">
        <v>313.72000000000003</v>
      </c>
      <c r="I372">
        <v>130</v>
      </c>
      <c r="J372" t="s">
        <v>43</v>
      </c>
      <c r="K372" t="s">
        <v>40</v>
      </c>
    </row>
    <row r="373" spans="1:11" x14ac:dyDescent="0.2">
      <c r="A373" s="1">
        <v>46063</v>
      </c>
      <c r="B373" t="s">
        <v>44</v>
      </c>
      <c r="C373" t="s">
        <v>45</v>
      </c>
      <c r="D373" t="s">
        <v>46</v>
      </c>
      <c r="E373" t="s">
        <v>42</v>
      </c>
      <c r="F373">
        <v>24788</v>
      </c>
      <c r="G373">
        <v>1358</v>
      </c>
      <c r="H373">
        <v>363.5</v>
      </c>
      <c r="I373">
        <v>96</v>
      </c>
      <c r="J373" t="s">
        <v>47</v>
      </c>
      <c r="K373" t="s">
        <v>40</v>
      </c>
    </row>
    <row r="374" spans="1:11" x14ac:dyDescent="0.2">
      <c r="A374" s="1">
        <v>46063</v>
      </c>
      <c r="B374" t="s">
        <v>44</v>
      </c>
      <c r="C374" t="s">
        <v>48</v>
      </c>
      <c r="D374" t="s">
        <v>49</v>
      </c>
      <c r="E374" t="s">
        <v>50</v>
      </c>
      <c r="F374">
        <v>35819</v>
      </c>
      <c r="G374">
        <v>1724</v>
      </c>
      <c r="H374">
        <v>438.52</v>
      </c>
      <c r="I374">
        <v>95</v>
      </c>
      <c r="J374" t="s">
        <v>51</v>
      </c>
      <c r="K374" t="s">
        <v>40</v>
      </c>
    </row>
    <row r="375" spans="1:11" x14ac:dyDescent="0.2">
      <c r="A375" s="1">
        <v>46063</v>
      </c>
      <c r="B375" t="s">
        <v>52</v>
      </c>
      <c r="C375" t="s">
        <v>53</v>
      </c>
      <c r="D375" t="s">
        <v>54</v>
      </c>
      <c r="E375" t="s">
        <v>54</v>
      </c>
      <c r="F375">
        <v>253584</v>
      </c>
      <c r="G375">
        <v>2938</v>
      </c>
      <c r="H375">
        <v>530.95000000000005</v>
      </c>
      <c r="I375">
        <v>238</v>
      </c>
      <c r="J375" t="s">
        <v>54</v>
      </c>
      <c r="K375" t="s">
        <v>40</v>
      </c>
    </row>
    <row r="376" spans="1:11" x14ac:dyDescent="0.2">
      <c r="A376" s="1">
        <v>46063</v>
      </c>
      <c r="B376" t="s">
        <v>52</v>
      </c>
      <c r="C376" t="s">
        <v>55</v>
      </c>
      <c r="D376" t="s">
        <v>54</v>
      </c>
      <c r="E376" t="s">
        <v>54</v>
      </c>
      <c r="F376">
        <v>210248</v>
      </c>
      <c r="G376">
        <v>2742</v>
      </c>
      <c r="H376">
        <v>522.79</v>
      </c>
      <c r="I376">
        <v>197</v>
      </c>
      <c r="J376" t="s">
        <v>54</v>
      </c>
      <c r="K376" t="s">
        <v>40</v>
      </c>
    </row>
    <row r="377" spans="1:11" x14ac:dyDescent="0.2">
      <c r="A377" s="1">
        <v>46063</v>
      </c>
      <c r="B377" t="s">
        <v>56</v>
      </c>
      <c r="C377" t="s">
        <v>57</v>
      </c>
      <c r="D377" t="s">
        <v>58</v>
      </c>
      <c r="E377" t="s">
        <v>42</v>
      </c>
      <c r="F377">
        <v>42595</v>
      </c>
      <c r="G377">
        <v>2311</v>
      </c>
      <c r="H377">
        <v>539.87</v>
      </c>
      <c r="I377">
        <v>179</v>
      </c>
      <c r="J377" t="s">
        <v>43</v>
      </c>
      <c r="K377" t="s">
        <v>40</v>
      </c>
    </row>
    <row r="378" spans="1:11" x14ac:dyDescent="0.2">
      <c r="A378" s="1">
        <v>46063</v>
      </c>
      <c r="B378" t="s">
        <v>56</v>
      </c>
      <c r="C378" t="s">
        <v>57</v>
      </c>
      <c r="D378" t="s">
        <v>59</v>
      </c>
      <c r="E378" t="s">
        <v>38</v>
      </c>
      <c r="F378">
        <v>44894</v>
      </c>
      <c r="G378">
        <v>3223</v>
      </c>
      <c r="H378">
        <v>708.24</v>
      </c>
      <c r="I378">
        <v>203</v>
      </c>
      <c r="J378" t="s">
        <v>43</v>
      </c>
      <c r="K378" t="s">
        <v>40</v>
      </c>
    </row>
    <row r="379" spans="1:11" x14ac:dyDescent="0.2">
      <c r="A379" s="1">
        <v>46063</v>
      </c>
      <c r="B379" t="s">
        <v>63</v>
      </c>
      <c r="C379" t="s">
        <v>64</v>
      </c>
      <c r="D379" t="s">
        <v>65</v>
      </c>
      <c r="E379" t="s">
        <v>38</v>
      </c>
      <c r="F379">
        <v>66590</v>
      </c>
      <c r="G379">
        <v>3481</v>
      </c>
      <c r="H379">
        <v>821.2</v>
      </c>
      <c r="I379">
        <v>258</v>
      </c>
      <c r="J379" t="s">
        <v>43</v>
      </c>
      <c r="K379" t="s">
        <v>40</v>
      </c>
    </row>
    <row r="380" spans="1:11" x14ac:dyDescent="0.2">
      <c r="A380" s="1">
        <v>46063</v>
      </c>
      <c r="B380" t="s">
        <v>63</v>
      </c>
      <c r="C380" t="s">
        <v>64</v>
      </c>
      <c r="D380" t="s">
        <v>66</v>
      </c>
      <c r="E380" t="s">
        <v>42</v>
      </c>
      <c r="F380">
        <v>48153</v>
      </c>
      <c r="G380">
        <v>2978</v>
      </c>
      <c r="H380">
        <v>766.6</v>
      </c>
      <c r="I380">
        <v>211</v>
      </c>
      <c r="J380" t="s">
        <v>47</v>
      </c>
      <c r="K380" t="s">
        <v>40</v>
      </c>
    </row>
    <row r="381" spans="1:11" x14ac:dyDescent="0.2">
      <c r="A381" s="1">
        <v>46064</v>
      </c>
      <c r="B381" t="s">
        <v>35</v>
      </c>
      <c r="C381" t="s">
        <v>36</v>
      </c>
      <c r="D381" t="s">
        <v>37</v>
      </c>
      <c r="E381" t="s">
        <v>38</v>
      </c>
      <c r="F381">
        <v>30476</v>
      </c>
      <c r="G381">
        <v>2088</v>
      </c>
      <c r="H381">
        <v>513.5</v>
      </c>
      <c r="I381">
        <v>177</v>
      </c>
      <c r="J381" t="s">
        <v>39</v>
      </c>
      <c r="K381" t="s">
        <v>40</v>
      </c>
    </row>
    <row r="382" spans="1:11" x14ac:dyDescent="0.2">
      <c r="A382" s="1">
        <v>46064</v>
      </c>
      <c r="B382" t="s">
        <v>35</v>
      </c>
      <c r="C382" t="s">
        <v>36</v>
      </c>
      <c r="D382" t="s">
        <v>41</v>
      </c>
      <c r="E382" t="s">
        <v>42</v>
      </c>
      <c r="F382">
        <v>62828</v>
      </c>
      <c r="G382">
        <v>4196</v>
      </c>
      <c r="H382">
        <v>1153.58</v>
      </c>
      <c r="I382">
        <v>247</v>
      </c>
      <c r="J382" t="s">
        <v>43</v>
      </c>
      <c r="K382" t="s">
        <v>40</v>
      </c>
    </row>
    <row r="383" spans="1:11" x14ac:dyDescent="0.2">
      <c r="A383" s="1">
        <v>46064</v>
      </c>
      <c r="B383" t="s">
        <v>44</v>
      </c>
      <c r="C383" t="s">
        <v>45</v>
      </c>
      <c r="D383" t="s">
        <v>46</v>
      </c>
      <c r="E383" t="s">
        <v>42</v>
      </c>
      <c r="F383">
        <v>69302</v>
      </c>
      <c r="G383">
        <v>3992</v>
      </c>
      <c r="H383">
        <v>853.66</v>
      </c>
      <c r="I383">
        <v>307</v>
      </c>
      <c r="J383" t="s">
        <v>47</v>
      </c>
      <c r="K383" t="s">
        <v>40</v>
      </c>
    </row>
    <row r="384" spans="1:11" x14ac:dyDescent="0.2">
      <c r="A384" s="1">
        <v>46064</v>
      </c>
      <c r="B384" t="s">
        <v>44</v>
      </c>
      <c r="C384" t="s">
        <v>48</v>
      </c>
      <c r="D384" t="s">
        <v>49</v>
      </c>
      <c r="E384" t="s">
        <v>50</v>
      </c>
      <c r="F384">
        <v>21457</v>
      </c>
      <c r="G384">
        <v>1112</v>
      </c>
      <c r="H384">
        <v>307.42</v>
      </c>
      <c r="I384">
        <v>61</v>
      </c>
      <c r="J384" t="s">
        <v>51</v>
      </c>
      <c r="K384" t="s">
        <v>40</v>
      </c>
    </row>
    <row r="385" spans="1:11" x14ac:dyDescent="0.2">
      <c r="A385" s="1">
        <v>46064</v>
      </c>
      <c r="B385" t="s">
        <v>52</v>
      </c>
      <c r="C385" t="s">
        <v>53</v>
      </c>
      <c r="D385" t="s">
        <v>54</v>
      </c>
      <c r="E385" t="s">
        <v>54</v>
      </c>
      <c r="F385">
        <v>163102</v>
      </c>
      <c r="G385">
        <v>2465</v>
      </c>
      <c r="H385">
        <v>559.97</v>
      </c>
      <c r="I385">
        <v>194</v>
      </c>
      <c r="J385" t="s">
        <v>54</v>
      </c>
      <c r="K385" t="s">
        <v>40</v>
      </c>
    </row>
    <row r="386" spans="1:11" x14ac:dyDescent="0.2">
      <c r="A386" s="1">
        <v>46064</v>
      </c>
      <c r="B386" t="s">
        <v>52</v>
      </c>
      <c r="C386" t="s">
        <v>55</v>
      </c>
      <c r="D386" t="s">
        <v>54</v>
      </c>
      <c r="E386" t="s">
        <v>54</v>
      </c>
      <c r="F386">
        <v>162483</v>
      </c>
      <c r="G386">
        <v>1839</v>
      </c>
      <c r="H386">
        <v>371.8</v>
      </c>
      <c r="I386">
        <v>107</v>
      </c>
      <c r="J386" t="s">
        <v>54</v>
      </c>
      <c r="K386" t="s">
        <v>40</v>
      </c>
    </row>
    <row r="387" spans="1:11" x14ac:dyDescent="0.2">
      <c r="A387" s="1">
        <v>46064</v>
      </c>
      <c r="B387" t="s">
        <v>56</v>
      </c>
      <c r="C387" t="s">
        <v>57</v>
      </c>
      <c r="D387" t="s">
        <v>58</v>
      </c>
      <c r="E387" t="s">
        <v>42</v>
      </c>
      <c r="F387">
        <v>19958</v>
      </c>
      <c r="G387">
        <v>1305</v>
      </c>
      <c r="H387">
        <v>356.35</v>
      </c>
      <c r="I387">
        <v>92</v>
      </c>
      <c r="J387" t="s">
        <v>43</v>
      </c>
      <c r="K387" t="s">
        <v>40</v>
      </c>
    </row>
    <row r="388" spans="1:11" x14ac:dyDescent="0.2">
      <c r="A388" s="1">
        <v>46064</v>
      </c>
      <c r="B388" t="s">
        <v>56</v>
      </c>
      <c r="C388" t="s">
        <v>57</v>
      </c>
      <c r="D388" t="s">
        <v>59</v>
      </c>
      <c r="E388" t="s">
        <v>38</v>
      </c>
      <c r="F388">
        <v>70630</v>
      </c>
      <c r="G388">
        <v>3875</v>
      </c>
      <c r="H388">
        <v>1070.8699999999999</v>
      </c>
      <c r="I388">
        <v>222</v>
      </c>
      <c r="J388" t="s">
        <v>43</v>
      </c>
      <c r="K388" t="s">
        <v>40</v>
      </c>
    </row>
    <row r="389" spans="1:11" x14ac:dyDescent="0.2">
      <c r="A389" s="1">
        <v>46064</v>
      </c>
      <c r="B389" t="s">
        <v>63</v>
      </c>
      <c r="C389" t="s">
        <v>64</v>
      </c>
      <c r="D389" t="s">
        <v>65</v>
      </c>
      <c r="E389" t="s">
        <v>38</v>
      </c>
      <c r="F389">
        <v>34377</v>
      </c>
      <c r="G389">
        <v>2178</v>
      </c>
      <c r="H389">
        <v>487.65</v>
      </c>
      <c r="I389">
        <v>137</v>
      </c>
      <c r="J389" t="s">
        <v>43</v>
      </c>
      <c r="K389" t="s">
        <v>40</v>
      </c>
    </row>
    <row r="390" spans="1:11" x14ac:dyDescent="0.2">
      <c r="A390" s="1">
        <v>46064</v>
      </c>
      <c r="B390" t="s">
        <v>63</v>
      </c>
      <c r="C390" t="s">
        <v>64</v>
      </c>
      <c r="D390" t="s">
        <v>66</v>
      </c>
      <c r="E390" t="s">
        <v>42</v>
      </c>
      <c r="F390">
        <v>70331</v>
      </c>
      <c r="G390">
        <v>3858</v>
      </c>
      <c r="H390">
        <v>707.41</v>
      </c>
      <c r="I390">
        <v>304</v>
      </c>
      <c r="J390" t="s">
        <v>47</v>
      </c>
      <c r="K390" t="s">
        <v>40</v>
      </c>
    </row>
    <row r="391" spans="1:11" x14ac:dyDescent="0.2">
      <c r="A391" s="1">
        <v>46065</v>
      </c>
      <c r="B391" t="s">
        <v>35</v>
      </c>
      <c r="C391" t="s">
        <v>36</v>
      </c>
      <c r="D391" t="s">
        <v>37</v>
      </c>
      <c r="E391" t="s">
        <v>38</v>
      </c>
      <c r="F391">
        <v>70086</v>
      </c>
      <c r="G391">
        <v>4538</v>
      </c>
      <c r="H391">
        <v>1096.01</v>
      </c>
      <c r="I391">
        <v>371</v>
      </c>
      <c r="J391" t="s">
        <v>39</v>
      </c>
      <c r="K391" t="s">
        <v>40</v>
      </c>
    </row>
    <row r="392" spans="1:11" x14ac:dyDescent="0.2">
      <c r="A392" s="1">
        <v>46065</v>
      </c>
      <c r="B392" t="s">
        <v>35</v>
      </c>
      <c r="C392" t="s">
        <v>36</v>
      </c>
      <c r="D392" t="s">
        <v>41</v>
      </c>
      <c r="E392" t="s">
        <v>42</v>
      </c>
      <c r="F392">
        <v>53720</v>
      </c>
      <c r="G392">
        <v>2887</v>
      </c>
      <c r="H392">
        <v>519.74</v>
      </c>
      <c r="I392">
        <v>176</v>
      </c>
      <c r="J392" t="s">
        <v>43</v>
      </c>
      <c r="K392" t="s">
        <v>40</v>
      </c>
    </row>
    <row r="393" spans="1:11" x14ac:dyDescent="0.2">
      <c r="A393" s="1">
        <v>46065</v>
      </c>
      <c r="B393" t="s">
        <v>44</v>
      </c>
      <c r="C393" t="s">
        <v>45</v>
      </c>
      <c r="D393" t="s">
        <v>46</v>
      </c>
      <c r="E393" t="s">
        <v>42</v>
      </c>
      <c r="F393">
        <v>44932</v>
      </c>
      <c r="G393">
        <v>2997</v>
      </c>
      <c r="H393">
        <v>645.29</v>
      </c>
      <c r="I393">
        <v>212</v>
      </c>
      <c r="J393" t="s">
        <v>47</v>
      </c>
      <c r="K393" t="s">
        <v>40</v>
      </c>
    </row>
    <row r="394" spans="1:11" x14ac:dyDescent="0.2">
      <c r="A394" s="1">
        <v>46065</v>
      </c>
      <c r="B394" t="s">
        <v>44</v>
      </c>
      <c r="C394" t="s">
        <v>48</v>
      </c>
      <c r="D394" t="s">
        <v>49</v>
      </c>
      <c r="E394" t="s">
        <v>50</v>
      </c>
      <c r="F394">
        <v>37003</v>
      </c>
      <c r="G394">
        <v>2235</v>
      </c>
      <c r="H394">
        <v>567</v>
      </c>
      <c r="I394">
        <v>129</v>
      </c>
      <c r="J394" t="s">
        <v>51</v>
      </c>
      <c r="K394" t="s">
        <v>40</v>
      </c>
    </row>
    <row r="395" spans="1:11" x14ac:dyDescent="0.2">
      <c r="A395" s="1">
        <v>46065</v>
      </c>
      <c r="B395" t="s">
        <v>52</v>
      </c>
      <c r="C395" t="s">
        <v>53</v>
      </c>
      <c r="D395" t="s">
        <v>54</v>
      </c>
      <c r="E395" t="s">
        <v>54</v>
      </c>
      <c r="F395">
        <v>162908</v>
      </c>
      <c r="G395">
        <v>2239</v>
      </c>
      <c r="H395">
        <v>565.6</v>
      </c>
      <c r="I395">
        <v>173</v>
      </c>
      <c r="J395" t="s">
        <v>54</v>
      </c>
      <c r="K395" t="s">
        <v>40</v>
      </c>
    </row>
    <row r="396" spans="1:11" x14ac:dyDescent="0.2">
      <c r="A396" s="1">
        <v>46065</v>
      </c>
      <c r="B396" t="s">
        <v>52</v>
      </c>
      <c r="C396" t="s">
        <v>55</v>
      </c>
      <c r="D396" t="s">
        <v>54</v>
      </c>
      <c r="E396" t="s">
        <v>54</v>
      </c>
      <c r="F396">
        <v>266249</v>
      </c>
      <c r="G396">
        <v>3392</v>
      </c>
      <c r="H396">
        <v>937.31</v>
      </c>
      <c r="I396">
        <v>224</v>
      </c>
      <c r="J396" t="s">
        <v>54</v>
      </c>
      <c r="K396" t="s">
        <v>40</v>
      </c>
    </row>
    <row r="397" spans="1:11" x14ac:dyDescent="0.2">
      <c r="A397" s="1">
        <v>46065</v>
      </c>
      <c r="B397" t="s">
        <v>56</v>
      </c>
      <c r="C397" t="s">
        <v>57</v>
      </c>
      <c r="D397" t="s">
        <v>58</v>
      </c>
      <c r="E397" t="s">
        <v>42</v>
      </c>
      <c r="F397">
        <v>36396</v>
      </c>
      <c r="G397">
        <v>2144</v>
      </c>
      <c r="H397">
        <v>472.53</v>
      </c>
      <c r="I397">
        <v>118</v>
      </c>
      <c r="J397" t="s">
        <v>43</v>
      </c>
      <c r="K397" t="s">
        <v>40</v>
      </c>
    </row>
    <row r="398" spans="1:11" x14ac:dyDescent="0.2">
      <c r="A398" s="1">
        <v>46065</v>
      </c>
      <c r="B398" t="s">
        <v>56</v>
      </c>
      <c r="C398" t="s">
        <v>57</v>
      </c>
      <c r="D398" t="s">
        <v>59</v>
      </c>
      <c r="E398" t="s">
        <v>38</v>
      </c>
      <c r="F398">
        <v>34353</v>
      </c>
      <c r="G398">
        <v>1984</v>
      </c>
      <c r="H398">
        <v>378.24</v>
      </c>
      <c r="I398">
        <v>114</v>
      </c>
      <c r="J398" t="s">
        <v>43</v>
      </c>
      <c r="K398" t="s">
        <v>40</v>
      </c>
    </row>
    <row r="399" spans="1:11" x14ac:dyDescent="0.2">
      <c r="A399" s="1">
        <v>46065</v>
      </c>
      <c r="B399" t="s">
        <v>63</v>
      </c>
      <c r="C399" t="s">
        <v>64</v>
      </c>
      <c r="D399" t="s">
        <v>65</v>
      </c>
      <c r="E399" t="s">
        <v>38</v>
      </c>
      <c r="F399">
        <v>46854</v>
      </c>
      <c r="G399">
        <v>2631</v>
      </c>
      <c r="H399">
        <v>504.37</v>
      </c>
      <c r="I399">
        <v>198</v>
      </c>
      <c r="J399" t="s">
        <v>43</v>
      </c>
      <c r="K399" t="s">
        <v>40</v>
      </c>
    </row>
    <row r="400" spans="1:11" x14ac:dyDescent="0.2">
      <c r="A400" s="1">
        <v>46065</v>
      </c>
      <c r="B400" t="s">
        <v>63</v>
      </c>
      <c r="C400" t="s">
        <v>64</v>
      </c>
      <c r="D400" t="s">
        <v>66</v>
      </c>
      <c r="E400" t="s">
        <v>42</v>
      </c>
      <c r="F400">
        <v>43020</v>
      </c>
      <c r="G400">
        <v>2969</v>
      </c>
      <c r="H400">
        <v>775.84</v>
      </c>
      <c r="I400">
        <v>231</v>
      </c>
      <c r="J400" t="s">
        <v>47</v>
      </c>
      <c r="K400" t="s">
        <v>40</v>
      </c>
    </row>
    <row r="401" spans="1:11" x14ac:dyDescent="0.2">
      <c r="A401" s="1">
        <v>46066</v>
      </c>
      <c r="B401" t="s">
        <v>35</v>
      </c>
      <c r="C401" t="s">
        <v>36</v>
      </c>
      <c r="D401" t="s">
        <v>37</v>
      </c>
      <c r="E401" t="s">
        <v>38</v>
      </c>
      <c r="F401">
        <v>62427</v>
      </c>
      <c r="G401">
        <v>4443</v>
      </c>
      <c r="H401">
        <v>1049.96</v>
      </c>
      <c r="I401">
        <v>381</v>
      </c>
      <c r="J401" t="s">
        <v>39</v>
      </c>
      <c r="K401" t="s">
        <v>40</v>
      </c>
    </row>
    <row r="402" spans="1:11" x14ac:dyDescent="0.2">
      <c r="A402" s="1">
        <v>46066</v>
      </c>
      <c r="B402" t="s">
        <v>35</v>
      </c>
      <c r="C402" t="s">
        <v>36</v>
      </c>
      <c r="D402" t="s">
        <v>41</v>
      </c>
      <c r="E402" t="s">
        <v>42</v>
      </c>
      <c r="F402">
        <v>51616</v>
      </c>
      <c r="G402">
        <v>3668</v>
      </c>
      <c r="H402">
        <v>828.55</v>
      </c>
      <c r="I402">
        <v>269</v>
      </c>
      <c r="J402" t="s">
        <v>43</v>
      </c>
      <c r="K402" t="s">
        <v>40</v>
      </c>
    </row>
    <row r="403" spans="1:11" x14ac:dyDescent="0.2">
      <c r="A403" s="1">
        <v>46066</v>
      </c>
      <c r="B403" t="s">
        <v>44</v>
      </c>
      <c r="C403" t="s">
        <v>45</v>
      </c>
      <c r="D403" t="s">
        <v>46</v>
      </c>
      <c r="E403" t="s">
        <v>42</v>
      </c>
      <c r="F403">
        <v>18867</v>
      </c>
      <c r="G403">
        <v>1123</v>
      </c>
      <c r="H403">
        <v>231.09</v>
      </c>
      <c r="I403">
        <v>78</v>
      </c>
      <c r="J403" t="s">
        <v>47</v>
      </c>
      <c r="K403" t="s">
        <v>40</v>
      </c>
    </row>
    <row r="404" spans="1:11" x14ac:dyDescent="0.2">
      <c r="A404" s="1">
        <v>46066</v>
      </c>
      <c r="B404" t="s">
        <v>44</v>
      </c>
      <c r="C404" t="s">
        <v>48</v>
      </c>
      <c r="D404" t="s">
        <v>49</v>
      </c>
      <c r="E404" t="s">
        <v>50</v>
      </c>
      <c r="F404">
        <v>39107</v>
      </c>
      <c r="G404">
        <v>2512</v>
      </c>
      <c r="H404">
        <v>509.92</v>
      </c>
      <c r="I404">
        <v>169</v>
      </c>
      <c r="J404" t="s">
        <v>51</v>
      </c>
      <c r="K404" t="s">
        <v>40</v>
      </c>
    </row>
    <row r="405" spans="1:11" x14ac:dyDescent="0.2">
      <c r="A405" s="1">
        <v>46066</v>
      </c>
      <c r="B405" t="s">
        <v>52</v>
      </c>
      <c r="C405" t="s">
        <v>53</v>
      </c>
      <c r="D405" t="s">
        <v>54</v>
      </c>
      <c r="E405" t="s">
        <v>54</v>
      </c>
      <c r="F405">
        <v>218049</v>
      </c>
      <c r="G405">
        <v>2961</v>
      </c>
      <c r="H405">
        <v>535.86</v>
      </c>
      <c r="I405">
        <v>261</v>
      </c>
      <c r="J405" t="s">
        <v>54</v>
      </c>
      <c r="K405" t="s">
        <v>40</v>
      </c>
    </row>
    <row r="406" spans="1:11" x14ac:dyDescent="0.2">
      <c r="A406" s="1">
        <v>46066</v>
      </c>
      <c r="B406" t="s">
        <v>52</v>
      </c>
      <c r="C406" t="s">
        <v>55</v>
      </c>
      <c r="D406" t="s">
        <v>54</v>
      </c>
      <c r="E406" t="s">
        <v>54</v>
      </c>
      <c r="F406">
        <v>196062</v>
      </c>
      <c r="G406">
        <v>2438</v>
      </c>
      <c r="H406">
        <v>536.1</v>
      </c>
      <c r="I406">
        <v>207</v>
      </c>
      <c r="J406" t="s">
        <v>54</v>
      </c>
      <c r="K406" t="s">
        <v>40</v>
      </c>
    </row>
    <row r="407" spans="1:11" x14ac:dyDescent="0.2">
      <c r="A407" s="1">
        <v>46066</v>
      </c>
      <c r="B407" t="s">
        <v>56</v>
      </c>
      <c r="C407" t="s">
        <v>57</v>
      </c>
      <c r="D407" t="s">
        <v>58</v>
      </c>
      <c r="E407" t="s">
        <v>42</v>
      </c>
      <c r="F407">
        <v>51859</v>
      </c>
      <c r="G407">
        <v>2583</v>
      </c>
      <c r="H407">
        <v>705.52</v>
      </c>
      <c r="I407">
        <v>191</v>
      </c>
      <c r="J407" t="s">
        <v>43</v>
      </c>
      <c r="K407" t="s">
        <v>40</v>
      </c>
    </row>
    <row r="408" spans="1:11" x14ac:dyDescent="0.2">
      <c r="A408" s="1">
        <v>46066</v>
      </c>
      <c r="B408" t="s">
        <v>56</v>
      </c>
      <c r="C408" t="s">
        <v>57</v>
      </c>
      <c r="D408" t="s">
        <v>59</v>
      </c>
      <c r="E408" t="s">
        <v>38</v>
      </c>
      <c r="F408">
        <v>53070</v>
      </c>
      <c r="G408">
        <v>2825</v>
      </c>
      <c r="H408">
        <v>670.57</v>
      </c>
      <c r="I408">
        <v>176</v>
      </c>
      <c r="J408" t="s">
        <v>43</v>
      </c>
      <c r="K408" t="s">
        <v>40</v>
      </c>
    </row>
    <row r="409" spans="1:11" x14ac:dyDescent="0.2">
      <c r="A409" s="1">
        <v>46066</v>
      </c>
      <c r="B409" t="s">
        <v>63</v>
      </c>
      <c r="C409" t="s">
        <v>64</v>
      </c>
      <c r="D409" t="s">
        <v>65</v>
      </c>
      <c r="E409" t="s">
        <v>38</v>
      </c>
      <c r="F409">
        <v>35939</v>
      </c>
      <c r="G409">
        <v>2155</v>
      </c>
      <c r="H409">
        <v>430.93</v>
      </c>
      <c r="I409">
        <v>181</v>
      </c>
      <c r="J409" t="s">
        <v>43</v>
      </c>
      <c r="K409" t="s">
        <v>40</v>
      </c>
    </row>
    <row r="410" spans="1:11" x14ac:dyDescent="0.2">
      <c r="A410" s="1">
        <v>46066</v>
      </c>
      <c r="B410" t="s">
        <v>63</v>
      </c>
      <c r="C410" t="s">
        <v>64</v>
      </c>
      <c r="D410" t="s">
        <v>66</v>
      </c>
      <c r="E410" t="s">
        <v>42</v>
      </c>
      <c r="F410">
        <v>43828</v>
      </c>
      <c r="G410">
        <v>2321</v>
      </c>
      <c r="H410">
        <v>464.84</v>
      </c>
      <c r="I410">
        <v>150</v>
      </c>
      <c r="J410" t="s">
        <v>47</v>
      </c>
      <c r="K410" t="s">
        <v>40</v>
      </c>
    </row>
    <row r="411" spans="1:11" x14ac:dyDescent="0.2">
      <c r="A411" s="1">
        <v>46067</v>
      </c>
      <c r="B411" t="s">
        <v>35</v>
      </c>
      <c r="C411" t="s">
        <v>36</v>
      </c>
      <c r="D411" t="s">
        <v>37</v>
      </c>
      <c r="E411" t="s">
        <v>38</v>
      </c>
      <c r="F411">
        <v>53331</v>
      </c>
      <c r="G411">
        <v>2759</v>
      </c>
      <c r="H411">
        <v>526.05999999999995</v>
      </c>
      <c r="I411">
        <v>253</v>
      </c>
      <c r="J411" t="s">
        <v>39</v>
      </c>
      <c r="K411" t="s">
        <v>40</v>
      </c>
    </row>
    <row r="412" spans="1:11" x14ac:dyDescent="0.2">
      <c r="A412" s="1">
        <v>46067</v>
      </c>
      <c r="B412" t="s">
        <v>35</v>
      </c>
      <c r="C412" t="s">
        <v>36</v>
      </c>
      <c r="D412" t="s">
        <v>41</v>
      </c>
      <c r="E412" t="s">
        <v>42</v>
      </c>
      <c r="F412">
        <v>67659</v>
      </c>
      <c r="G412">
        <v>4244</v>
      </c>
      <c r="H412">
        <v>1088.27</v>
      </c>
      <c r="I412">
        <v>325</v>
      </c>
      <c r="J412" t="s">
        <v>43</v>
      </c>
      <c r="K412" t="s">
        <v>40</v>
      </c>
    </row>
    <row r="413" spans="1:11" x14ac:dyDescent="0.2">
      <c r="A413" s="1">
        <v>46067</v>
      </c>
      <c r="B413" t="s">
        <v>44</v>
      </c>
      <c r="C413" t="s">
        <v>45</v>
      </c>
      <c r="D413" t="s">
        <v>46</v>
      </c>
      <c r="E413" t="s">
        <v>42</v>
      </c>
      <c r="F413">
        <v>20430</v>
      </c>
      <c r="G413">
        <v>1396</v>
      </c>
      <c r="H413">
        <v>303.10000000000002</v>
      </c>
      <c r="I413">
        <v>94</v>
      </c>
      <c r="J413" t="s">
        <v>47</v>
      </c>
      <c r="K413" t="s">
        <v>40</v>
      </c>
    </row>
    <row r="414" spans="1:11" x14ac:dyDescent="0.2">
      <c r="A414" s="1">
        <v>46067</v>
      </c>
      <c r="B414" t="s">
        <v>44</v>
      </c>
      <c r="C414" t="s">
        <v>48</v>
      </c>
      <c r="D414" t="s">
        <v>49</v>
      </c>
      <c r="E414" t="s">
        <v>50</v>
      </c>
      <c r="F414">
        <v>44806</v>
      </c>
      <c r="G414">
        <v>2678</v>
      </c>
      <c r="H414">
        <v>745.66</v>
      </c>
      <c r="I414">
        <v>245</v>
      </c>
      <c r="J414" t="s">
        <v>51</v>
      </c>
      <c r="K414" t="s">
        <v>40</v>
      </c>
    </row>
    <row r="415" spans="1:11" x14ac:dyDescent="0.2">
      <c r="A415" s="1">
        <v>46067</v>
      </c>
      <c r="B415" t="s">
        <v>52</v>
      </c>
      <c r="C415" t="s">
        <v>53</v>
      </c>
      <c r="D415" t="s">
        <v>54</v>
      </c>
      <c r="E415" t="s">
        <v>54</v>
      </c>
      <c r="F415">
        <v>202776</v>
      </c>
      <c r="G415">
        <v>2633</v>
      </c>
      <c r="H415">
        <v>671.46</v>
      </c>
      <c r="I415">
        <v>158</v>
      </c>
      <c r="J415" t="s">
        <v>54</v>
      </c>
      <c r="K415" t="s">
        <v>40</v>
      </c>
    </row>
    <row r="416" spans="1:11" x14ac:dyDescent="0.2">
      <c r="A416" s="1">
        <v>46067</v>
      </c>
      <c r="B416" t="s">
        <v>52</v>
      </c>
      <c r="C416" t="s">
        <v>55</v>
      </c>
      <c r="D416" t="s">
        <v>54</v>
      </c>
      <c r="E416" t="s">
        <v>54</v>
      </c>
      <c r="F416">
        <v>254254</v>
      </c>
      <c r="G416">
        <v>3812</v>
      </c>
      <c r="H416">
        <v>868.5</v>
      </c>
      <c r="I416">
        <v>292</v>
      </c>
      <c r="J416" t="s">
        <v>54</v>
      </c>
      <c r="K416" t="s">
        <v>40</v>
      </c>
    </row>
    <row r="417" spans="1:11" x14ac:dyDescent="0.2">
      <c r="A417" s="1">
        <v>46067</v>
      </c>
      <c r="B417" t="s">
        <v>56</v>
      </c>
      <c r="C417" t="s">
        <v>57</v>
      </c>
      <c r="D417" t="s">
        <v>58</v>
      </c>
      <c r="E417" t="s">
        <v>42</v>
      </c>
      <c r="F417">
        <v>68688</v>
      </c>
      <c r="G417">
        <v>3869</v>
      </c>
      <c r="H417">
        <v>1029.31</v>
      </c>
      <c r="I417">
        <v>332</v>
      </c>
      <c r="J417" t="s">
        <v>43</v>
      </c>
      <c r="K417" t="s">
        <v>40</v>
      </c>
    </row>
    <row r="418" spans="1:11" x14ac:dyDescent="0.2">
      <c r="A418" s="1">
        <v>46067</v>
      </c>
      <c r="B418" t="s">
        <v>56</v>
      </c>
      <c r="C418" t="s">
        <v>57</v>
      </c>
      <c r="D418" t="s">
        <v>59</v>
      </c>
      <c r="E418" t="s">
        <v>38</v>
      </c>
      <c r="F418">
        <v>63939</v>
      </c>
      <c r="G418">
        <v>4567</v>
      </c>
      <c r="H418">
        <v>1140.95</v>
      </c>
      <c r="I418">
        <v>335</v>
      </c>
      <c r="J418" t="s">
        <v>43</v>
      </c>
      <c r="K418" t="s">
        <v>40</v>
      </c>
    </row>
    <row r="419" spans="1:11" x14ac:dyDescent="0.2">
      <c r="A419" s="1">
        <v>46067</v>
      </c>
      <c r="B419" t="s">
        <v>63</v>
      </c>
      <c r="C419" t="s">
        <v>64</v>
      </c>
      <c r="D419" t="s">
        <v>65</v>
      </c>
      <c r="E419" t="s">
        <v>38</v>
      </c>
      <c r="F419">
        <v>16881</v>
      </c>
      <c r="G419">
        <v>815</v>
      </c>
      <c r="H419">
        <v>163.88</v>
      </c>
      <c r="I419">
        <v>63</v>
      </c>
      <c r="J419" t="s">
        <v>43</v>
      </c>
      <c r="K419" t="s">
        <v>40</v>
      </c>
    </row>
    <row r="420" spans="1:11" x14ac:dyDescent="0.2">
      <c r="A420" s="1">
        <v>46067</v>
      </c>
      <c r="B420" t="s">
        <v>63</v>
      </c>
      <c r="C420" t="s">
        <v>64</v>
      </c>
      <c r="D420" t="s">
        <v>66</v>
      </c>
      <c r="E420" t="s">
        <v>42</v>
      </c>
      <c r="F420">
        <v>50123</v>
      </c>
      <c r="G420">
        <v>2840</v>
      </c>
      <c r="H420">
        <v>755.96</v>
      </c>
      <c r="I420">
        <v>177</v>
      </c>
      <c r="J420" t="s">
        <v>47</v>
      </c>
      <c r="K420" t="s">
        <v>40</v>
      </c>
    </row>
    <row r="421" spans="1:11" x14ac:dyDescent="0.2">
      <c r="A421" s="1">
        <v>46068</v>
      </c>
      <c r="B421" t="s">
        <v>35</v>
      </c>
      <c r="C421" t="s">
        <v>36</v>
      </c>
      <c r="D421" t="s">
        <v>37</v>
      </c>
      <c r="E421" t="s">
        <v>38</v>
      </c>
      <c r="F421">
        <v>43561</v>
      </c>
      <c r="G421">
        <v>2338</v>
      </c>
      <c r="H421">
        <v>531.04</v>
      </c>
      <c r="I421">
        <v>185</v>
      </c>
      <c r="J421" t="s">
        <v>39</v>
      </c>
      <c r="K421" t="s">
        <v>40</v>
      </c>
    </row>
    <row r="422" spans="1:11" x14ac:dyDescent="0.2">
      <c r="A422" s="1">
        <v>46068</v>
      </c>
      <c r="B422" t="s">
        <v>35</v>
      </c>
      <c r="C422" t="s">
        <v>36</v>
      </c>
      <c r="D422" t="s">
        <v>41</v>
      </c>
      <c r="E422" t="s">
        <v>42</v>
      </c>
      <c r="F422">
        <v>54369</v>
      </c>
      <c r="G422">
        <v>2849</v>
      </c>
      <c r="H422">
        <v>633.6</v>
      </c>
      <c r="I422">
        <v>204</v>
      </c>
      <c r="J422" t="s">
        <v>43</v>
      </c>
      <c r="K422" t="s">
        <v>40</v>
      </c>
    </row>
    <row r="423" spans="1:11" x14ac:dyDescent="0.2">
      <c r="A423" s="1">
        <v>46068</v>
      </c>
      <c r="B423" t="s">
        <v>44</v>
      </c>
      <c r="C423" t="s">
        <v>45</v>
      </c>
      <c r="D423" t="s">
        <v>46</v>
      </c>
      <c r="E423" t="s">
        <v>42</v>
      </c>
      <c r="F423">
        <v>55038</v>
      </c>
      <c r="G423">
        <v>3124</v>
      </c>
      <c r="H423">
        <v>687.47</v>
      </c>
      <c r="I423">
        <v>228</v>
      </c>
      <c r="J423" t="s">
        <v>47</v>
      </c>
      <c r="K423" t="s">
        <v>40</v>
      </c>
    </row>
    <row r="424" spans="1:11" x14ac:dyDescent="0.2">
      <c r="A424" s="1">
        <v>46068</v>
      </c>
      <c r="B424" t="s">
        <v>44</v>
      </c>
      <c r="C424" t="s">
        <v>48</v>
      </c>
      <c r="D424" t="s">
        <v>49</v>
      </c>
      <c r="E424" t="s">
        <v>50</v>
      </c>
      <c r="F424">
        <v>29750</v>
      </c>
      <c r="G424">
        <v>2127</v>
      </c>
      <c r="H424">
        <v>528.77</v>
      </c>
      <c r="I424">
        <v>186</v>
      </c>
      <c r="J424" t="s">
        <v>51</v>
      </c>
      <c r="K424" t="s">
        <v>40</v>
      </c>
    </row>
    <row r="425" spans="1:11" x14ac:dyDescent="0.2">
      <c r="A425" s="1">
        <v>46068</v>
      </c>
      <c r="B425" t="s">
        <v>52</v>
      </c>
      <c r="C425" t="s">
        <v>53</v>
      </c>
      <c r="D425" t="s">
        <v>54</v>
      </c>
      <c r="E425" t="s">
        <v>54</v>
      </c>
      <c r="F425">
        <v>200611</v>
      </c>
      <c r="G425">
        <v>3013</v>
      </c>
      <c r="H425">
        <v>709.66</v>
      </c>
      <c r="I425">
        <v>268</v>
      </c>
      <c r="J425" t="s">
        <v>54</v>
      </c>
      <c r="K425" t="s">
        <v>40</v>
      </c>
    </row>
    <row r="426" spans="1:11" x14ac:dyDescent="0.2">
      <c r="A426" s="1">
        <v>46068</v>
      </c>
      <c r="B426" t="s">
        <v>52</v>
      </c>
      <c r="C426" t="s">
        <v>55</v>
      </c>
      <c r="D426" t="s">
        <v>54</v>
      </c>
      <c r="E426" t="s">
        <v>54</v>
      </c>
      <c r="F426">
        <v>185116</v>
      </c>
      <c r="G426">
        <v>2171</v>
      </c>
      <c r="H426">
        <v>599.01</v>
      </c>
      <c r="I426">
        <v>132</v>
      </c>
      <c r="J426" t="s">
        <v>54</v>
      </c>
      <c r="K426" t="s">
        <v>40</v>
      </c>
    </row>
    <row r="427" spans="1:11" x14ac:dyDescent="0.2">
      <c r="A427" s="1">
        <v>46068</v>
      </c>
      <c r="B427" t="s">
        <v>56</v>
      </c>
      <c r="C427" t="s">
        <v>57</v>
      </c>
      <c r="D427" t="s">
        <v>58</v>
      </c>
      <c r="E427" t="s">
        <v>42</v>
      </c>
      <c r="F427">
        <v>17020</v>
      </c>
      <c r="G427">
        <v>889</v>
      </c>
      <c r="H427">
        <v>204.43</v>
      </c>
      <c r="I427">
        <v>84</v>
      </c>
      <c r="J427" t="s">
        <v>43</v>
      </c>
      <c r="K427" t="s">
        <v>40</v>
      </c>
    </row>
    <row r="428" spans="1:11" x14ac:dyDescent="0.2">
      <c r="A428" s="1">
        <v>46068</v>
      </c>
      <c r="B428" t="s">
        <v>56</v>
      </c>
      <c r="C428" t="s">
        <v>57</v>
      </c>
      <c r="D428" t="s">
        <v>59</v>
      </c>
      <c r="E428" t="s">
        <v>38</v>
      </c>
      <c r="F428">
        <v>70211</v>
      </c>
      <c r="G428">
        <v>4269</v>
      </c>
      <c r="H428">
        <v>903.2</v>
      </c>
      <c r="I428">
        <v>317</v>
      </c>
      <c r="J428" t="s">
        <v>43</v>
      </c>
      <c r="K428" t="s">
        <v>40</v>
      </c>
    </row>
    <row r="429" spans="1:11" x14ac:dyDescent="0.2">
      <c r="A429" s="1">
        <v>46068</v>
      </c>
      <c r="B429" t="s">
        <v>63</v>
      </c>
      <c r="C429" t="s">
        <v>64</v>
      </c>
      <c r="D429" t="s">
        <v>65</v>
      </c>
      <c r="E429" t="s">
        <v>38</v>
      </c>
      <c r="F429">
        <v>42315</v>
      </c>
      <c r="G429">
        <v>2602</v>
      </c>
      <c r="H429">
        <v>616.11</v>
      </c>
      <c r="I429">
        <v>184</v>
      </c>
      <c r="J429" t="s">
        <v>43</v>
      </c>
      <c r="K429" t="s">
        <v>40</v>
      </c>
    </row>
    <row r="430" spans="1:11" x14ac:dyDescent="0.2">
      <c r="A430" s="1">
        <v>46068</v>
      </c>
      <c r="B430" t="s">
        <v>63</v>
      </c>
      <c r="C430" t="s">
        <v>64</v>
      </c>
      <c r="D430" t="s">
        <v>66</v>
      </c>
      <c r="E430" t="s">
        <v>42</v>
      </c>
      <c r="F430">
        <v>33126</v>
      </c>
      <c r="G430">
        <v>1637</v>
      </c>
      <c r="H430">
        <v>427.88</v>
      </c>
      <c r="I430">
        <v>121</v>
      </c>
      <c r="J430" t="s">
        <v>47</v>
      </c>
      <c r="K430" t="s">
        <v>40</v>
      </c>
    </row>
    <row r="431" spans="1:11" x14ac:dyDescent="0.2">
      <c r="A431" s="1">
        <v>46069</v>
      </c>
      <c r="B431" t="s">
        <v>35</v>
      </c>
      <c r="C431" t="s">
        <v>36</v>
      </c>
      <c r="D431" t="s">
        <v>37</v>
      </c>
      <c r="E431" t="s">
        <v>38</v>
      </c>
      <c r="F431">
        <v>26097</v>
      </c>
      <c r="G431">
        <v>1534</v>
      </c>
      <c r="H431">
        <v>327.45999999999998</v>
      </c>
      <c r="I431">
        <v>106</v>
      </c>
      <c r="J431" t="s">
        <v>39</v>
      </c>
      <c r="K431" t="s">
        <v>40</v>
      </c>
    </row>
    <row r="432" spans="1:11" x14ac:dyDescent="0.2">
      <c r="A432" s="1">
        <v>46069</v>
      </c>
      <c r="B432" t="s">
        <v>35</v>
      </c>
      <c r="C432" t="s">
        <v>36</v>
      </c>
      <c r="D432" t="s">
        <v>41</v>
      </c>
      <c r="E432" t="s">
        <v>42</v>
      </c>
      <c r="F432">
        <v>43022</v>
      </c>
      <c r="G432">
        <v>2420</v>
      </c>
      <c r="H432">
        <v>535.25</v>
      </c>
      <c r="I432">
        <v>167</v>
      </c>
      <c r="J432" t="s">
        <v>43</v>
      </c>
      <c r="K432" t="s">
        <v>40</v>
      </c>
    </row>
    <row r="433" spans="1:11" x14ac:dyDescent="0.2">
      <c r="A433" s="1">
        <v>46069</v>
      </c>
      <c r="B433" t="s">
        <v>44</v>
      </c>
      <c r="C433" t="s">
        <v>45</v>
      </c>
      <c r="D433" t="s">
        <v>46</v>
      </c>
      <c r="E433" t="s">
        <v>42</v>
      </c>
      <c r="F433">
        <v>36860</v>
      </c>
      <c r="G433">
        <v>2279</v>
      </c>
      <c r="H433">
        <v>558.32000000000005</v>
      </c>
      <c r="I433">
        <v>174</v>
      </c>
      <c r="J433" t="s">
        <v>47</v>
      </c>
      <c r="K433" t="s">
        <v>40</v>
      </c>
    </row>
    <row r="434" spans="1:11" x14ac:dyDescent="0.2">
      <c r="A434" s="1">
        <v>46069</v>
      </c>
      <c r="B434" t="s">
        <v>44</v>
      </c>
      <c r="C434" t="s">
        <v>48</v>
      </c>
      <c r="D434" t="s">
        <v>49</v>
      </c>
      <c r="E434" t="s">
        <v>50</v>
      </c>
      <c r="F434">
        <v>45843</v>
      </c>
      <c r="G434">
        <v>2591</v>
      </c>
      <c r="H434">
        <v>640.79999999999995</v>
      </c>
      <c r="I434">
        <v>193</v>
      </c>
      <c r="J434" t="s">
        <v>51</v>
      </c>
      <c r="K434" t="s">
        <v>40</v>
      </c>
    </row>
    <row r="435" spans="1:11" x14ac:dyDescent="0.2">
      <c r="A435" s="1">
        <v>46069</v>
      </c>
      <c r="B435" t="s">
        <v>52</v>
      </c>
      <c r="C435" t="s">
        <v>53</v>
      </c>
      <c r="D435" t="s">
        <v>54</v>
      </c>
      <c r="E435" t="s">
        <v>54</v>
      </c>
      <c r="F435">
        <v>237728</v>
      </c>
      <c r="G435">
        <v>3672</v>
      </c>
      <c r="H435">
        <v>800.89</v>
      </c>
      <c r="I435">
        <v>244</v>
      </c>
      <c r="J435" t="s">
        <v>54</v>
      </c>
      <c r="K435" t="s">
        <v>40</v>
      </c>
    </row>
    <row r="436" spans="1:11" x14ac:dyDescent="0.2">
      <c r="A436" s="1">
        <v>46069</v>
      </c>
      <c r="B436" t="s">
        <v>52</v>
      </c>
      <c r="C436" t="s">
        <v>55</v>
      </c>
      <c r="D436" t="s">
        <v>54</v>
      </c>
      <c r="E436" t="s">
        <v>54</v>
      </c>
      <c r="F436">
        <v>174376</v>
      </c>
      <c r="G436">
        <v>2675</v>
      </c>
      <c r="H436">
        <v>652.86</v>
      </c>
      <c r="I436">
        <v>246</v>
      </c>
      <c r="J436" t="s">
        <v>54</v>
      </c>
      <c r="K436" t="s">
        <v>40</v>
      </c>
    </row>
    <row r="437" spans="1:11" x14ac:dyDescent="0.2">
      <c r="A437" s="1">
        <v>46069</v>
      </c>
      <c r="B437" t="s">
        <v>56</v>
      </c>
      <c r="C437" t="s">
        <v>57</v>
      </c>
      <c r="D437" t="s">
        <v>58</v>
      </c>
      <c r="E437" t="s">
        <v>42</v>
      </c>
      <c r="F437">
        <v>60230</v>
      </c>
      <c r="G437">
        <v>3803</v>
      </c>
      <c r="H437">
        <v>901.93</v>
      </c>
      <c r="I437">
        <v>338</v>
      </c>
      <c r="J437" t="s">
        <v>43</v>
      </c>
      <c r="K437" t="s">
        <v>40</v>
      </c>
    </row>
    <row r="438" spans="1:11" x14ac:dyDescent="0.2">
      <c r="A438" s="1">
        <v>46069</v>
      </c>
      <c r="B438" t="s">
        <v>56</v>
      </c>
      <c r="C438" t="s">
        <v>57</v>
      </c>
      <c r="D438" t="s">
        <v>59</v>
      </c>
      <c r="E438" t="s">
        <v>38</v>
      </c>
      <c r="F438">
        <v>23480</v>
      </c>
      <c r="G438">
        <v>1171</v>
      </c>
      <c r="H438">
        <v>251.02</v>
      </c>
      <c r="I438">
        <v>79</v>
      </c>
      <c r="J438" t="s">
        <v>43</v>
      </c>
      <c r="K438" t="s">
        <v>40</v>
      </c>
    </row>
    <row r="439" spans="1:11" x14ac:dyDescent="0.2">
      <c r="A439" s="1">
        <v>46069</v>
      </c>
      <c r="B439" t="s">
        <v>63</v>
      </c>
      <c r="C439" t="s">
        <v>64</v>
      </c>
      <c r="D439" t="s">
        <v>65</v>
      </c>
      <c r="E439" t="s">
        <v>38</v>
      </c>
      <c r="F439">
        <v>46550</v>
      </c>
      <c r="G439">
        <v>3028</v>
      </c>
      <c r="H439">
        <v>728.35</v>
      </c>
      <c r="I439">
        <v>214</v>
      </c>
      <c r="J439" t="s">
        <v>43</v>
      </c>
      <c r="K439" t="s">
        <v>40</v>
      </c>
    </row>
    <row r="440" spans="1:11" x14ac:dyDescent="0.2">
      <c r="A440" s="1">
        <v>46069</v>
      </c>
      <c r="B440" t="s">
        <v>63</v>
      </c>
      <c r="C440" t="s">
        <v>64</v>
      </c>
      <c r="D440" t="s">
        <v>66</v>
      </c>
      <c r="E440" t="s">
        <v>42</v>
      </c>
      <c r="F440">
        <v>62649</v>
      </c>
      <c r="G440">
        <v>4181</v>
      </c>
      <c r="H440">
        <v>1145.08</v>
      </c>
      <c r="I440">
        <v>355</v>
      </c>
      <c r="J440" t="s">
        <v>47</v>
      </c>
      <c r="K440" t="s">
        <v>40</v>
      </c>
    </row>
    <row r="441" spans="1:11" x14ac:dyDescent="0.2">
      <c r="A441" s="1">
        <v>46070</v>
      </c>
      <c r="B441" t="s">
        <v>35</v>
      </c>
      <c r="C441" t="s">
        <v>36</v>
      </c>
      <c r="D441" t="s">
        <v>37</v>
      </c>
      <c r="E441" t="s">
        <v>38</v>
      </c>
      <c r="F441">
        <v>44140</v>
      </c>
      <c r="G441">
        <v>3141</v>
      </c>
      <c r="H441">
        <v>695.41</v>
      </c>
      <c r="I441">
        <v>195</v>
      </c>
      <c r="J441" t="s">
        <v>39</v>
      </c>
      <c r="K441" t="s">
        <v>40</v>
      </c>
    </row>
    <row r="442" spans="1:11" x14ac:dyDescent="0.2">
      <c r="A442" s="1">
        <v>46070</v>
      </c>
      <c r="B442" t="s">
        <v>35</v>
      </c>
      <c r="C442" t="s">
        <v>36</v>
      </c>
      <c r="D442" t="s">
        <v>41</v>
      </c>
      <c r="E442" t="s">
        <v>42</v>
      </c>
      <c r="F442">
        <v>11513</v>
      </c>
      <c r="G442">
        <v>587</v>
      </c>
      <c r="H442">
        <v>119.43</v>
      </c>
      <c r="I442">
        <v>38</v>
      </c>
      <c r="J442" t="s">
        <v>43</v>
      </c>
      <c r="K442" t="s">
        <v>40</v>
      </c>
    </row>
    <row r="443" spans="1:11" x14ac:dyDescent="0.2">
      <c r="A443" s="1">
        <v>46070</v>
      </c>
      <c r="B443" t="s">
        <v>44</v>
      </c>
      <c r="C443" t="s">
        <v>45</v>
      </c>
      <c r="D443" t="s">
        <v>46</v>
      </c>
      <c r="E443" t="s">
        <v>42</v>
      </c>
      <c r="F443">
        <v>15247</v>
      </c>
      <c r="G443">
        <v>808</v>
      </c>
      <c r="H443">
        <v>177.52</v>
      </c>
      <c r="I443">
        <v>47</v>
      </c>
      <c r="J443" t="s">
        <v>47</v>
      </c>
      <c r="K443" t="s">
        <v>40</v>
      </c>
    </row>
    <row r="444" spans="1:11" x14ac:dyDescent="0.2">
      <c r="A444" s="1">
        <v>46070</v>
      </c>
      <c r="B444" t="s">
        <v>44</v>
      </c>
      <c r="C444" t="s">
        <v>48</v>
      </c>
      <c r="D444" t="s">
        <v>49</v>
      </c>
      <c r="E444" t="s">
        <v>50</v>
      </c>
      <c r="F444">
        <v>41010</v>
      </c>
      <c r="G444">
        <v>2508</v>
      </c>
      <c r="H444">
        <v>458.05</v>
      </c>
      <c r="I444">
        <v>177</v>
      </c>
      <c r="J444" t="s">
        <v>51</v>
      </c>
      <c r="K444" t="s">
        <v>40</v>
      </c>
    </row>
    <row r="445" spans="1:11" x14ac:dyDescent="0.2">
      <c r="A445" s="1">
        <v>46070</v>
      </c>
      <c r="B445" t="s">
        <v>52</v>
      </c>
      <c r="C445" t="s">
        <v>53</v>
      </c>
      <c r="D445" t="s">
        <v>54</v>
      </c>
      <c r="E445" t="s">
        <v>54</v>
      </c>
      <c r="F445">
        <v>100911</v>
      </c>
      <c r="G445">
        <v>1162</v>
      </c>
      <c r="H445">
        <v>280.98</v>
      </c>
      <c r="I445">
        <v>67</v>
      </c>
      <c r="J445" t="s">
        <v>54</v>
      </c>
      <c r="K445" t="s">
        <v>40</v>
      </c>
    </row>
    <row r="446" spans="1:11" x14ac:dyDescent="0.2">
      <c r="A446" s="1">
        <v>46070</v>
      </c>
      <c r="B446" t="s">
        <v>52</v>
      </c>
      <c r="C446" t="s">
        <v>55</v>
      </c>
      <c r="D446" t="s">
        <v>54</v>
      </c>
      <c r="E446" t="s">
        <v>54</v>
      </c>
      <c r="F446">
        <v>141097</v>
      </c>
      <c r="G446">
        <v>1770</v>
      </c>
      <c r="H446">
        <v>362.39</v>
      </c>
      <c r="I446">
        <v>117</v>
      </c>
      <c r="J446" t="s">
        <v>54</v>
      </c>
      <c r="K446" t="s">
        <v>40</v>
      </c>
    </row>
    <row r="447" spans="1:11" x14ac:dyDescent="0.2">
      <c r="A447" s="1">
        <v>46070</v>
      </c>
      <c r="B447" t="s">
        <v>56</v>
      </c>
      <c r="C447" t="s">
        <v>57</v>
      </c>
      <c r="D447" t="s">
        <v>58</v>
      </c>
      <c r="E447" t="s">
        <v>42</v>
      </c>
      <c r="F447">
        <v>18284</v>
      </c>
      <c r="G447">
        <v>935</v>
      </c>
      <c r="H447">
        <v>246.7</v>
      </c>
      <c r="I447">
        <v>52</v>
      </c>
      <c r="J447" t="s">
        <v>43</v>
      </c>
      <c r="K447" t="s">
        <v>40</v>
      </c>
    </row>
    <row r="448" spans="1:11" x14ac:dyDescent="0.2">
      <c r="A448" s="1">
        <v>46070</v>
      </c>
      <c r="B448" t="s">
        <v>56</v>
      </c>
      <c r="C448" t="s">
        <v>57</v>
      </c>
      <c r="D448" t="s">
        <v>59</v>
      </c>
      <c r="E448" t="s">
        <v>38</v>
      </c>
      <c r="F448">
        <v>33385</v>
      </c>
      <c r="G448">
        <v>2291</v>
      </c>
      <c r="H448">
        <v>486.88</v>
      </c>
      <c r="I448">
        <v>169</v>
      </c>
      <c r="J448" t="s">
        <v>43</v>
      </c>
      <c r="K448" t="s">
        <v>40</v>
      </c>
    </row>
    <row r="449" spans="1:11" x14ac:dyDescent="0.2">
      <c r="A449" s="1">
        <v>46071</v>
      </c>
      <c r="B449" t="s">
        <v>35</v>
      </c>
      <c r="C449" t="s">
        <v>36</v>
      </c>
      <c r="D449" t="s">
        <v>37</v>
      </c>
      <c r="E449" t="s">
        <v>38</v>
      </c>
      <c r="F449">
        <v>27852</v>
      </c>
      <c r="G449">
        <v>1703</v>
      </c>
      <c r="H449">
        <v>329.55</v>
      </c>
      <c r="I449">
        <v>158</v>
      </c>
      <c r="J449" t="s">
        <v>39</v>
      </c>
      <c r="K449" t="s">
        <v>40</v>
      </c>
    </row>
    <row r="450" spans="1:11" x14ac:dyDescent="0.2">
      <c r="A450" s="1">
        <v>46071</v>
      </c>
      <c r="B450" t="s">
        <v>35</v>
      </c>
      <c r="C450" t="s">
        <v>36</v>
      </c>
      <c r="D450" t="s">
        <v>41</v>
      </c>
      <c r="E450" t="s">
        <v>42</v>
      </c>
      <c r="F450">
        <v>21602</v>
      </c>
      <c r="G450">
        <v>1343</v>
      </c>
      <c r="H450">
        <v>303.05</v>
      </c>
      <c r="I450">
        <v>114</v>
      </c>
      <c r="J450" t="s">
        <v>43</v>
      </c>
      <c r="K450" t="s">
        <v>40</v>
      </c>
    </row>
    <row r="451" spans="1:11" x14ac:dyDescent="0.2">
      <c r="A451" s="1">
        <v>46071</v>
      </c>
      <c r="B451" t="s">
        <v>44</v>
      </c>
      <c r="C451" t="s">
        <v>45</v>
      </c>
      <c r="D451" t="s">
        <v>46</v>
      </c>
      <c r="E451" t="s">
        <v>42</v>
      </c>
      <c r="F451">
        <v>38506</v>
      </c>
      <c r="G451">
        <v>2332</v>
      </c>
      <c r="H451">
        <v>568.9</v>
      </c>
      <c r="I451">
        <v>157</v>
      </c>
      <c r="J451" t="s">
        <v>47</v>
      </c>
      <c r="K451" t="s">
        <v>40</v>
      </c>
    </row>
    <row r="452" spans="1:11" x14ac:dyDescent="0.2">
      <c r="A452" s="1">
        <v>46071</v>
      </c>
      <c r="B452" t="s">
        <v>44</v>
      </c>
      <c r="C452" t="s">
        <v>48</v>
      </c>
      <c r="D452" t="s">
        <v>49</v>
      </c>
      <c r="E452" t="s">
        <v>50</v>
      </c>
      <c r="F452">
        <v>32752</v>
      </c>
      <c r="G452">
        <v>1950</v>
      </c>
      <c r="H452">
        <v>395.29</v>
      </c>
      <c r="I452">
        <v>114</v>
      </c>
      <c r="J452" t="s">
        <v>51</v>
      </c>
      <c r="K452" t="s">
        <v>40</v>
      </c>
    </row>
    <row r="453" spans="1:11" x14ac:dyDescent="0.2">
      <c r="A453" s="1">
        <v>46071</v>
      </c>
      <c r="B453" t="s">
        <v>52</v>
      </c>
      <c r="C453" t="s">
        <v>53</v>
      </c>
      <c r="D453" t="s">
        <v>54</v>
      </c>
      <c r="E453" t="s">
        <v>54</v>
      </c>
      <c r="F453">
        <v>130352</v>
      </c>
      <c r="G453">
        <v>1672</v>
      </c>
      <c r="H453">
        <v>344.4</v>
      </c>
      <c r="I453">
        <v>112</v>
      </c>
      <c r="J453" t="s">
        <v>54</v>
      </c>
      <c r="K453" t="s">
        <v>40</v>
      </c>
    </row>
    <row r="454" spans="1:11" x14ac:dyDescent="0.2">
      <c r="A454" s="1">
        <v>46071</v>
      </c>
      <c r="B454" t="s">
        <v>52</v>
      </c>
      <c r="C454" t="s">
        <v>55</v>
      </c>
      <c r="D454" t="s">
        <v>54</v>
      </c>
      <c r="E454" t="s">
        <v>54</v>
      </c>
      <c r="F454">
        <v>90012</v>
      </c>
      <c r="G454">
        <v>1225</v>
      </c>
      <c r="H454">
        <v>313.39</v>
      </c>
      <c r="I454">
        <v>74</v>
      </c>
      <c r="J454" t="s">
        <v>54</v>
      </c>
      <c r="K454" t="s">
        <v>40</v>
      </c>
    </row>
    <row r="455" spans="1:11" x14ac:dyDescent="0.2">
      <c r="A455" s="1">
        <v>46071</v>
      </c>
      <c r="B455" t="s">
        <v>56</v>
      </c>
      <c r="C455" t="s">
        <v>57</v>
      </c>
      <c r="D455" t="s">
        <v>58</v>
      </c>
      <c r="E455" t="s">
        <v>42</v>
      </c>
      <c r="F455">
        <v>28793</v>
      </c>
      <c r="G455">
        <v>1706</v>
      </c>
      <c r="H455">
        <v>308.5</v>
      </c>
      <c r="I455">
        <v>156</v>
      </c>
      <c r="J455" t="s">
        <v>43</v>
      </c>
      <c r="K455" t="s">
        <v>40</v>
      </c>
    </row>
    <row r="456" spans="1:11" x14ac:dyDescent="0.2">
      <c r="A456" s="1">
        <v>46071</v>
      </c>
      <c r="B456" t="s">
        <v>56</v>
      </c>
      <c r="C456" t="s">
        <v>57</v>
      </c>
      <c r="D456" t="s">
        <v>59</v>
      </c>
      <c r="E456" t="s">
        <v>38</v>
      </c>
      <c r="F456">
        <v>41265</v>
      </c>
      <c r="G456">
        <v>2277</v>
      </c>
      <c r="H456">
        <v>584.25</v>
      </c>
      <c r="I456">
        <v>197</v>
      </c>
      <c r="J456" t="s">
        <v>43</v>
      </c>
      <c r="K456" t="s">
        <v>40</v>
      </c>
    </row>
    <row r="457" spans="1:11" x14ac:dyDescent="0.2">
      <c r="A457" s="1">
        <v>46072</v>
      </c>
      <c r="B457" t="s">
        <v>35</v>
      </c>
      <c r="C457" t="s">
        <v>36</v>
      </c>
      <c r="D457" t="s">
        <v>37</v>
      </c>
      <c r="E457" t="s">
        <v>38</v>
      </c>
      <c r="F457">
        <v>25152</v>
      </c>
      <c r="G457">
        <v>1688</v>
      </c>
      <c r="H457">
        <v>396.38</v>
      </c>
      <c r="I457">
        <v>105</v>
      </c>
      <c r="J457" t="s">
        <v>39</v>
      </c>
      <c r="K457" t="s">
        <v>40</v>
      </c>
    </row>
    <row r="458" spans="1:11" x14ac:dyDescent="0.2">
      <c r="A458" s="1">
        <v>46072</v>
      </c>
      <c r="B458" t="s">
        <v>35</v>
      </c>
      <c r="C458" t="s">
        <v>36</v>
      </c>
      <c r="D458" t="s">
        <v>41</v>
      </c>
      <c r="E458" t="s">
        <v>42</v>
      </c>
      <c r="F458">
        <v>38646</v>
      </c>
      <c r="G458">
        <v>2221</v>
      </c>
      <c r="H458">
        <v>436.04</v>
      </c>
      <c r="I458">
        <v>187</v>
      </c>
      <c r="J458" t="s">
        <v>43</v>
      </c>
      <c r="K458" t="s">
        <v>40</v>
      </c>
    </row>
    <row r="459" spans="1:11" x14ac:dyDescent="0.2">
      <c r="A459" s="1">
        <v>46072</v>
      </c>
      <c r="B459" t="s">
        <v>44</v>
      </c>
      <c r="C459" t="s">
        <v>45</v>
      </c>
      <c r="D459" t="s">
        <v>46</v>
      </c>
      <c r="E459" t="s">
        <v>42</v>
      </c>
      <c r="F459">
        <v>35540</v>
      </c>
      <c r="G459">
        <v>2412</v>
      </c>
      <c r="H459">
        <v>487.37</v>
      </c>
      <c r="I459">
        <v>140</v>
      </c>
      <c r="J459" t="s">
        <v>47</v>
      </c>
      <c r="K459" t="s">
        <v>40</v>
      </c>
    </row>
    <row r="460" spans="1:11" x14ac:dyDescent="0.2">
      <c r="A460" s="1">
        <v>46072</v>
      </c>
      <c r="B460" t="s">
        <v>44</v>
      </c>
      <c r="C460" t="s">
        <v>48</v>
      </c>
      <c r="D460" t="s">
        <v>49</v>
      </c>
      <c r="E460" t="s">
        <v>50</v>
      </c>
      <c r="F460">
        <v>25699</v>
      </c>
      <c r="G460">
        <v>1552</v>
      </c>
      <c r="H460">
        <v>403.51</v>
      </c>
      <c r="I460">
        <v>123</v>
      </c>
      <c r="J460" t="s">
        <v>51</v>
      </c>
      <c r="K460" t="s">
        <v>40</v>
      </c>
    </row>
    <row r="461" spans="1:11" x14ac:dyDescent="0.2">
      <c r="A461" s="1">
        <v>46072</v>
      </c>
      <c r="B461" t="s">
        <v>52</v>
      </c>
      <c r="C461" t="s">
        <v>53</v>
      </c>
      <c r="D461" t="s">
        <v>54</v>
      </c>
      <c r="E461" t="s">
        <v>54</v>
      </c>
      <c r="F461">
        <v>125633</v>
      </c>
      <c r="G461">
        <v>1560</v>
      </c>
      <c r="H461">
        <v>396.7</v>
      </c>
      <c r="I461">
        <v>136</v>
      </c>
      <c r="J461" t="s">
        <v>54</v>
      </c>
      <c r="K461" t="s">
        <v>40</v>
      </c>
    </row>
    <row r="462" spans="1:11" x14ac:dyDescent="0.2">
      <c r="A462" s="1">
        <v>46072</v>
      </c>
      <c r="B462" t="s">
        <v>52</v>
      </c>
      <c r="C462" t="s">
        <v>55</v>
      </c>
      <c r="D462" t="s">
        <v>54</v>
      </c>
      <c r="E462" t="s">
        <v>54</v>
      </c>
      <c r="F462">
        <v>144120</v>
      </c>
      <c r="G462">
        <v>1720</v>
      </c>
      <c r="H462">
        <v>321.38</v>
      </c>
      <c r="I462">
        <v>103</v>
      </c>
      <c r="J462" t="s">
        <v>54</v>
      </c>
      <c r="K462" t="s">
        <v>40</v>
      </c>
    </row>
    <row r="463" spans="1:11" x14ac:dyDescent="0.2">
      <c r="A463" s="1">
        <v>46072</v>
      </c>
      <c r="B463" t="s">
        <v>56</v>
      </c>
      <c r="C463" t="s">
        <v>57</v>
      </c>
      <c r="D463" t="s">
        <v>58</v>
      </c>
      <c r="E463" t="s">
        <v>42</v>
      </c>
      <c r="F463">
        <v>17232</v>
      </c>
      <c r="G463">
        <v>1090</v>
      </c>
      <c r="H463">
        <v>263.52999999999997</v>
      </c>
      <c r="I463">
        <v>71</v>
      </c>
      <c r="J463" t="s">
        <v>43</v>
      </c>
      <c r="K463" t="s">
        <v>40</v>
      </c>
    </row>
    <row r="464" spans="1:11" x14ac:dyDescent="0.2">
      <c r="A464" s="1">
        <v>46072</v>
      </c>
      <c r="B464" t="s">
        <v>56</v>
      </c>
      <c r="C464" t="s">
        <v>57</v>
      </c>
      <c r="D464" t="s">
        <v>59</v>
      </c>
      <c r="E464" t="s">
        <v>38</v>
      </c>
      <c r="F464">
        <v>42243</v>
      </c>
      <c r="G464">
        <v>2218</v>
      </c>
      <c r="H464">
        <v>403.54</v>
      </c>
      <c r="I464">
        <v>126</v>
      </c>
      <c r="J464" t="s">
        <v>43</v>
      </c>
      <c r="K464" t="s">
        <v>40</v>
      </c>
    </row>
    <row r="465" spans="1:11" x14ac:dyDescent="0.2">
      <c r="A465" s="1">
        <v>46073</v>
      </c>
      <c r="B465" t="s">
        <v>35</v>
      </c>
      <c r="C465" t="s">
        <v>36</v>
      </c>
      <c r="D465" t="s">
        <v>37</v>
      </c>
      <c r="E465" t="s">
        <v>38</v>
      </c>
      <c r="F465">
        <v>11450</v>
      </c>
      <c r="G465">
        <v>600</v>
      </c>
      <c r="H465">
        <v>114.14</v>
      </c>
      <c r="I465">
        <v>39</v>
      </c>
      <c r="J465" t="s">
        <v>39</v>
      </c>
      <c r="K465" t="s">
        <v>40</v>
      </c>
    </row>
    <row r="466" spans="1:11" x14ac:dyDescent="0.2">
      <c r="A466" s="1">
        <v>46073</v>
      </c>
      <c r="B466" t="s">
        <v>35</v>
      </c>
      <c r="C466" t="s">
        <v>36</v>
      </c>
      <c r="D466" t="s">
        <v>41</v>
      </c>
      <c r="E466" t="s">
        <v>42</v>
      </c>
      <c r="F466">
        <v>38732</v>
      </c>
      <c r="G466">
        <v>2535</v>
      </c>
      <c r="H466">
        <v>515.32000000000005</v>
      </c>
      <c r="I466">
        <v>154</v>
      </c>
      <c r="J466" t="s">
        <v>43</v>
      </c>
      <c r="K466" t="s">
        <v>40</v>
      </c>
    </row>
    <row r="467" spans="1:11" x14ac:dyDescent="0.2">
      <c r="A467" s="1">
        <v>46073</v>
      </c>
      <c r="B467" t="s">
        <v>44</v>
      </c>
      <c r="C467" t="s">
        <v>45</v>
      </c>
      <c r="D467" t="s">
        <v>46</v>
      </c>
      <c r="E467" t="s">
        <v>42</v>
      </c>
      <c r="F467">
        <v>42347</v>
      </c>
      <c r="G467">
        <v>2253</v>
      </c>
      <c r="H467">
        <v>500.22</v>
      </c>
      <c r="I467">
        <v>194</v>
      </c>
      <c r="J467" t="s">
        <v>47</v>
      </c>
      <c r="K467" t="s">
        <v>40</v>
      </c>
    </row>
    <row r="468" spans="1:11" x14ac:dyDescent="0.2">
      <c r="A468" s="1">
        <v>46073</v>
      </c>
      <c r="B468" t="s">
        <v>44</v>
      </c>
      <c r="C468" t="s">
        <v>48</v>
      </c>
      <c r="D468" t="s">
        <v>49</v>
      </c>
      <c r="E468" t="s">
        <v>50</v>
      </c>
      <c r="F468">
        <v>42662</v>
      </c>
      <c r="G468">
        <v>3069</v>
      </c>
      <c r="H468">
        <v>694.72</v>
      </c>
      <c r="I468">
        <v>265</v>
      </c>
      <c r="J468" t="s">
        <v>51</v>
      </c>
      <c r="K468" t="s">
        <v>40</v>
      </c>
    </row>
    <row r="469" spans="1:11" x14ac:dyDescent="0.2">
      <c r="A469" s="1">
        <v>46073</v>
      </c>
      <c r="B469" t="s">
        <v>52</v>
      </c>
      <c r="C469" t="s">
        <v>53</v>
      </c>
      <c r="D469" t="s">
        <v>54</v>
      </c>
      <c r="E469" t="s">
        <v>54</v>
      </c>
      <c r="F469">
        <v>133286</v>
      </c>
      <c r="G469">
        <v>1519</v>
      </c>
      <c r="H469">
        <v>387.43</v>
      </c>
      <c r="I469">
        <v>92</v>
      </c>
      <c r="J469" t="s">
        <v>54</v>
      </c>
      <c r="K469" t="s">
        <v>40</v>
      </c>
    </row>
    <row r="470" spans="1:11" x14ac:dyDescent="0.2">
      <c r="A470" s="1">
        <v>46073</v>
      </c>
      <c r="B470" t="s">
        <v>52</v>
      </c>
      <c r="C470" t="s">
        <v>55</v>
      </c>
      <c r="D470" t="s">
        <v>54</v>
      </c>
      <c r="E470" t="s">
        <v>54</v>
      </c>
      <c r="F470">
        <v>124931</v>
      </c>
      <c r="G470">
        <v>1858</v>
      </c>
      <c r="H470">
        <v>347.7</v>
      </c>
      <c r="I470">
        <v>137</v>
      </c>
      <c r="J470" t="s">
        <v>54</v>
      </c>
      <c r="K470" t="s">
        <v>40</v>
      </c>
    </row>
    <row r="471" spans="1:11" x14ac:dyDescent="0.2">
      <c r="A471" s="1">
        <v>46073</v>
      </c>
      <c r="B471" t="s">
        <v>56</v>
      </c>
      <c r="C471" t="s">
        <v>57</v>
      </c>
      <c r="D471" t="s">
        <v>58</v>
      </c>
      <c r="E471" t="s">
        <v>42</v>
      </c>
      <c r="F471">
        <v>22595</v>
      </c>
      <c r="G471">
        <v>1570</v>
      </c>
      <c r="H471">
        <v>321.86</v>
      </c>
      <c r="I471">
        <v>110</v>
      </c>
      <c r="J471" t="s">
        <v>43</v>
      </c>
      <c r="K471" t="s">
        <v>40</v>
      </c>
    </row>
    <row r="472" spans="1:11" x14ac:dyDescent="0.2">
      <c r="A472" s="1">
        <v>46073</v>
      </c>
      <c r="B472" t="s">
        <v>56</v>
      </c>
      <c r="C472" t="s">
        <v>57</v>
      </c>
      <c r="D472" t="s">
        <v>59</v>
      </c>
      <c r="E472" t="s">
        <v>38</v>
      </c>
      <c r="F472">
        <v>10826</v>
      </c>
      <c r="G472">
        <v>551</v>
      </c>
      <c r="H472">
        <v>141.5</v>
      </c>
      <c r="I472">
        <v>35</v>
      </c>
      <c r="J472" t="s">
        <v>43</v>
      </c>
      <c r="K472" t="s">
        <v>40</v>
      </c>
    </row>
    <row r="473" spans="1:11" x14ac:dyDescent="0.2">
      <c r="A473" s="1">
        <v>46074</v>
      </c>
      <c r="B473" t="s">
        <v>35</v>
      </c>
      <c r="C473" t="s">
        <v>36</v>
      </c>
      <c r="D473" t="s">
        <v>37</v>
      </c>
      <c r="E473" t="s">
        <v>38</v>
      </c>
      <c r="F473">
        <v>54640</v>
      </c>
      <c r="G473">
        <v>2946</v>
      </c>
      <c r="H473">
        <v>823.27</v>
      </c>
      <c r="I473">
        <v>185</v>
      </c>
      <c r="J473" t="s">
        <v>39</v>
      </c>
      <c r="K473" t="s">
        <v>40</v>
      </c>
    </row>
    <row r="474" spans="1:11" x14ac:dyDescent="0.2">
      <c r="A474" s="1">
        <v>46074</v>
      </c>
      <c r="B474" t="s">
        <v>35</v>
      </c>
      <c r="C474" t="s">
        <v>36</v>
      </c>
      <c r="D474" t="s">
        <v>41</v>
      </c>
      <c r="E474" t="s">
        <v>42</v>
      </c>
      <c r="F474">
        <v>22619</v>
      </c>
      <c r="G474">
        <v>1368</v>
      </c>
      <c r="H474">
        <v>380.59</v>
      </c>
      <c r="I474">
        <v>101</v>
      </c>
      <c r="J474" t="s">
        <v>43</v>
      </c>
      <c r="K474" t="s">
        <v>40</v>
      </c>
    </row>
    <row r="475" spans="1:11" x14ac:dyDescent="0.2">
      <c r="A475" s="1">
        <v>46074</v>
      </c>
      <c r="B475" t="s">
        <v>44</v>
      </c>
      <c r="C475" t="s">
        <v>45</v>
      </c>
      <c r="D475" t="s">
        <v>46</v>
      </c>
      <c r="E475" t="s">
        <v>42</v>
      </c>
      <c r="F475">
        <v>42635</v>
      </c>
      <c r="G475">
        <v>3004</v>
      </c>
      <c r="H475">
        <v>588.37</v>
      </c>
      <c r="I475">
        <v>252</v>
      </c>
      <c r="J475" t="s">
        <v>47</v>
      </c>
      <c r="K475" t="s">
        <v>40</v>
      </c>
    </row>
    <row r="476" spans="1:11" x14ac:dyDescent="0.2">
      <c r="A476" s="1">
        <v>46074</v>
      </c>
      <c r="B476" t="s">
        <v>44</v>
      </c>
      <c r="C476" t="s">
        <v>48</v>
      </c>
      <c r="D476" t="s">
        <v>49</v>
      </c>
      <c r="E476" t="s">
        <v>50</v>
      </c>
      <c r="F476">
        <v>61794</v>
      </c>
      <c r="G476">
        <v>3147</v>
      </c>
      <c r="H476">
        <v>717.9</v>
      </c>
      <c r="I476">
        <v>210</v>
      </c>
      <c r="J476" t="s">
        <v>51</v>
      </c>
      <c r="K476" t="s">
        <v>40</v>
      </c>
    </row>
    <row r="477" spans="1:11" x14ac:dyDescent="0.2">
      <c r="A477" s="1">
        <v>46074</v>
      </c>
      <c r="B477" t="s">
        <v>52</v>
      </c>
      <c r="C477" t="s">
        <v>53</v>
      </c>
      <c r="D477" t="s">
        <v>54</v>
      </c>
      <c r="E477" t="s">
        <v>54</v>
      </c>
      <c r="F477">
        <v>192137</v>
      </c>
      <c r="G477">
        <v>2966</v>
      </c>
      <c r="H477">
        <v>790.04</v>
      </c>
      <c r="I477">
        <v>188</v>
      </c>
      <c r="J477" t="s">
        <v>54</v>
      </c>
      <c r="K477" t="s">
        <v>40</v>
      </c>
    </row>
    <row r="478" spans="1:11" x14ac:dyDescent="0.2">
      <c r="A478" s="1">
        <v>46074</v>
      </c>
      <c r="B478" t="s">
        <v>52</v>
      </c>
      <c r="C478" t="s">
        <v>55</v>
      </c>
      <c r="D478" t="s">
        <v>54</v>
      </c>
      <c r="E478" t="s">
        <v>54</v>
      </c>
      <c r="F478">
        <v>146721</v>
      </c>
      <c r="G478">
        <v>1787</v>
      </c>
      <c r="H478">
        <v>399.24</v>
      </c>
      <c r="I478">
        <v>99</v>
      </c>
      <c r="J478" t="s">
        <v>54</v>
      </c>
      <c r="K478" t="s">
        <v>40</v>
      </c>
    </row>
    <row r="479" spans="1:11" x14ac:dyDescent="0.2">
      <c r="A479" s="1">
        <v>46074</v>
      </c>
      <c r="B479" t="s">
        <v>56</v>
      </c>
      <c r="C479" t="s">
        <v>57</v>
      </c>
      <c r="D479" t="s">
        <v>58</v>
      </c>
      <c r="E479" t="s">
        <v>42</v>
      </c>
      <c r="F479">
        <v>39331</v>
      </c>
      <c r="G479">
        <v>2439</v>
      </c>
      <c r="H479">
        <v>535.55999999999995</v>
      </c>
      <c r="I479">
        <v>157</v>
      </c>
      <c r="J479" t="s">
        <v>43</v>
      </c>
      <c r="K479" t="s">
        <v>40</v>
      </c>
    </row>
    <row r="480" spans="1:11" x14ac:dyDescent="0.2">
      <c r="A480" s="1">
        <v>46074</v>
      </c>
      <c r="B480" t="s">
        <v>56</v>
      </c>
      <c r="C480" t="s">
        <v>57</v>
      </c>
      <c r="D480" t="s">
        <v>59</v>
      </c>
      <c r="E480" t="s">
        <v>38</v>
      </c>
      <c r="F480">
        <v>17852</v>
      </c>
      <c r="G480">
        <v>1105</v>
      </c>
      <c r="H480">
        <v>275.23</v>
      </c>
      <c r="I480">
        <v>91</v>
      </c>
      <c r="J480" t="s">
        <v>43</v>
      </c>
      <c r="K480" t="s">
        <v>40</v>
      </c>
    </row>
    <row r="481" spans="1:11" x14ac:dyDescent="0.2">
      <c r="A481" s="1">
        <v>46075</v>
      </c>
      <c r="B481" t="s">
        <v>35</v>
      </c>
      <c r="C481" t="s">
        <v>36</v>
      </c>
      <c r="D481" t="s">
        <v>37</v>
      </c>
      <c r="E481" t="s">
        <v>38</v>
      </c>
      <c r="F481">
        <v>28219</v>
      </c>
      <c r="G481">
        <v>1606</v>
      </c>
      <c r="H481">
        <v>303.45</v>
      </c>
      <c r="I481">
        <v>98</v>
      </c>
      <c r="J481" t="s">
        <v>39</v>
      </c>
      <c r="K481" t="s">
        <v>40</v>
      </c>
    </row>
    <row r="482" spans="1:11" x14ac:dyDescent="0.2">
      <c r="A482" s="1">
        <v>46075</v>
      </c>
      <c r="B482" t="s">
        <v>35</v>
      </c>
      <c r="C482" t="s">
        <v>36</v>
      </c>
      <c r="D482" t="s">
        <v>41</v>
      </c>
      <c r="E482" t="s">
        <v>42</v>
      </c>
      <c r="F482">
        <v>22386</v>
      </c>
      <c r="G482">
        <v>1443</v>
      </c>
      <c r="H482">
        <v>308.57</v>
      </c>
      <c r="I482">
        <v>135</v>
      </c>
      <c r="J482" t="s">
        <v>43</v>
      </c>
      <c r="K482" t="s">
        <v>40</v>
      </c>
    </row>
    <row r="483" spans="1:11" x14ac:dyDescent="0.2">
      <c r="A483" s="1">
        <v>46075</v>
      </c>
      <c r="B483" t="s">
        <v>44</v>
      </c>
      <c r="C483" t="s">
        <v>45</v>
      </c>
      <c r="D483" t="s">
        <v>46</v>
      </c>
      <c r="E483" t="s">
        <v>42</v>
      </c>
      <c r="F483">
        <v>19509</v>
      </c>
      <c r="G483">
        <v>964</v>
      </c>
      <c r="H483">
        <v>235.66</v>
      </c>
      <c r="I483">
        <v>80</v>
      </c>
      <c r="J483" t="s">
        <v>47</v>
      </c>
      <c r="K483" t="s">
        <v>40</v>
      </c>
    </row>
    <row r="484" spans="1:11" x14ac:dyDescent="0.2">
      <c r="A484" s="1">
        <v>46075</v>
      </c>
      <c r="B484" t="s">
        <v>44</v>
      </c>
      <c r="C484" t="s">
        <v>48</v>
      </c>
      <c r="D484" t="s">
        <v>49</v>
      </c>
      <c r="E484" t="s">
        <v>50</v>
      </c>
      <c r="F484">
        <v>23853</v>
      </c>
      <c r="G484">
        <v>1216</v>
      </c>
      <c r="H484">
        <v>247.17</v>
      </c>
      <c r="I484">
        <v>114</v>
      </c>
      <c r="J484" t="s">
        <v>51</v>
      </c>
      <c r="K484" t="s">
        <v>40</v>
      </c>
    </row>
    <row r="485" spans="1:11" x14ac:dyDescent="0.2">
      <c r="A485" s="1">
        <v>46075</v>
      </c>
      <c r="B485" t="s">
        <v>52</v>
      </c>
      <c r="C485" t="s">
        <v>53</v>
      </c>
      <c r="D485" t="s">
        <v>54</v>
      </c>
      <c r="E485" t="s">
        <v>54</v>
      </c>
      <c r="F485">
        <v>189732</v>
      </c>
      <c r="G485">
        <v>2851</v>
      </c>
      <c r="H485">
        <v>638.26</v>
      </c>
      <c r="I485">
        <v>178</v>
      </c>
      <c r="J485" t="s">
        <v>54</v>
      </c>
      <c r="K485" t="s">
        <v>40</v>
      </c>
    </row>
    <row r="486" spans="1:11" x14ac:dyDescent="0.2">
      <c r="A486" s="1">
        <v>46075</v>
      </c>
      <c r="B486" t="s">
        <v>52</v>
      </c>
      <c r="C486" t="s">
        <v>55</v>
      </c>
      <c r="D486" t="s">
        <v>54</v>
      </c>
      <c r="E486" t="s">
        <v>54</v>
      </c>
      <c r="F486">
        <v>195319</v>
      </c>
      <c r="G486">
        <v>2498</v>
      </c>
      <c r="H486">
        <v>483.3</v>
      </c>
      <c r="I486">
        <v>227</v>
      </c>
      <c r="J486" t="s">
        <v>54</v>
      </c>
      <c r="K486" t="s">
        <v>40</v>
      </c>
    </row>
    <row r="487" spans="1:11" x14ac:dyDescent="0.2">
      <c r="A487" s="1">
        <v>46075</v>
      </c>
      <c r="B487" t="s">
        <v>56</v>
      </c>
      <c r="C487" t="s">
        <v>57</v>
      </c>
      <c r="D487" t="s">
        <v>58</v>
      </c>
      <c r="E487" t="s">
        <v>42</v>
      </c>
      <c r="F487">
        <v>58525</v>
      </c>
      <c r="G487">
        <v>3801</v>
      </c>
      <c r="H487">
        <v>896.67</v>
      </c>
      <c r="I487">
        <v>291</v>
      </c>
      <c r="J487" t="s">
        <v>43</v>
      </c>
      <c r="K487" t="s">
        <v>40</v>
      </c>
    </row>
    <row r="488" spans="1:11" x14ac:dyDescent="0.2">
      <c r="A488" s="1">
        <v>46075</v>
      </c>
      <c r="B488" t="s">
        <v>56</v>
      </c>
      <c r="C488" t="s">
        <v>57</v>
      </c>
      <c r="D488" t="s">
        <v>59</v>
      </c>
      <c r="E488" t="s">
        <v>38</v>
      </c>
      <c r="F488">
        <v>58965</v>
      </c>
      <c r="G488">
        <v>3098</v>
      </c>
      <c r="H488">
        <v>615.46</v>
      </c>
      <c r="I488">
        <v>213</v>
      </c>
      <c r="J488" t="s">
        <v>43</v>
      </c>
      <c r="K488" t="s">
        <v>40</v>
      </c>
    </row>
    <row r="489" spans="1:11" x14ac:dyDescent="0.2">
      <c r="A489" s="1">
        <v>46076</v>
      </c>
      <c r="B489" t="s">
        <v>35</v>
      </c>
      <c r="C489" t="s">
        <v>36</v>
      </c>
      <c r="D489" t="s">
        <v>37</v>
      </c>
      <c r="E489" t="s">
        <v>38</v>
      </c>
      <c r="F489">
        <v>40696</v>
      </c>
      <c r="G489">
        <v>2222</v>
      </c>
      <c r="H489">
        <v>584.69000000000005</v>
      </c>
      <c r="I489">
        <v>203</v>
      </c>
      <c r="J489" t="s">
        <v>39</v>
      </c>
      <c r="K489" t="s">
        <v>40</v>
      </c>
    </row>
    <row r="490" spans="1:11" x14ac:dyDescent="0.2">
      <c r="A490" s="1">
        <v>46076</v>
      </c>
      <c r="B490" t="s">
        <v>35</v>
      </c>
      <c r="C490" t="s">
        <v>36</v>
      </c>
      <c r="D490" t="s">
        <v>41</v>
      </c>
      <c r="E490" t="s">
        <v>42</v>
      </c>
      <c r="F490">
        <v>20508</v>
      </c>
      <c r="G490">
        <v>1018</v>
      </c>
      <c r="H490">
        <v>199.02</v>
      </c>
      <c r="I490">
        <v>68</v>
      </c>
      <c r="J490" t="s">
        <v>43</v>
      </c>
      <c r="K490" t="s">
        <v>40</v>
      </c>
    </row>
    <row r="491" spans="1:11" x14ac:dyDescent="0.2">
      <c r="A491" s="1">
        <v>46076</v>
      </c>
      <c r="B491" t="s">
        <v>44</v>
      </c>
      <c r="C491" t="s">
        <v>45</v>
      </c>
      <c r="D491" t="s">
        <v>46</v>
      </c>
      <c r="E491" t="s">
        <v>42</v>
      </c>
      <c r="F491">
        <v>27258</v>
      </c>
      <c r="G491">
        <v>1662</v>
      </c>
      <c r="H491">
        <v>374.63</v>
      </c>
      <c r="I491">
        <v>142</v>
      </c>
      <c r="J491" t="s">
        <v>47</v>
      </c>
      <c r="K491" t="s">
        <v>40</v>
      </c>
    </row>
    <row r="492" spans="1:11" x14ac:dyDescent="0.2">
      <c r="A492" s="1">
        <v>46076</v>
      </c>
      <c r="B492" t="s">
        <v>44</v>
      </c>
      <c r="C492" t="s">
        <v>48</v>
      </c>
      <c r="D492" t="s">
        <v>49</v>
      </c>
      <c r="E492" t="s">
        <v>50</v>
      </c>
      <c r="F492">
        <v>43158</v>
      </c>
      <c r="G492">
        <v>2464</v>
      </c>
      <c r="H492">
        <v>489.24</v>
      </c>
      <c r="I492">
        <v>137</v>
      </c>
      <c r="J492" t="s">
        <v>51</v>
      </c>
      <c r="K492" t="s">
        <v>40</v>
      </c>
    </row>
    <row r="493" spans="1:11" x14ac:dyDescent="0.2">
      <c r="A493" s="1">
        <v>46076</v>
      </c>
      <c r="B493" t="s">
        <v>52</v>
      </c>
      <c r="C493" t="s">
        <v>53</v>
      </c>
      <c r="D493" t="s">
        <v>54</v>
      </c>
      <c r="E493" t="s">
        <v>54</v>
      </c>
      <c r="F493">
        <v>137720</v>
      </c>
      <c r="G493">
        <v>2049</v>
      </c>
      <c r="H493">
        <v>417.75</v>
      </c>
      <c r="I493">
        <v>171</v>
      </c>
      <c r="J493" t="s">
        <v>54</v>
      </c>
      <c r="K493" t="s">
        <v>40</v>
      </c>
    </row>
    <row r="494" spans="1:11" x14ac:dyDescent="0.2">
      <c r="A494" s="1">
        <v>46076</v>
      </c>
      <c r="B494" t="s">
        <v>52</v>
      </c>
      <c r="C494" t="s">
        <v>55</v>
      </c>
      <c r="D494" t="s">
        <v>54</v>
      </c>
      <c r="E494" t="s">
        <v>54</v>
      </c>
      <c r="F494">
        <v>160642</v>
      </c>
      <c r="G494">
        <v>2424</v>
      </c>
      <c r="H494">
        <v>482.34</v>
      </c>
      <c r="I494">
        <v>199</v>
      </c>
      <c r="J494" t="s">
        <v>54</v>
      </c>
      <c r="K494" t="s">
        <v>40</v>
      </c>
    </row>
    <row r="495" spans="1:11" x14ac:dyDescent="0.2">
      <c r="A495" s="1">
        <v>46076</v>
      </c>
      <c r="B495" t="s">
        <v>56</v>
      </c>
      <c r="C495" t="s">
        <v>57</v>
      </c>
      <c r="D495" t="s">
        <v>58</v>
      </c>
      <c r="E495" t="s">
        <v>42</v>
      </c>
      <c r="F495">
        <v>20101</v>
      </c>
      <c r="G495">
        <v>1260</v>
      </c>
      <c r="H495">
        <v>267.45</v>
      </c>
      <c r="I495">
        <v>101</v>
      </c>
      <c r="J495" t="s">
        <v>43</v>
      </c>
      <c r="K495" t="s">
        <v>40</v>
      </c>
    </row>
    <row r="496" spans="1:11" x14ac:dyDescent="0.2">
      <c r="A496" s="1">
        <v>46076</v>
      </c>
      <c r="B496" t="s">
        <v>56</v>
      </c>
      <c r="C496" t="s">
        <v>57</v>
      </c>
      <c r="D496" t="s">
        <v>59</v>
      </c>
      <c r="E496" t="s">
        <v>38</v>
      </c>
      <c r="F496">
        <v>17239</v>
      </c>
      <c r="G496">
        <v>867</v>
      </c>
      <c r="H496">
        <v>213.19</v>
      </c>
      <c r="I496">
        <v>49</v>
      </c>
      <c r="J496" t="s">
        <v>43</v>
      </c>
      <c r="K496" t="s">
        <v>40</v>
      </c>
    </row>
    <row r="497" spans="1:11" x14ac:dyDescent="0.2">
      <c r="A497" s="1">
        <v>46077</v>
      </c>
      <c r="B497" t="s">
        <v>35</v>
      </c>
      <c r="C497" t="s">
        <v>36</v>
      </c>
      <c r="D497" t="s">
        <v>37</v>
      </c>
      <c r="E497" t="s">
        <v>38</v>
      </c>
      <c r="F497">
        <v>18504</v>
      </c>
      <c r="G497">
        <v>967</v>
      </c>
      <c r="H497">
        <v>177.08</v>
      </c>
      <c r="I497">
        <v>57</v>
      </c>
      <c r="J497" t="s">
        <v>39</v>
      </c>
      <c r="K497" t="s">
        <v>40</v>
      </c>
    </row>
    <row r="498" spans="1:11" x14ac:dyDescent="0.2">
      <c r="A498" s="1">
        <v>46077</v>
      </c>
      <c r="B498" t="s">
        <v>35</v>
      </c>
      <c r="C498" t="s">
        <v>36</v>
      </c>
      <c r="D498" t="s">
        <v>41</v>
      </c>
      <c r="E498" t="s">
        <v>42</v>
      </c>
      <c r="F498">
        <v>22557</v>
      </c>
      <c r="G498">
        <v>1136</v>
      </c>
      <c r="H498">
        <v>269.35000000000002</v>
      </c>
      <c r="I498">
        <v>100</v>
      </c>
      <c r="J498" t="s">
        <v>43</v>
      </c>
      <c r="K498" t="s">
        <v>40</v>
      </c>
    </row>
    <row r="499" spans="1:11" x14ac:dyDescent="0.2">
      <c r="A499" s="1">
        <v>46077</v>
      </c>
      <c r="B499" t="s">
        <v>44</v>
      </c>
      <c r="C499" t="s">
        <v>45</v>
      </c>
      <c r="D499" t="s">
        <v>46</v>
      </c>
      <c r="E499" t="s">
        <v>42</v>
      </c>
      <c r="F499">
        <v>42106</v>
      </c>
      <c r="G499">
        <v>2552</v>
      </c>
      <c r="H499">
        <v>638.34</v>
      </c>
      <c r="I499">
        <v>166</v>
      </c>
      <c r="J499" t="s">
        <v>47</v>
      </c>
      <c r="K499" t="s">
        <v>40</v>
      </c>
    </row>
    <row r="500" spans="1:11" x14ac:dyDescent="0.2">
      <c r="A500" s="1">
        <v>46077</v>
      </c>
      <c r="B500" t="s">
        <v>44</v>
      </c>
      <c r="C500" t="s">
        <v>48</v>
      </c>
      <c r="D500" t="s">
        <v>49</v>
      </c>
      <c r="E500" t="s">
        <v>50</v>
      </c>
      <c r="F500">
        <v>34009</v>
      </c>
      <c r="G500">
        <v>1812</v>
      </c>
      <c r="H500">
        <v>456.23</v>
      </c>
      <c r="I500">
        <v>100</v>
      </c>
      <c r="J500" t="s">
        <v>51</v>
      </c>
      <c r="K500" t="s">
        <v>40</v>
      </c>
    </row>
    <row r="501" spans="1:11" x14ac:dyDescent="0.2">
      <c r="A501" s="1">
        <v>46077</v>
      </c>
      <c r="B501" t="s">
        <v>52</v>
      </c>
      <c r="C501" t="s">
        <v>53</v>
      </c>
      <c r="D501" t="s">
        <v>54</v>
      </c>
      <c r="E501" t="s">
        <v>54</v>
      </c>
      <c r="F501">
        <v>117359</v>
      </c>
      <c r="G501">
        <v>1675</v>
      </c>
      <c r="H501">
        <v>457.01</v>
      </c>
      <c r="I501">
        <v>147</v>
      </c>
      <c r="J501" t="s">
        <v>54</v>
      </c>
      <c r="K501" t="s">
        <v>40</v>
      </c>
    </row>
    <row r="502" spans="1:11" x14ac:dyDescent="0.2">
      <c r="A502" s="1">
        <v>46077</v>
      </c>
      <c r="B502" t="s">
        <v>52</v>
      </c>
      <c r="C502" t="s">
        <v>55</v>
      </c>
      <c r="D502" t="s">
        <v>54</v>
      </c>
      <c r="E502" t="s">
        <v>54</v>
      </c>
      <c r="F502">
        <v>151349</v>
      </c>
      <c r="G502">
        <v>2271</v>
      </c>
      <c r="H502">
        <v>422.57</v>
      </c>
      <c r="I502">
        <v>175</v>
      </c>
      <c r="J502" t="s">
        <v>54</v>
      </c>
      <c r="K502" t="s">
        <v>40</v>
      </c>
    </row>
    <row r="503" spans="1:11" x14ac:dyDescent="0.2">
      <c r="A503" s="1">
        <v>46077</v>
      </c>
      <c r="B503" t="s">
        <v>56</v>
      </c>
      <c r="C503" t="s">
        <v>57</v>
      </c>
      <c r="D503" t="s">
        <v>58</v>
      </c>
      <c r="E503" t="s">
        <v>42</v>
      </c>
      <c r="F503">
        <v>37259</v>
      </c>
      <c r="G503">
        <v>2523</v>
      </c>
      <c r="H503">
        <v>654.53</v>
      </c>
      <c r="I503">
        <v>144</v>
      </c>
      <c r="J503" t="s">
        <v>43</v>
      </c>
      <c r="K503" t="s">
        <v>40</v>
      </c>
    </row>
    <row r="504" spans="1:11" x14ac:dyDescent="0.2">
      <c r="A504" s="1">
        <v>46077</v>
      </c>
      <c r="B504" t="s">
        <v>56</v>
      </c>
      <c r="C504" t="s">
        <v>57</v>
      </c>
      <c r="D504" t="s">
        <v>59</v>
      </c>
      <c r="E504" t="s">
        <v>38</v>
      </c>
      <c r="F504">
        <v>27420</v>
      </c>
      <c r="G504">
        <v>1664</v>
      </c>
      <c r="H504">
        <v>421.71</v>
      </c>
      <c r="I504">
        <v>147</v>
      </c>
      <c r="J504" t="s">
        <v>43</v>
      </c>
      <c r="K504" t="s">
        <v>40</v>
      </c>
    </row>
    <row r="505" spans="1:11" x14ac:dyDescent="0.2">
      <c r="A505" s="1">
        <v>46078</v>
      </c>
      <c r="B505" t="s">
        <v>35</v>
      </c>
      <c r="C505" t="s">
        <v>36</v>
      </c>
      <c r="D505" t="s">
        <v>37</v>
      </c>
      <c r="E505" t="s">
        <v>38</v>
      </c>
      <c r="F505">
        <v>15107</v>
      </c>
      <c r="G505">
        <v>1067</v>
      </c>
      <c r="H505">
        <v>294.55</v>
      </c>
      <c r="I505">
        <v>62</v>
      </c>
      <c r="J505" t="s">
        <v>39</v>
      </c>
      <c r="K505" t="s">
        <v>40</v>
      </c>
    </row>
    <row r="506" spans="1:11" x14ac:dyDescent="0.2">
      <c r="A506" s="1">
        <v>46078</v>
      </c>
      <c r="B506" t="s">
        <v>35</v>
      </c>
      <c r="C506" t="s">
        <v>36</v>
      </c>
      <c r="D506" t="s">
        <v>41</v>
      </c>
      <c r="E506" t="s">
        <v>42</v>
      </c>
      <c r="F506">
        <v>25139</v>
      </c>
      <c r="G506">
        <v>1527</v>
      </c>
      <c r="H506">
        <v>303.79000000000002</v>
      </c>
      <c r="I506">
        <v>116</v>
      </c>
      <c r="J506" t="s">
        <v>43</v>
      </c>
      <c r="K506" t="s">
        <v>40</v>
      </c>
    </row>
    <row r="507" spans="1:11" x14ac:dyDescent="0.2">
      <c r="A507" s="1">
        <v>46078</v>
      </c>
      <c r="B507" t="s">
        <v>44</v>
      </c>
      <c r="C507" t="s">
        <v>45</v>
      </c>
      <c r="D507" t="s">
        <v>46</v>
      </c>
      <c r="E507" t="s">
        <v>42</v>
      </c>
      <c r="F507">
        <v>26302</v>
      </c>
      <c r="G507">
        <v>1622</v>
      </c>
      <c r="H507">
        <v>445.65</v>
      </c>
      <c r="I507">
        <v>125</v>
      </c>
      <c r="J507" t="s">
        <v>47</v>
      </c>
      <c r="K507" t="s">
        <v>40</v>
      </c>
    </row>
    <row r="508" spans="1:11" x14ac:dyDescent="0.2">
      <c r="A508" s="1">
        <v>46078</v>
      </c>
      <c r="B508" t="s">
        <v>44</v>
      </c>
      <c r="C508" t="s">
        <v>48</v>
      </c>
      <c r="D508" t="s">
        <v>49</v>
      </c>
      <c r="E508" t="s">
        <v>50</v>
      </c>
      <c r="F508">
        <v>37209</v>
      </c>
      <c r="G508">
        <v>2452</v>
      </c>
      <c r="H508">
        <v>629.25</v>
      </c>
      <c r="I508">
        <v>191</v>
      </c>
      <c r="J508" t="s">
        <v>51</v>
      </c>
      <c r="K508" t="s">
        <v>40</v>
      </c>
    </row>
    <row r="509" spans="1:11" x14ac:dyDescent="0.2">
      <c r="A509" s="1">
        <v>46078</v>
      </c>
      <c r="B509" t="s">
        <v>52</v>
      </c>
      <c r="C509" t="s">
        <v>53</v>
      </c>
      <c r="D509" t="s">
        <v>54</v>
      </c>
      <c r="E509" t="s">
        <v>54</v>
      </c>
      <c r="F509">
        <v>150125</v>
      </c>
      <c r="G509">
        <v>2178</v>
      </c>
      <c r="H509">
        <v>485.06</v>
      </c>
      <c r="I509">
        <v>128</v>
      </c>
      <c r="J509" t="s">
        <v>54</v>
      </c>
      <c r="K509" t="s">
        <v>40</v>
      </c>
    </row>
    <row r="510" spans="1:11" x14ac:dyDescent="0.2">
      <c r="A510" s="1">
        <v>46078</v>
      </c>
      <c r="B510" t="s">
        <v>52</v>
      </c>
      <c r="C510" t="s">
        <v>55</v>
      </c>
      <c r="D510" t="s">
        <v>54</v>
      </c>
      <c r="E510" t="s">
        <v>54</v>
      </c>
      <c r="F510">
        <v>113644</v>
      </c>
      <c r="G510">
        <v>1562</v>
      </c>
      <c r="H510">
        <v>359.99</v>
      </c>
      <c r="I510">
        <v>126</v>
      </c>
      <c r="J510" t="s">
        <v>54</v>
      </c>
      <c r="K510" t="s">
        <v>40</v>
      </c>
    </row>
    <row r="511" spans="1:11" x14ac:dyDescent="0.2">
      <c r="A511" s="1">
        <v>46078</v>
      </c>
      <c r="B511" t="s">
        <v>56</v>
      </c>
      <c r="C511" t="s">
        <v>57</v>
      </c>
      <c r="D511" t="s">
        <v>58</v>
      </c>
      <c r="E511" t="s">
        <v>42</v>
      </c>
      <c r="F511">
        <v>44989</v>
      </c>
      <c r="G511">
        <v>3237</v>
      </c>
      <c r="H511">
        <v>726.06</v>
      </c>
      <c r="I511">
        <v>223</v>
      </c>
      <c r="J511" t="s">
        <v>43</v>
      </c>
      <c r="K511" t="s">
        <v>40</v>
      </c>
    </row>
    <row r="512" spans="1:11" x14ac:dyDescent="0.2">
      <c r="A512" s="1">
        <v>46078</v>
      </c>
      <c r="B512" t="s">
        <v>56</v>
      </c>
      <c r="C512" t="s">
        <v>57</v>
      </c>
      <c r="D512" t="s">
        <v>59</v>
      </c>
      <c r="E512" t="s">
        <v>38</v>
      </c>
      <c r="F512">
        <v>30653</v>
      </c>
      <c r="G512">
        <v>1876</v>
      </c>
      <c r="H512">
        <v>524.69000000000005</v>
      </c>
      <c r="I512">
        <v>166</v>
      </c>
      <c r="J512" t="s">
        <v>43</v>
      </c>
      <c r="K512" t="s">
        <v>40</v>
      </c>
    </row>
    <row r="513" spans="1:11" x14ac:dyDescent="0.2">
      <c r="A513" s="1">
        <v>46079</v>
      </c>
      <c r="B513" t="s">
        <v>35</v>
      </c>
      <c r="C513" t="s">
        <v>36</v>
      </c>
      <c r="D513" t="s">
        <v>37</v>
      </c>
      <c r="E513" t="s">
        <v>38</v>
      </c>
      <c r="F513">
        <v>37023</v>
      </c>
      <c r="G513">
        <v>2456</v>
      </c>
      <c r="H513">
        <v>547.83000000000004</v>
      </c>
      <c r="I513">
        <v>206</v>
      </c>
      <c r="J513" t="s">
        <v>39</v>
      </c>
      <c r="K513" t="s">
        <v>40</v>
      </c>
    </row>
    <row r="514" spans="1:11" x14ac:dyDescent="0.2">
      <c r="A514" s="1">
        <v>46079</v>
      </c>
      <c r="B514" t="s">
        <v>35</v>
      </c>
      <c r="C514" t="s">
        <v>36</v>
      </c>
      <c r="D514" t="s">
        <v>41</v>
      </c>
      <c r="E514" t="s">
        <v>42</v>
      </c>
      <c r="F514">
        <v>25775</v>
      </c>
      <c r="G514">
        <v>1585</v>
      </c>
      <c r="H514">
        <v>319.20999999999998</v>
      </c>
      <c r="I514">
        <v>135</v>
      </c>
      <c r="J514" t="s">
        <v>43</v>
      </c>
      <c r="K514" t="s">
        <v>40</v>
      </c>
    </row>
    <row r="515" spans="1:11" x14ac:dyDescent="0.2">
      <c r="A515" s="1">
        <v>46079</v>
      </c>
      <c r="B515" t="s">
        <v>44</v>
      </c>
      <c r="C515" t="s">
        <v>45</v>
      </c>
      <c r="D515" t="s">
        <v>46</v>
      </c>
      <c r="E515" t="s">
        <v>42</v>
      </c>
      <c r="F515">
        <v>26651</v>
      </c>
      <c r="G515">
        <v>1509</v>
      </c>
      <c r="H515">
        <v>339.89</v>
      </c>
      <c r="I515">
        <v>140</v>
      </c>
      <c r="J515" t="s">
        <v>47</v>
      </c>
      <c r="K515" t="s">
        <v>40</v>
      </c>
    </row>
    <row r="516" spans="1:11" x14ac:dyDescent="0.2">
      <c r="A516" s="1">
        <v>46079</v>
      </c>
      <c r="B516" t="s">
        <v>44</v>
      </c>
      <c r="C516" t="s">
        <v>48</v>
      </c>
      <c r="D516" t="s">
        <v>49</v>
      </c>
      <c r="E516" t="s">
        <v>50</v>
      </c>
      <c r="F516">
        <v>10012</v>
      </c>
      <c r="G516">
        <v>655</v>
      </c>
      <c r="H516">
        <v>182.28</v>
      </c>
      <c r="I516">
        <v>51</v>
      </c>
      <c r="J516" t="s">
        <v>51</v>
      </c>
      <c r="K516" t="s">
        <v>40</v>
      </c>
    </row>
    <row r="517" spans="1:11" x14ac:dyDescent="0.2">
      <c r="A517" s="1">
        <v>46079</v>
      </c>
      <c r="B517" t="s">
        <v>52</v>
      </c>
      <c r="C517" t="s">
        <v>53</v>
      </c>
      <c r="D517" t="s">
        <v>54</v>
      </c>
      <c r="E517" t="s">
        <v>54</v>
      </c>
      <c r="F517">
        <v>157844</v>
      </c>
      <c r="G517">
        <v>1842</v>
      </c>
      <c r="H517">
        <v>495.56</v>
      </c>
      <c r="I517">
        <v>101</v>
      </c>
      <c r="J517" t="s">
        <v>54</v>
      </c>
      <c r="K517" t="s">
        <v>40</v>
      </c>
    </row>
    <row r="518" spans="1:11" x14ac:dyDescent="0.2">
      <c r="A518" s="1">
        <v>46079</v>
      </c>
      <c r="B518" t="s">
        <v>52</v>
      </c>
      <c r="C518" t="s">
        <v>55</v>
      </c>
      <c r="D518" t="s">
        <v>54</v>
      </c>
      <c r="E518" t="s">
        <v>54</v>
      </c>
      <c r="F518">
        <v>119083</v>
      </c>
      <c r="G518">
        <v>1437</v>
      </c>
      <c r="H518">
        <v>303.91000000000003</v>
      </c>
      <c r="I518">
        <v>123</v>
      </c>
      <c r="J518" t="s">
        <v>54</v>
      </c>
      <c r="K518" t="s">
        <v>40</v>
      </c>
    </row>
    <row r="519" spans="1:11" x14ac:dyDescent="0.2">
      <c r="A519" s="1">
        <v>46079</v>
      </c>
      <c r="B519" t="s">
        <v>56</v>
      </c>
      <c r="C519" t="s">
        <v>57</v>
      </c>
      <c r="D519" t="s">
        <v>58</v>
      </c>
      <c r="E519" t="s">
        <v>42</v>
      </c>
      <c r="F519">
        <v>28085</v>
      </c>
      <c r="G519">
        <v>1967</v>
      </c>
      <c r="H519">
        <v>454.63</v>
      </c>
      <c r="I519">
        <v>153</v>
      </c>
      <c r="J519" t="s">
        <v>43</v>
      </c>
      <c r="K519" t="s">
        <v>40</v>
      </c>
    </row>
    <row r="520" spans="1:11" x14ac:dyDescent="0.2">
      <c r="A520" s="1">
        <v>46079</v>
      </c>
      <c r="B520" t="s">
        <v>56</v>
      </c>
      <c r="C520" t="s">
        <v>57</v>
      </c>
      <c r="D520" t="s">
        <v>59</v>
      </c>
      <c r="E520" t="s">
        <v>38</v>
      </c>
      <c r="F520">
        <v>20139</v>
      </c>
      <c r="G520">
        <v>1012</v>
      </c>
      <c r="H520">
        <v>228.75</v>
      </c>
      <c r="I520">
        <v>61</v>
      </c>
      <c r="J520" t="s">
        <v>43</v>
      </c>
      <c r="K520" t="s">
        <v>40</v>
      </c>
    </row>
    <row r="521" spans="1:11" x14ac:dyDescent="0.2">
      <c r="A521" s="1">
        <v>46080</v>
      </c>
      <c r="B521" t="s">
        <v>35</v>
      </c>
      <c r="C521" t="s">
        <v>36</v>
      </c>
      <c r="D521" t="s">
        <v>37</v>
      </c>
      <c r="E521" t="s">
        <v>38</v>
      </c>
      <c r="F521">
        <v>27366</v>
      </c>
      <c r="G521">
        <v>1554</v>
      </c>
      <c r="H521">
        <v>370.19</v>
      </c>
      <c r="I521">
        <v>99</v>
      </c>
      <c r="J521" t="s">
        <v>39</v>
      </c>
      <c r="K521" t="s">
        <v>40</v>
      </c>
    </row>
    <row r="522" spans="1:11" x14ac:dyDescent="0.2">
      <c r="A522" s="1">
        <v>46080</v>
      </c>
      <c r="B522" t="s">
        <v>35</v>
      </c>
      <c r="C522" t="s">
        <v>36</v>
      </c>
      <c r="D522" t="s">
        <v>41</v>
      </c>
      <c r="E522" t="s">
        <v>42</v>
      </c>
      <c r="F522">
        <v>29680</v>
      </c>
      <c r="G522">
        <v>1490</v>
      </c>
      <c r="H522">
        <v>327.77</v>
      </c>
      <c r="I522">
        <v>136</v>
      </c>
      <c r="J522" t="s">
        <v>43</v>
      </c>
      <c r="K522" t="s">
        <v>40</v>
      </c>
    </row>
    <row r="523" spans="1:11" x14ac:dyDescent="0.2">
      <c r="A523" s="1">
        <v>46080</v>
      </c>
      <c r="B523" t="s">
        <v>44</v>
      </c>
      <c r="C523" t="s">
        <v>45</v>
      </c>
      <c r="D523" t="s">
        <v>46</v>
      </c>
      <c r="E523" t="s">
        <v>42</v>
      </c>
      <c r="F523">
        <v>15059</v>
      </c>
      <c r="G523">
        <v>984</v>
      </c>
      <c r="H523">
        <v>255.14</v>
      </c>
      <c r="I523">
        <v>60</v>
      </c>
      <c r="J523" t="s">
        <v>47</v>
      </c>
      <c r="K523" t="s">
        <v>40</v>
      </c>
    </row>
    <row r="524" spans="1:11" x14ac:dyDescent="0.2">
      <c r="A524" s="1">
        <v>46080</v>
      </c>
      <c r="B524" t="s">
        <v>44</v>
      </c>
      <c r="C524" t="s">
        <v>48</v>
      </c>
      <c r="D524" t="s">
        <v>49</v>
      </c>
      <c r="E524" t="s">
        <v>50</v>
      </c>
      <c r="F524">
        <v>16249</v>
      </c>
      <c r="G524">
        <v>1012</v>
      </c>
      <c r="H524">
        <v>212.56</v>
      </c>
      <c r="I524">
        <v>85</v>
      </c>
      <c r="J524" t="s">
        <v>51</v>
      </c>
      <c r="K524" t="s">
        <v>40</v>
      </c>
    </row>
    <row r="525" spans="1:11" x14ac:dyDescent="0.2">
      <c r="A525" s="1">
        <v>46080</v>
      </c>
      <c r="B525" t="s">
        <v>52</v>
      </c>
      <c r="C525" t="s">
        <v>53</v>
      </c>
      <c r="D525" t="s">
        <v>54</v>
      </c>
      <c r="E525" t="s">
        <v>54</v>
      </c>
      <c r="F525">
        <v>165534</v>
      </c>
      <c r="G525">
        <v>2136</v>
      </c>
      <c r="H525">
        <v>551.11</v>
      </c>
      <c r="I525">
        <v>196</v>
      </c>
      <c r="J525" t="s">
        <v>54</v>
      </c>
      <c r="K525" t="s">
        <v>40</v>
      </c>
    </row>
    <row r="526" spans="1:11" x14ac:dyDescent="0.2">
      <c r="A526" s="1">
        <v>46080</v>
      </c>
      <c r="B526" t="s">
        <v>52</v>
      </c>
      <c r="C526" t="s">
        <v>55</v>
      </c>
      <c r="D526" t="s">
        <v>54</v>
      </c>
      <c r="E526" t="s">
        <v>54</v>
      </c>
      <c r="F526">
        <v>133829</v>
      </c>
      <c r="G526">
        <v>1704</v>
      </c>
      <c r="H526">
        <v>445.96</v>
      </c>
      <c r="I526">
        <v>122</v>
      </c>
      <c r="J526" t="s">
        <v>54</v>
      </c>
      <c r="K526" t="s">
        <v>40</v>
      </c>
    </row>
    <row r="527" spans="1:11" x14ac:dyDescent="0.2">
      <c r="A527" s="1">
        <v>46080</v>
      </c>
      <c r="B527" t="s">
        <v>56</v>
      </c>
      <c r="C527" t="s">
        <v>57</v>
      </c>
      <c r="D527" t="s">
        <v>58</v>
      </c>
      <c r="E527" t="s">
        <v>42</v>
      </c>
      <c r="F527">
        <v>17899</v>
      </c>
      <c r="G527">
        <v>1232</v>
      </c>
      <c r="H527">
        <v>249.69</v>
      </c>
      <c r="I527">
        <v>99</v>
      </c>
      <c r="J527" t="s">
        <v>43</v>
      </c>
      <c r="K527" t="s">
        <v>40</v>
      </c>
    </row>
    <row r="528" spans="1:11" x14ac:dyDescent="0.2">
      <c r="A528" s="1">
        <v>46080</v>
      </c>
      <c r="B528" t="s">
        <v>56</v>
      </c>
      <c r="C528" t="s">
        <v>57</v>
      </c>
      <c r="D528" t="s">
        <v>59</v>
      </c>
      <c r="E528" t="s">
        <v>38</v>
      </c>
      <c r="F528">
        <v>10749</v>
      </c>
      <c r="G528">
        <v>679</v>
      </c>
      <c r="H528">
        <v>165.15</v>
      </c>
      <c r="I528">
        <v>38</v>
      </c>
      <c r="J528" t="s">
        <v>43</v>
      </c>
      <c r="K528" t="s">
        <v>40</v>
      </c>
    </row>
    <row r="529" spans="1:11" x14ac:dyDescent="0.2">
      <c r="A529" s="1">
        <v>46081</v>
      </c>
      <c r="B529" t="s">
        <v>35</v>
      </c>
      <c r="C529" t="s">
        <v>36</v>
      </c>
      <c r="D529" t="s">
        <v>37</v>
      </c>
      <c r="E529" t="s">
        <v>38</v>
      </c>
      <c r="F529">
        <v>62110</v>
      </c>
      <c r="G529">
        <v>3042</v>
      </c>
      <c r="H529">
        <v>711.81</v>
      </c>
      <c r="I529">
        <v>185</v>
      </c>
      <c r="J529" t="s">
        <v>39</v>
      </c>
      <c r="K529" t="s">
        <v>40</v>
      </c>
    </row>
    <row r="530" spans="1:11" x14ac:dyDescent="0.2">
      <c r="A530" s="1">
        <v>46081</v>
      </c>
      <c r="B530" t="s">
        <v>35</v>
      </c>
      <c r="C530" t="s">
        <v>36</v>
      </c>
      <c r="D530" t="s">
        <v>41</v>
      </c>
      <c r="E530" t="s">
        <v>42</v>
      </c>
      <c r="F530">
        <v>60094</v>
      </c>
      <c r="G530">
        <v>3890</v>
      </c>
      <c r="H530">
        <v>759.79</v>
      </c>
      <c r="I530">
        <v>318</v>
      </c>
      <c r="J530" t="s">
        <v>43</v>
      </c>
      <c r="K530" t="s">
        <v>40</v>
      </c>
    </row>
    <row r="531" spans="1:11" x14ac:dyDescent="0.2">
      <c r="A531" s="1">
        <v>46081</v>
      </c>
      <c r="B531" t="s">
        <v>44</v>
      </c>
      <c r="C531" t="s">
        <v>45</v>
      </c>
      <c r="D531" t="s">
        <v>46</v>
      </c>
      <c r="E531" t="s">
        <v>42</v>
      </c>
      <c r="F531">
        <v>50045</v>
      </c>
      <c r="G531">
        <v>3568</v>
      </c>
      <c r="H531">
        <v>910.85</v>
      </c>
      <c r="I531">
        <v>278</v>
      </c>
      <c r="J531" t="s">
        <v>47</v>
      </c>
      <c r="K531" t="s">
        <v>40</v>
      </c>
    </row>
    <row r="532" spans="1:11" x14ac:dyDescent="0.2">
      <c r="A532" s="1">
        <v>46081</v>
      </c>
      <c r="B532" t="s">
        <v>44</v>
      </c>
      <c r="C532" t="s">
        <v>48</v>
      </c>
      <c r="D532" t="s">
        <v>49</v>
      </c>
      <c r="E532" t="s">
        <v>50</v>
      </c>
      <c r="F532">
        <v>22264</v>
      </c>
      <c r="G532">
        <v>1187</v>
      </c>
      <c r="H532">
        <v>248.06</v>
      </c>
      <c r="I532">
        <v>84</v>
      </c>
      <c r="J532" t="s">
        <v>51</v>
      </c>
      <c r="K532" t="s">
        <v>40</v>
      </c>
    </row>
    <row r="533" spans="1:11" x14ac:dyDescent="0.2">
      <c r="A533" s="1">
        <v>46081</v>
      </c>
      <c r="B533" t="s">
        <v>52</v>
      </c>
      <c r="C533" t="s">
        <v>53</v>
      </c>
      <c r="D533" t="s">
        <v>54</v>
      </c>
      <c r="E533" t="s">
        <v>54</v>
      </c>
      <c r="F533">
        <v>150256</v>
      </c>
      <c r="G533">
        <v>1905</v>
      </c>
      <c r="H533">
        <v>433.55</v>
      </c>
      <c r="I533">
        <v>161</v>
      </c>
      <c r="J533" t="s">
        <v>54</v>
      </c>
      <c r="K533" t="s">
        <v>40</v>
      </c>
    </row>
    <row r="534" spans="1:11" x14ac:dyDescent="0.2">
      <c r="A534" s="1">
        <v>46081</v>
      </c>
      <c r="B534" t="s">
        <v>52</v>
      </c>
      <c r="C534" t="s">
        <v>55</v>
      </c>
      <c r="D534" t="s">
        <v>54</v>
      </c>
      <c r="E534" t="s">
        <v>54</v>
      </c>
      <c r="F534">
        <v>226585</v>
      </c>
      <c r="G534">
        <v>2944</v>
      </c>
      <c r="H534">
        <v>554.97</v>
      </c>
      <c r="I534">
        <v>221</v>
      </c>
      <c r="J534" t="s">
        <v>54</v>
      </c>
      <c r="K534" t="s">
        <v>40</v>
      </c>
    </row>
    <row r="535" spans="1:11" x14ac:dyDescent="0.2">
      <c r="A535" s="1">
        <v>46081</v>
      </c>
      <c r="B535" t="s">
        <v>56</v>
      </c>
      <c r="C535" t="s">
        <v>57</v>
      </c>
      <c r="D535" t="s">
        <v>58</v>
      </c>
      <c r="E535" t="s">
        <v>42</v>
      </c>
      <c r="F535">
        <v>25961</v>
      </c>
      <c r="G535">
        <v>1720</v>
      </c>
      <c r="H535">
        <v>392.32</v>
      </c>
      <c r="I535">
        <v>108</v>
      </c>
      <c r="J535" t="s">
        <v>43</v>
      </c>
      <c r="K535" t="s">
        <v>40</v>
      </c>
    </row>
    <row r="536" spans="1:11" x14ac:dyDescent="0.2">
      <c r="A536" s="1">
        <v>46081</v>
      </c>
      <c r="B536" t="s">
        <v>56</v>
      </c>
      <c r="C536" t="s">
        <v>57</v>
      </c>
      <c r="D536" t="s">
        <v>59</v>
      </c>
      <c r="E536" t="s">
        <v>38</v>
      </c>
      <c r="F536">
        <v>50269</v>
      </c>
      <c r="G536">
        <v>3199</v>
      </c>
      <c r="H536">
        <v>638.54999999999995</v>
      </c>
      <c r="I536">
        <v>254</v>
      </c>
      <c r="J536" t="s">
        <v>43</v>
      </c>
      <c r="K536" t="s">
        <v>40</v>
      </c>
    </row>
    <row r="537" spans="1:11" x14ac:dyDescent="0.2">
      <c r="A537" s="1">
        <v>46082</v>
      </c>
      <c r="B537" t="s">
        <v>35</v>
      </c>
      <c r="C537" t="s">
        <v>36</v>
      </c>
      <c r="D537" t="s">
        <v>37</v>
      </c>
      <c r="E537" t="s">
        <v>38</v>
      </c>
      <c r="F537">
        <v>57664</v>
      </c>
      <c r="G537">
        <v>3108</v>
      </c>
      <c r="H537">
        <v>581.71</v>
      </c>
      <c r="I537">
        <v>267</v>
      </c>
      <c r="J537" t="s">
        <v>39</v>
      </c>
      <c r="K537" t="s">
        <v>40</v>
      </c>
    </row>
    <row r="538" spans="1:11" x14ac:dyDescent="0.2">
      <c r="A538" s="1">
        <v>46082</v>
      </c>
      <c r="B538" t="s">
        <v>35</v>
      </c>
      <c r="C538" t="s">
        <v>36</v>
      </c>
      <c r="D538" t="s">
        <v>41</v>
      </c>
      <c r="E538" t="s">
        <v>42</v>
      </c>
      <c r="F538">
        <v>40553</v>
      </c>
      <c r="G538">
        <v>2612</v>
      </c>
      <c r="H538">
        <v>620.62</v>
      </c>
      <c r="I538">
        <v>155</v>
      </c>
      <c r="J538" t="s">
        <v>43</v>
      </c>
      <c r="K538" t="s">
        <v>40</v>
      </c>
    </row>
    <row r="539" spans="1:11" x14ac:dyDescent="0.2">
      <c r="A539" s="1">
        <v>46082</v>
      </c>
      <c r="B539" t="s">
        <v>44</v>
      </c>
      <c r="C539" t="s">
        <v>45</v>
      </c>
      <c r="D539" t="s">
        <v>46</v>
      </c>
      <c r="E539" t="s">
        <v>42</v>
      </c>
      <c r="F539">
        <v>48235</v>
      </c>
      <c r="G539">
        <v>2805</v>
      </c>
      <c r="H539">
        <v>602.6</v>
      </c>
      <c r="I539">
        <v>190</v>
      </c>
      <c r="J539" t="s">
        <v>47</v>
      </c>
      <c r="K539" t="s">
        <v>40</v>
      </c>
    </row>
    <row r="540" spans="1:11" x14ac:dyDescent="0.2">
      <c r="A540" s="1">
        <v>46082</v>
      </c>
      <c r="B540" t="s">
        <v>44</v>
      </c>
      <c r="C540" t="s">
        <v>48</v>
      </c>
      <c r="D540" t="s">
        <v>49</v>
      </c>
      <c r="E540" t="s">
        <v>50</v>
      </c>
      <c r="F540">
        <v>15061</v>
      </c>
      <c r="G540">
        <v>1001</v>
      </c>
      <c r="H540">
        <v>197.12</v>
      </c>
      <c r="I540">
        <v>69</v>
      </c>
      <c r="J540" t="s">
        <v>51</v>
      </c>
      <c r="K540" t="s">
        <v>40</v>
      </c>
    </row>
    <row r="541" spans="1:11" x14ac:dyDescent="0.2">
      <c r="A541" s="1">
        <v>46082</v>
      </c>
      <c r="B541" t="s">
        <v>52</v>
      </c>
      <c r="C541" t="s">
        <v>53</v>
      </c>
      <c r="D541" t="s">
        <v>54</v>
      </c>
      <c r="E541" t="s">
        <v>54</v>
      </c>
      <c r="F541">
        <v>192349</v>
      </c>
      <c r="G541">
        <v>2715</v>
      </c>
      <c r="H541">
        <v>608.29</v>
      </c>
      <c r="I541">
        <v>249</v>
      </c>
      <c r="J541" t="s">
        <v>54</v>
      </c>
      <c r="K541" t="s">
        <v>40</v>
      </c>
    </row>
    <row r="542" spans="1:11" x14ac:dyDescent="0.2">
      <c r="A542" s="1">
        <v>46082</v>
      </c>
      <c r="B542" t="s">
        <v>52</v>
      </c>
      <c r="C542" t="s">
        <v>55</v>
      </c>
      <c r="D542" t="s">
        <v>54</v>
      </c>
      <c r="E542" t="s">
        <v>54</v>
      </c>
      <c r="F542">
        <v>156783</v>
      </c>
      <c r="G542">
        <v>1881</v>
      </c>
      <c r="H542">
        <v>408.9</v>
      </c>
      <c r="I542">
        <v>160</v>
      </c>
      <c r="J542" t="s">
        <v>54</v>
      </c>
      <c r="K542" t="s">
        <v>40</v>
      </c>
    </row>
    <row r="543" spans="1:11" x14ac:dyDescent="0.2">
      <c r="A543" s="1">
        <v>46082</v>
      </c>
      <c r="B543" t="s">
        <v>56</v>
      </c>
      <c r="C543" t="s">
        <v>57</v>
      </c>
      <c r="D543" t="s">
        <v>58</v>
      </c>
      <c r="E543" t="s">
        <v>42</v>
      </c>
      <c r="F543">
        <v>20309</v>
      </c>
      <c r="G543">
        <v>1029</v>
      </c>
      <c r="H543">
        <v>190.83</v>
      </c>
      <c r="I543">
        <v>95</v>
      </c>
      <c r="J543" t="s">
        <v>43</v>
      </c>
      <c r="K543" t="s">
        <v>40</v>
      </c>
    </row>
    <row r="544" spans="1:11" x14ac:dyDescent="0.2">
      <c r="A544" s="1">
        <v>46082</v>
      </c>
      <c r="B544" t="s">
        <v>56</v>
      </c>
      <c r="C544" t="s">
        <v>57</v>
      </c>
      <c r="D544" t="s">
        <v>59</v>
      </c>
      <c r="E544" t="s">
        <v>38</v>
      </c>
      <c r="F544">
        <v>25581</v>
      </c>
      <c r="G544">
        <v>1761</v>
      </c>
      <c r="H544">
        <v>461.41</v>
      </c>
      <c r="I544">
        <v>97</v>
      </c>
      <c r="J544" t="s">
        <v>43</v>
      </c>
      <c r="K544" t="s">
        <v>40</v>
      </c>
    </row>
    <row r="545" spans="1:11" x14ac:dyDescent="0.2">
      <c r="A545" s="1">
        <v>46083</v>
      </c>
      <c r="B545" t="s">
        <v>35</v>
      </c>
      <c r="C545" t="s">
        <v>36</v>
      </c>
      <c r="D545" t="s">
        <v>37</v>
      </c>
      <c r="E545" t="s">
        <v>38</v>
      </c>
      <c r="F545">
        <v>22479</v>
      </c>
      <c r="G545">
        <v>1243</v>
      </c>
      <c r="H545">
        <v>282.31</v>
      </c>
      <c r="I545">
        <v>84</v>
      </c>
      <c r="J545" t="s">
        <v>39</v>
      </c>
      <c r="K545" t="s">
        <v>40</v>
      </c>
    </row>
    <row r="546" spans="1:11" x14ac:dyDescent="0.2">
      <c r="A546" s="1">
        <v>46083</v>
      </c>
      <c r="B546" t="s">
        <v>35</v>
      </c>
      <c r="C546" t="s">
        <v>36</v>
      </c>
      <c r="D546" t="s">
        <v>41</v>
      </c>
      <c r="E546" t="s">
        <v>42</v>
      </c>
      <c r="F546">
        <v>31050</v>
      </c>
      <c r="G546">
        <v>1642</v>
      </c>
      <c r="H546">
        <v>381.48</v>
      </c>
      <c r="I546">
        <v>107</v>
      </c>
      <c r="J546" t="s">
        <v>43</v>
      </c>
      <c r="K546" t="s">
        <v>40</v>
      </c>
    </row>
    <row r="547" spans="1:11" x14ac:dyDescent="0.2">
      <c r="A547" s="1">
        <v>46083</v>
      </c>
      <c r="B547" t="s">
        <v>44</v>
      </c>
      <c r="C547" t="s">
        <v>45</v>
      </c>
      <c r="D547" t="s">
        <v>46</v>
      </c>
      <c r="E547" t="s">
        <v>42</v>
      </c>
      <c r="F547">
        <v>54151</v>
      </c>
      <c r="G547">
        <v>3408</v>
      </c>
      <c r="H547">
        <v>951.62</v>
      </c>
      <c r="I547">
        <v>282</v>
      </c>
      <c r="J547" t="s">
        <v>47</v>
      </c>
      <c r="K547" t="s">
        <v>40</v>
      </c>
    </row>
    <row r="548" spans="1:11" x14ac:dyDescent="0.2">
      <c r="A548" s="1">
        <v>46083</v>
      </c>
      <c r="B548" t="s">
        <v>44</v>
      </c>
      <c r="C548" t="s">
        <v>48</v>
      </c>
      <c r="D548" t="s">
        <v>49</v>
      </c>
      <c r="E548" t="s">
        <v>50</v>
      </c>
      <c r="F548">
        <v>14566</v>
      </c>
      <c r="G548">
        <v>830</v>
      </c>
      <c r="H548">
        <v>224.6</v>
      </c>
      <c r="I548">
        <v>63</v>
      </c>
      <c r="J548" t="s">
        <v>51</v>
      </c>
      <c r="K548" t="s">
        <v>40</v>
      </c>
    </row>
    <row r="549" spans="1:11" x14ac:dyDescent="0.2">
      <c r="A549" s="1">
        <v>46083</v>
      </c>
      <c r="B549" t="s">
        <v>52</v>
      </c>
      <c r="C549" t="s">
        <v>53</v>
      </c>
      <c r="D549" t="s">
        <v>54</v>
      </c>
      <c r="E549" t="s">
        <v>54</v>
      </c>
      <c r="F549">
        <v>160527</v>
      </c>
      <c r="G549">
        <v>1902</v>
      </c>
      <c r="H549">
        <v>396.38</v>
      </c>
      <c r="I549">
        <v>164</v>
      </c>
      <c r="J549" t="s">
        <v>54</v>
      </c>
      <c r="K549" t="s">
        <v>40</v>
      </c>
    </row>
    <row r="550" spans="1:11" x14ac:dyDescent="0.2">
      <c r="A550" s="1">
        <v>46083</v>
      </c>
      <c r="B550" t="s">
        <v>52</v>
      </c>
      <c r="C550" t="s">
        <v>55</v>
      </c>
      <c r="D550" t="s">
        <v>54</v>
      </c>
      <c r="E550" t="s">
        <v>54</v>
      </c>
      <c r="F550">
        <v>163224</v>
      </c>
      <c r="G550">
        <v>1838</v>
      </c>
      <c r="H550">
        <v>451.18</v>
      </c>
      <c r="I550">
        <v>101</v>
      </c>
      <c r="J550" t="s">
        <v>54</v>
      </c>
      <c r="K550" t="s">
        <v>40</v>
      </c>
    </row>
    <row r="551" spans="1:11" x14ac:dyDescent="0.2">
      <c r="A551" s="1">
        <v>46083</v>
      </c>
      <c r="B551" t="s">
        <v>56</v>
      </c>
      <c r="C551" t="s">
        <v>57</v>
      </c>
      <c r="D551" t="s">
        <v>58</v>
      </c>
      <c r="E551" t="s">
        <v>42</v>
      </c>
      <c r="F551">
        <v>46111</v>
      </c>
      <c r="G551">
        <v>2944</v>
      </c>
      <c r="H551">
        <v>725.1</v>
      </c>
      <c r="I551">
        <v>269</v>
      </c>
      <c r="J551" t="s">
        <v>43</v>
      </c>
      <c r="K551" t="s">
        <v>40</v>
      </c>
    </row>
    <row r="552" spans="1:11" x14ac:dyDescent="0.2">
      <c r="A552" s="1">
        <v>46083</v>
      </c>
      <c r="B552" t="s">
        <v>56</v>
      </c>
      <c r="C552" t="s">
        <v>57</v>
      </c>
      <c r="D552" t="s">
        <v>59</v>
      </c>
      <c r="E552" t="s">
        <v>38</v>
      </c>
      <c r="F552">
        <v>43689</v>
      </c>
      <c r="G552">
        <v>3003</v>
      </c>
      <c r="H552">
        <v>546.27</v>
      </c>
      <c r="I552">
        <v>269</v>
      </c>
      <c r="J552" t="s">
        <v>43</v>
      </c>
      <c r="K552" t="s">
        <v>40</v>
      </c>
    </row>
    <row r="553" spans="1:11" x14ac:dyDescent="0.2">
      <c r="A553" s="1">
        <v>46084</v>
      </c>
      <c r="B553" t="s">
        <v>35</v>
      </c>
      <c r="C553" t="s">
        <v>36</v>
      </c>
      <c r="D553" t="s">
        <v>37</v>
      </c>
      <c r="E553" t="s">
        <v>38</v>
      </c>
      <c r="F553">
        <v>45930</v>
      </c>
      <c r="G553">
        <v>2459</v>
      </c>
      <c r="H553">
        <v>536.23</v>
      </c>
      <c r="I553">
        <v>231</v>
      </c>
      <c r="J553" t="s">
        <v>39</v>
      </c>
      <c r="K553" t="s">
        <v>40</v>
      </c>
    </row>
    <row r="554" spans="1:11" x14ac:dyDescent="0.2">
      <c r="A554" s="1">
        <v>46084</v>
      </c>
      <c r="B554" t="s">
        <v>35</v>
      </c>
      <c r="C554" t="s">
        <v>36</v>
      </c>
      <c r="D554" t="s">
        <v>41</v>
      </c>
      <c r="E554" t="s">
        <v>42</v>
      </c>
      <c r="F554">
        <v>21485</v>
      </c>
      <c r="G554">
        <v>1497</v>
      </c>
      <c r="H554">
        <v>342.01</v>
      </c>
      <c r="I554">
        <v>118</v>
      </c>
      <c r="J554" t="s">
        <v>43</v>
      </c>
      <c r="K554" t="s">
        <v>40</v>
      </c>
    </row>
    <row r="555" spans="1:11" x14ac:dyDescent="0.2">
      <c r="A555" s="1">
        <v>46084</v>
      </c>
      <c r="B555" t="s">
        <v>44</v>
      </c>
      <c r="C555" t="s">
        <v>45</v>
      </c>
      <c r="D555" t="s">
        <v>46</v>
      </c>
      <c r="E555" t="s">
        <v>42</v>
      </c>
      <c r="F555">
        <v>20498</v>
      </c>
      <c r="G555">
        <v>1075</v>
      </c>
      <c r="H555">
        <v>247.32</v>
      </c>
      <c r="I555">
        <v>78</v>
      </c>
      <c r="J555" t="s">
        <v>47</v>
      </c>
      <c r="K555" t="s">
        <v>40</v>
      </c>
    </row>
    <row r="556" spans="1:11" x14ac:dyDescent="0.2">
      <c r="A556" s="1">
        <v>46084</v>
      </c>
      <c r="B556" t="s">
        <v>44</v>
      </c>
      <c r="C556" t="s">
        <v>48</v>
      </c>
      <c r="D556" t="s">
        <v>49</v>
      </c>
      <c r="E556" t="s">
        <v>50</v>
      </c>
      <c r="F556">
        <v>14830</v>
      </c>
      <c r="G556">
        <v>725</v>
      </c>
      <c r="H556">
        <v>197.36</v>
      </c>
      <c r="I556">
        <v>48</v>
      </c>
      <c r="J556" t="s">
        <v>51</v>
      </c>
      <c r="K556" t="s">
        <v>40</v>
      </c>
    </row>
    <row r="557" spans="1:11" x14ac:dyDescent="0.2">
      <c r="A557" s="1">
        <v>46084</v>
      </c>
      <c r="B557" t="s">
        <v>52</v>
      </c>
      <c r="C557" t="s">
        <v>53</v>
      </c>
      <c r="D557" t="s">
        <v>54</v>
      </c>
      <c r="E557" t="s">
        <v>54</v>
      </c>
      <c r="F557">
        <v>200480</v>
      </c>
      <c r="G557">
        <v>2599</v>
      </c>
      <c r="H557">
        <v>508.63</v>
      </c>
      <c r="I557">
        <v>178</v>
      </c>
      <c r="J557" t="s">
        <v>54</v>
      </c>
      <c r="K557" t="s">
        <v>40</v>
      </c>
    </row>
    <row r="558" spans="1:11" x14ac:dyDescent="0.2">
      <c r="A558" s="1">
        <v>46084</v>
      </c>
      <c r="B558" t="s">
        <v>52</v>
      </c>
      <c r="C558" t="s">
        <v>55</v>
      </c>
      <c r="D558" t="s">
        <v>54</v>
      </c>
      <c r="E558" t="s">
        <v>54</v>
      </c>
      <c r="F558">
        <v>176962</v>
      </c>
      <c r="G558">
        <v>2261</v>
      </c>
      <c r="H558">
        <v>475.34</v>
      </c>
      <c r="I558">
        <v>214</v>
      </c>
      <c r="J558" t="s">
        <v>54</v>
      </c>
      <c r="K558" t="s">
        <v>40</v>
      </c>
    </row>
    <row r="559" spans="1:11" x14ac:dyDescent="0.2">
      <c r="A559" s="1">
        <v>46084</v>
      </c>
      <c r="B559" t="s">
        <v>56</v>
      </c>
      <c r="C559" t="s">
        <v>57</v>
      </c>
      <c r="D559" t="s">
        <v>58</v>
      </c>
      <c r="E559" t="s">
        <v>42</v>
      </c>
      <c r="F559">
        <v>55705</v>
      </c>
      <c r="G559">
        <v>3042</v>
      </c>
      <c r="H559">
        <v>566.41999999999996</v>
      </c>
      <c r="I559">
        <v>198</v>
      </c>
      <c r="J559" t="s">
        <v>43</v>
      </c>
      <c r="K559" t="s">
        <v>40</v>
      </c>
    </row>
    <row r="560" spans="1:11" x14ac:dyDescent="0.2">
      <c r="A560" s="1">
        <v>46084</v>
      </c>
      <c r="B560" t="s">
        <v>56</v>
      </c>
      <c r="C560" t="s">
        <v>57</v>
      </c>
      <c r="D560" t="s">
        <v>59</v>
      </c>
      <c r="E560" t="s">
        <v>38</v>
      </c>
      <c r="F560">
        <v>45984</v>
      </c>
      <c r="G560">
        <v>3189</v>
      </c>
      <c r="H560">
        <v>833.88</v>
      </c>
      <c r="I560">
        <v>179</v>
      </c>
      <c r="J560" t="s">
        <v>43</v>
      </c>
      <c r="K560" t="s">
        <v>40</v>
      </c>
    </row>
    <row r="561" spans="1:11" x14ac:dyDescent="0.2">
      <c r="A561" s="1">
        <v>46085</v>
      </c>
      <c r="B561" t="s">
        <v>35</v>
      </c>
      <c r="C561" t="s">
        <v>36</v>
      </c>
      <c r="D561" t="s">
        <v>37</v>
      </c>
      <c r="E561" t="s">
        <v>38</v>
      </c>
      <c r="F561">
        <v>36870</v>
      </c>
      <c r="G561">
        <v>1969</v>
      </c>
      <c r="H561">
        <v>421.72</v>
      </c>
      <c r="I561">
        <v>139</v>
      </c>
      <c r="J561" t="s">
        <v>39</v>
      </c>
      <c r="K561" t="s">
        <v>40</v>
      </c>
    </row>
    <row r="562" spans="1:11" x14ac:dyDescent="0.2">
      <c r="A562" s="1">
        <v>46085</v>
      </c>
      <c r="B562" t="s">
        <v>35</v>
      </c>
      <c r="C562" t="s">
        <v>36</v>
      </c>
      <c r="D562" t="s">
        <v>41</v>
      </c>
      <c r="E562" t="s">
        <v>42</v>
      </c>
      <c r="F562">
        <v>24693</v>
      </c>
      <c r="G562">
        <v>1237</v>
      </c>
      <c r="H562">
        <v>269.94</v>
      </c>
      <c r="I562">
        <v>115</v>
      </c>
      <c r="J562" t="s">
        <v>43</v>
      </c>
      <c r="K562" t="s">
        <v>40</v>
      </c>
    </row>
    <row r="563" spans="1:11" x14ac:dyDescent="0.2">
      <c r="A563" s="1">
        <v>46085</v>
      </c>
      <c r="B563" t="s">
        <v>44</v>
      </c>
      <c r="C563" t="s">
        <v>45</v>
      </c>
      <c r="D563" t="s">
        <v>46</v>
      </c>
      <c r="E563" t="s">
        <v>42</v>
      </c>
      <c r="F563">
        <v>32375</v>
      </c>
      <c r="G563">
        <v>1878</v>
      </c>
      <c r="H563">
        <v>445.63</v>
      </c>
      <c r="I563">
        <v>135</v>
      </c>
      <c r="J563" t="s">
        <v>47</v>
      </c>
      <c r="K563" t="s">
        <v>40</v>
      </c>
    </row>
    <row r="564" spans="1:11" x14ac:dyDescent="0.2">
      <c r="A564" s="1">
        <v>46085</v>
      </c>
      <c r="B564" t="s">
        <v>44</v>
      </c>
      <c r="C564" t="s">
        <v>48</v>
      </c>
      <c r="D564" t="s">
        <v>49</v>
      </c>
      <c r="E564" t="s">
        <v>50</v>
      </c>
      <c r="F564">
        <v>39613</v>
      </c>
      <c r="G564">
        <v>2766</v>
      </c>
      <c r="H564">
        <v>588.96</v>
      </c>
      <c r="I564">
        <v>212</v>
      </c>
      <c r="J564" t="s">
        <v>51</v>
      </c>
      <c r="K564" t="s">
        <v>40</v>
      </c>
    </row>
    <row r="565" spans="1:11" x14ac:dyDescent="0.2">
      <c r="A565" s="1">
        <v>46085</v>
      </c>
      <c r="B565" t="s">
        <v>52</v>
      </c>
      <c r="C565" t="s">
        <v>53</v>
      </c>
      <c r="D565" t="s">
        <v>54</v>
      </c>
      <c r="E565" t="s">
        <v>54</v>
      </c>
      <c r="F565">
        <v>152230</v>
      </c>
      <c r="G565">
        <v>2171</v>
      </c>
      <c r="H565">
        <v>516.91999999999996</v>
      </c>
      <c r="I565">
        <v>178</v>
      </c>
      <c r="J565" t="s">
        <v>54</v>
      </c>
      <c r="K565" t="s">
        <v>40</v>
      </c>
    </row>
    <row r="566" spans="1:11" x14ac:dyDescent="0.2">
      <c r="A566" s="1">
        <v>46085</v>
      </c>
      <c r="B566" t="s">
        <v>52</v>
      </c>
      <c r="C566" t="s">
        <v>55</v>
      </c>
      <c r="D566" t="s">
        <v>54</v>
      </c>
      <c r="E566" t="s">
        <v>54</v>
      </c>
      <c r="F566">
        <v>151472</v>
      </c>
      <c r="G566">
        <v>2319</v>
      </c>
      <c r="H566">
        <v>489.08</v>
      </c>
      <c r="I566">
        <v>192</v>
      </c>
      <c r="J566" t="s">
        <v>54</v>
      </c>
      <c r="K566" t="s">
        <v>40</v>
      </c>
    </row>
    <row r="567" spans="1:11" x14ac:dyDescent="0.2">
      <c r="A567" s="1">
        <v>46085</v>
      </c>
      <c r="B567" t="s">
        <v>56</v>
      </c>
      <c r="C567" t="s">
        <v>57</v>
      </c>
      <c r="D567" t="s">
        <v>58</v>
      </c>
      <c r="E567" t="s">
        <v>42</v>
      </c>
      <c r="F567">
        <v>57626</v>
      </c>
      <c r="G567">
        <v>4023</v>
      </c>
      <c r="H567">
        <v>897.15</v>
      </c>
      <c r="I567">
        <v>367</v>
      </c>
      <c r="J567" t="s">
        <v>43</v>
      </c>
      <c r="K567" t="s">
        <v>40</v>
      </c>
    </row>
    <row r="568" spans="1:11" x14ac:dyDescent="0.2">
      <c r="A568" s="1">
        <v>46085</v>
      </c>
      <c r="B568" t="s">
        <v>56</v>
      </c>
      <c r="C568" t="s">
        <v>57</v>
      </c>
      <c r="D568" t="s">
        <v>59</v>
      </c>
      <c r="E568" t="s">
        <v>38</v>
      </c>
      <c r="F568">
        <v>25365</v>
      </c>
      <c r="G568">
        <v>1617</v>
      </c>
      <c r="H568">
        <v>382.4</v>
      </c>
      <c r="I568">
        <v>99</v>
      </c>
      <c r="J568" t="s">
        <v>43</v>
      </c>
      <c r="K568" t="s">
        <v>40</v>
      </c>
    </row>
    <row r="569" spans="1:11" x14ac:dyDescent="0.2">
      <c r="A569" s="1">
        <v>46086</v>
      </c>
      <c r="B569" t="s">
        <v>35</v>
      </c>
      <c r="C569" t="s">
        <v>36</v>
      </c>
      <c r="D569" t="s">
        <v>37</v>
      </c>
      <c r="E569" t="s">
        <v>38</v>
      </c>
      <c r="F569">
        <v>18777</v>
      </c>
      <c r="G569">
        <v>1152</v>
      </c>
      <c r="H569">
        <v>316.64</v>
      </c>
      <c r="I569">
        <v>68</v>
      </c>
      <c r="J569" t="s">
        <v>39</v>
      </c>
      <c r="K569" t="s">
        <v>40</v>
      </c>
    </row>
    <row r="570" spans="1:11" x14ac:dyDescent="0.2">
      <c r="A570" s="1">
        <v>46086</v>
      </c>
      <c r="B570" t="s">
        <v>35</v>
      </c>
      <c r="C570" t="s">
        <v>36</v>
      </c>
      <c r="D570" t="s">
        <v>41</v>
      </c>
      <c r="E570" t="s">
        <v>42</v>
      </c>
      <c r="F570">
        <v>40058</v>
      </c>
      <c r="G570">
        <v>2729</v>
      </c>
      <c r="H570">
        <v>530.92999999999995</v>
      </c>
      <c r="I570">
        <v>153</v>
      </c>
      <c r="J570" t="s">
        <v>43</v>
      </c>
      <c r="K570" t="s">
        <v>40</v>
      </c>
    </row>
    <row r="571" spans="1:11" x14ac:dyDescent="0.2">
      <c r="A571" s="1">
        <v>46086</v>
      </c>
      <c r="B571" t="s">
        <v>44</v>
      </c>
      <c r="C571" t="s">
        <v>45</v>
      </c>
      <c r="D571" t="s">
        <v>46</v>
      </c>
      <c r="E571" t="s">
        <v>42</v>
      </c>
      <c r="F571">
        <v>40150</v>
      </c>
      <c r="G571">
        <v>2775</v>
      </c>
      <c r="H571">
        <v>614.4</v>
      </c>
      <c r="I571">
        <v>198</v>
      </c>
      <c r="J571" t="s">
        <v>47</v>
      </c>
      <c r="K571" t="s">
        <v>40</v>
      </c>
    </row>
    <row r="572" spans="1:11" x14ac:dyDescent="0.2">
      <c r="A572" s="1">
        <v>46086</v>
      </c>
      <c r="B572" t="s">
        <v>44</v>
      </c>
      <c r="C572" t="s">
        <v>48</v>
      </c>
      <c r="D572" t="s">
        <v>49</v>
      </c>
      <c r="E572" t="s">
        <v>50</v>
      </c>
      <c r="F572">
        <v>50741</v>
      </c>
      <c r="G572">
        <v>3343</v>
      </c>
      <c r="H572">
        <v>876.43</v>
      </c>
      <c r="I572">
        <v>269</v>
      </c>
      <c r="J572" t="s">
        <v>51</v>
      </c>
      <c r="K572" t="s">
        <v>40</v>
      </c>
    </row>
    <row r="573" spans="1:11" x14ac:dyDescent="0.2">
      <c r="A573" s="1">
        <v>46086</v>
      </c>
      <c r="B573" t="s">
        <v>52</v>
      </c>
      <c r="C573" t="s">
        <v>53</v>
      </c>
      <c r="D573" t="s">
        <v>54</v>
      </c>
      <c r="E573" t="s">
        <v>54</v>
      </c>
      <c r="F573">
        <v>163653</v>
      </c>
      <c r="G573">
        <v>1924</v>
      </c>
      <c r="H573">
        <v>382.48</v>
      </c>
      <c r="I573">
        <v>115</v>
      </c>
      <c r="J573" t="s">
        <v>54</v>
      </c>
      <c r="K573" t="s">
        <v>40</v>
      </c>
    </row>
    <row r="574" spans="1:11" x14ac:dyDescent="0.2">
      <c r="A574" s="1">
        <v>46086</v>
      </c>
      <c r="B574" t="s">
        <v>52</v>
      </c>
      <c r="C574" t="s">
        <v>55</v>
      </c>
      <c r="D574" t="s">
        <v>54</v>
      </c>
      <c r="E574" t="s">
        <v>54</v>
      </c>
      <c r="F574">
        <v>121462</v>
      </c>
      <c r="G574">
        <v>1799</v>
      </c>
      <c r="H574">
        <v>433.92</v>
      </c>
      <c r="I574">
        <v>118</v>
      </c>
      <c r="J574" t="s">
        <v>54</v>
      </c>
      <c r="K574" t="s">
        <v>40</v>
      </c>
    </row>
    <row r="575" spans="1:11" x14ac:dyDescent="0.2">
      <c r="A575" s="1">
        <v>46086</v>
      </c>
      <c r="B575" t="s">
        <v>56</v>
      </c>
      <c r="C575" t="s">
        <v>57</v>
      </c>
      <c r="D575" t="s">
        <v>58</v>
      </c>
      <c r="E575" t="s">
        <v>42</v>
      </c>
      <c r="F575">
        <v>32672</v>
      </c>
      <c r="G575">
        <v>2035</v>
      </c>
      <c r="H575">
        <v>413.29</v>
      </c>
      <c r="I575">
        <v>114</v>
      </c>
      <c r="J575" t="s">
        <v>43</v>
      </c>
      <c r="K575" t="s">
        <v>40</v>
      </c>
    </row>
    <row r="576" spans="1:11" x14ac:dyDescent="0.2">
      <c r="A576" s="1">
        <v>46086</v>
      </c>
      <c r="B576" t="s">
        <v>56</v>
      </c>
      <c r="C576" t="s">
        <v>57</v>
      </c>
      <c r="D576" t="s">
        <v>59</v>
      </c>
      <c r="E576" t="s">
        <v>38</v>
      </c>
      <c r="F576">
        <v>19770</v>
      </c>
      <c r="G576">
        <v>1275</v>
      </c>
      <c r="H576">
        <v>290.27</v>
      </c>
      <c r="I576">
        <v>95</v>
      </c>
      <c r="J576" t="s">
        <v>43</v>
      </c>
      <c r="K576" t="s">
        <v>40</v>
      </c>
    </row>
    <row r="577" spans="1:11" x14ac:dyDescent="0.2">
      <c r="A577" s="1">
        <v>46087</v>
      </c>
      <c r="B577" t="s">
        <v>35</v>
      </c>
      <c r="C577" t="s">
        <v>36</v>
      </c>
      <c r="D577" t="s">
        <v>37</v>
      </c>
      <c r="E577" t="s">
        <v>38</v>
      </c>
      <c r="F577">
        <v>52936</v>
      </c>
      <c r="G577">
        <v>3445</v>
      </c>
      <c r="H577">
        <v>748.93</v>
      </c>
      <c r="I577">
        <v>306</v>
      </c>
      <c r="J577" t="s">
        <v>39</v>
      </c>
      <c r="K577" t="s">
        <v>40</v>
      </c>
    </row>
    <row r="578" spans="1:11" x14ac:dyDescent="0.2">
      <c r="A578" s="1">
        <v>46087</v>
      </c>
      <c r="B578" t="s">
        <v>35</v>
      </c>
      <c r="C578" t="s">
        <v>36</v>
      </c>
      <c r="D578" t="s">
        <v>41</v>
      </c>
      <c r="E578" t="s">
        <v>42</v>
      </c>
      <c r="F578">
        <v>54869</v>
      </c>
      <c r="G578">
        <v>3257</v>
      </c>
      <c r="H578">
        <v>639.61</v>
      </c>
      <c r="I578">
        <v>208</v>
      </c>
      <c r="J578" t="s">
        <v>43</v>
      </c>
      <c r="K578" t="s">
        <v>40</v>
      </c>
    </row>
    <row r="579" spans="1:11" x14ac:dyDescent="0.2">
      <c r="A579" s="1">
        <v>46087</v>
      </c>
      <c r="B579" t="s">
        <v>44</v>
      </c>
      <c r="C579" t="s">
        <v>45</v>
      </c>
      <c r="D579" t="s">
        <v>46</v>
      </c>
      <c r="E579" t="s">
        <v>42</v>
      </c>
      <c r="F579">
        <v>47810</v>
      </c>
      <c r="G579">
        <v>3172</v>
      </c>
      <c r="H579">
        <v>575.72</v>
      </c>
      <c r="I579">
        <v>208</v>
      </c>
      <c r="J579" t="s">
        <v>47</v>
      </c>
      <c r="K579" t="s">
        <v>40</v>
      </c>
    </row>
    <row r="580" spans="1:11" x14ac:dyDescent="0.2">
      <c r="A580" s="1">
        <v>46087</v>
      </c>
      <c r="B580" t="s">
        <v>44</v>
      </c>
      <c r="C580" t="s">
        <v>48</v>
      </c>
      <c r="D580" t="s">
        <v>49</v>
      </c>
      <c r="E580" t="s">
        <v>50</v>
      </c>
      <c r="F580">
        <v>48189</v>
      </c>
      <c r="G580">
        <v>2570</v>
      </c>
      <c r="H580">
        <v>635.13</v>
      </c>
      <c r="I580">
        <v>162</v>
      </c>
      <c r="J580" t="s">
        <v>51</v>
      </c>
      <c r="K580" t="s">
        <v>40</v>
      </c>
    </row>
    <row r="581" spans="1:11" x14ac:dyDescent="0.2">
      <c r="A581" s="1">
        <v>46087</v>
      </c>
      <c r="B581" t="s">
        <v>52</v>
      </c>
      <c r="C581" t="s">
        <v>53</v>
      </c>
      <c r="D581" t="s">
        <v>54</v>
      </c>
      <c r="E581" t="s">
        <v>54</v>
      </c>
      <c r="F581">
        <v>151855</v>
      </c>
      <c r="G581">
        <v>1720</v>
      </c>
      <c r="H581">
        <v>469.06</v>
      </c>
      <c r="I581">
        <v>162</v>
      </c>
      <c r="J581" t="s">
        <v>54</v>
      </c>
      <c r="K581" t="s">
        <v>40</v>
      </c>
    </row>
    <row r="582" spans="1:11" x14ac:dyDescent="0.2">
      <c r="A582" s="1">
        <v>46087</v>
      </c>
      <c r="B582" t="s">
        <v>52</v>
      </c>
      <c r="C582" t="s">
        <v>55</v>
      </c>
      <c r="D582" t="s">
        <v>54</v>
      </c>
      <c r="E582" t="s">
        <v>54</v>
      </c>
      <c r="F582">
        <v>200482</v>
      </c>
      <c r="G582">
        <v>2894</v>
      </c>
      <c r="H582">
        <v>771.76</v>
      </c>
      <c r="I582">
        <v>261</v>
      </c>
      <c r="J582" t="s">
        <v>54</v>
      </c>
      <c r="K582" t="s">
        <v>40</v>
      </c>
    </row>
    <row r="583" spans="1:11" x14ac:dyDescent="0.2">
      <c r="A583" s="1">
        <v>46087</v>
      </c>
      <c r="B583" t="s">
        <v>56</v>
      </c>
      <c r="C583" t="s">
        <v>57</v>
      </c>
      <c r="D583" t="s">
        <v>58</v>
      </c>
      <c r="E583" t="s">
        <v>42</v>
      </c>
      <c r="F583">
        <v>49426</v>
      </c>
      <c r="G583">
        <v>2852</v>
      </c>
      <c r="H583">
        <v>525.29</v>
      </c>
      <c r="I583">
        <v>240</v>
      </c>
      <c r="J583" t="s">
        <v>43</v>
      </c>
      <c r="K583" t="s">
        <v>40</v>
      </c>
    </row>
    <row r="584" spans="1:11" x14ac:dyDescent="0.2">
      <c r="A584" s="1">
        <v>46087</v>
      </c>
      <c r="B584" t="s">
        <v>56</v>
      </c>
      <c r="C584" t="s">
        <v>57</v>
      </c>
      <c r="D584" t="s">
        <v>59</v>
      </c>
      <c r="E584" t="s">
        <v>38</v>
      </c>
      <c r="F584">
        <v>45406</v>
      </c>
      <c r="G584">
        <v>2964</v>
      </c>
      <c r="H584">
        <v>650.35</v>
      </c>
      <c r="I584">
        <v>274</v>
      </c>
      <c r="J584" t="s">
        <v>43</v>
      </c>
      <c r="K584" t="s">
        <v>40</v>
      </c>
    </row>
    <row r="585" spans="1:11" x14ac:dyDescent="0.2">
      <c r="A585" s="1">
        <v>46088</v>
      </c>
      <c r="B585" t="s">
        <v>35</v>
      </c>
      <c r="C585" t="s">
        <v>36</v>
      </c>
      <c r="D585" t="s">
        <v>37</v>
      </c>
      <c r="E585" t="s">
        <v>38</v>
      </c>
      <c r="F585">
        <v>57747</v>
      </c>
      <c r="G585">
        <v>3660</v>
      </c>
      <c r="H585">
        <v>916.51</v>
      </c>
      <c r="I585">
        <v>206</v>
      </c>
      <c r="J585" t="s">
        <v>39</v>
      </c>
      <c r="K585" t="s">
        <v>40</v>
      </c>
    </row>
    <row r="586" spans="1:11" x14ac:dyDescent="0.2">
      <c r="A586" s="1">
        <v>46088</v>
      </c>
      <c r="B586" t="s">
        <v>35</v>
      </c>
      <c r="C586" t="s">
        <v>36</v>
      </c>
      <c r="D586" t="s">
        <v>41</v>
      </c>
      <c r="E586" t="s">
        <v>42</v>
      </c>
      <c r="F586">
        <v>22313</v>
      </c>
      <c r="G586">
        <v>1312</v>
      </c>
      <c r="H586">
        <v>344.66</v>
      </c>
      <c r="I586">
        <v>74</v>
      </c>
      <c r="J586" t="s">
        <v>43</v>
      </c>
      <c r="K586" t="s">
        <v>40</v>
      </c>
    </row>
    <row r="587" spans="1:11" x14ac:dyDescent="0.2">
      <c r="A587" s="1">
        <v>46088</v>
      </c>
      <c r="B587" t="s">
        <v>44</v>
      </c>
      <c r="C587" t="s">
        <v>45</v>
      </c>
      <c r="D587" t="s">
        <v>46</v>
      </c>
      <c r="E587" t="s">
        <v>42</v>
      </c>
      <c r="F587">
        <v>33933</v>
      </c>
      <c r="G587">
        <v>2051</v>
      </c>
      <c r="H587">
        <v>450.32</v>
      </c>
      <c r="I587">
        <v>173</v>
      </c>
      <c r="J587" t="s">
        <v>47</v>
      </c>
      <c r="K587" t="s">
        <v>40</v>
      </c>
    </row>
    <row r="588" spans="1:11" x14ac:dyDescent="0.2">
      <c r="A588" s="1">
        <v>46088</v>
      </c>
      <c r="B588" t="s">
        <v>44</v>
      </c>
      <c r="C588" t="s">
        <v>48</v>
      </c>
      <c r="D588" t="s">
        <v>49</v>
      </c>
      <c r="E588" t="s">
        <v>50</v>
      </c>
      <c r="F588">
        <v>46004</v>
      </c>
      <c r="G588">
        <v>2778</v>
      </c>
      <c r="H588">
        <v>675.23</v>
      </c>
      <c r="I588">
        <v>158</v>
      </c>
      <c r="J588" t="s">
        <v>51</v>
      </c>
      <c r="K588" t="s">
        <v>40</v>
      </c>
    </row>
    <row r="589" spans="1:11" x14ac:dyDescent="0.2">
      <c r="A589" s="1">
        <v>46088</v>
      </c>
      <c r="B589" t="s">
        <v>52</v>
      </c>
      <c r="C589" t="s">
        <v>53</v>
      </c>
      <c r="D589" t="s">
        <v>54</v>
      </c>
      <c r="E589" t="s">
        <v>54</v>
      </c>
      <c r="F589">
        <v>166614</v>
      </c>
      <c r="G589">
        <v>2198</v>
      </c>
      <c r="H589">
        <v>590.03</v>
      </c>
      <c r="I589">
        <v>188</v>
      </c>
      <c r="J589" t="s">
        <v>54</v>
      </c>
      <c r="K589" t="s">
        <v>40</v>
      </c>
    </row>
    <row r="590" spans="1:11" x14ac:dyDescent="0.2">
      <c r="A590" s="1">
        <v>46088</v>
      </c>
      <c r="B590" t="s">
        <v>52</v>
      </c>
      <c r="C590" t="s">
        <v>55</v>
      </c>
      <c r="D590" t="s">
        <v>54</v>
      </c>
      <c r="E590" t="s">
        <v>54</v>
      </c>
      <c r="F590">
        <v>165717</v>
      </c>
      <c r="G590">
        <v>2205</v>
      </c>
      <c r="H590">
        <v>490.05</v>
      </c>
      <c r="I590">
        <v>175</v>
      </c>
      <c r="J590" t="s">
        <v>54</v>
      </c>
      <c r="K590" t="s">
        <v>40</v>
      </c>
    </row>
    <row r="591" spans="1:11" x14ac:dyDescent="0.2">
      <c r="A591" s="1">
        <v>46088</v>
      </c>
      <c r="B591" t="s">
        <v>56</v>
      </c>
      <c r="C591" t="s">
        <v>57</v>
      </c>
      <c r="D591" t="s">
        <v>58</v>
      </c>
      <c r="E591" t="s">
        <v>42</v>
      </c>
      <c r="F591">
        <v>17646</v>
      </c>
      <c r="G591">
        <v>1139</v>
      </c>
      <c r="H591">
        <v>307.95</v>
      </c>
      <c r="I591">
        <v>83</v>
      </c>
      <c r="J591" t="s">
        <v>43</v>
      </c>
      <c r="K591" t="s">
        <v>40</v>
      </c>
    </row>
    <row r="592" spans="1:11" x14ac:dyDescent="0.2">
      <c r="A592" s="1">
        <v>46088</v>
      </c>
      <c r="B592" t="s">
        <v>56</v>
      </c>
      <c r="C592" t="s">
        <v>57</v>
      </c>
      <c r="D592" t="s">
        <v>59</v>
      </c>
      <c r="E592" t="s">
        <v>38</v>
      </c>
      <c r="F592">
        <v>51482</v>
      </c>
      <c r="G592">
        <v>2582</v>
      </c>
      <c r="H592">
        <v>594.03</v>
      </c>
      <c r="I592">
        <v>160</v>
      </c>
      <c r="J592" t="s">
        <v>43</v>
      </c>
      <c r="K592" t="s">
        <v>40</v>
      </c>
    </row>
    <row r="593" spans="1:11" x14ac:dyDescent="0.2">
      <c r="A593" s="1">
        <v>46089</v>
      </c>
      <c r="B593" t="s">
        <v>35</v>
      </c>
      <c r="C593" t="s">
        <v>36</v>
      </c>
      <c r="D593" t="s">
        <v>37</v>
      </c>
      <c r="E593" t="s">
        <v>38</v>
      </c>
      <c r="F593">
        <v>24527</v>
      </c>
      <c r="G593">
        <v>1408</v>
      </c>
      <c r="H593">
        <v>298.98</v>
      </c>
      <c r="I593">
        <v>78</v>
      </c>
      <c r="J593" t="s">
        <v>39</v>
      </c>
      <c r="K593" t="s">
        <v>40</v>
      </c>
    </row>
    <row r="594" spans="1:11" x14ac:dyDescent="0.2">
      <c r="A594" s="1">
        <v>46089</v>
      </c>
      <c r="B594" t="s">
        <v>35</v>
      </c>
      <c r="C594" t="s">
        <v>36</v>
      </c>
      <c r="D594" t="s">
        <v>41</v>
      </c>
      <c r="E594" t="s">
        <v>42</v>
      </c>
      <c r="F594">
        <v>51651</v>
      </c>
      <c r="G594">
        <v>3211</v>
      </c>
      <c r="H594">
        <v>806.81</v>
      </c>
      <c r="I594">
        <v>202</v>
      </c>
      <c r="J594" t="s">
        <v>43</v>
      </c>
      <c r="K594" t="s">
        <v>40</v>
      </c>
    </row>
    <row r="595" spans="1:11" x14ac:dyDescent="0.2">
      <c r="A595" s="1">
        <v>46089</v>
      </c>
      <c r="B595" t="s">
        <v>44</v>
      </c>
      <c r="C595" t="s">
        <v>45</v>
      </c>
      <c r="D595" t="s">
        <v>46</v>
      </c>
      <c r="E595" t="s">
        <v>42</v>
      </c>
      <c r="F595">
        <v>51737</v>
      </c>
      <c r="G595">
        <v>2595</v>
      </c>
      <c r="H595">
        <v>551.20000000000005</v>
      </c>
      <c r="I595">
        <v>210</v>
      </c>
      <c r="J595" t="s">
        <v>47</v>
      </c>
      <c r="K595" t="s">
        <v>40</v>
      </c>
    </row>
    <row r="596" spans="1:11" x14ac:dyDescent="0.2">
      <c r="A596" s="1">
        <v>46089</v>
      </c>
      <c r="B596" t="s">
        <v>44</v>
      </c>
      <c r="C596" t="s">
        <v>48</v>
      </c>
      <c r="D596" t="s">
        <v>49</v>
      </c>
      <c r="E596" t="s">
        <v>50</v>
      </c>
      <c r="F596">
        <v>26971</v>
      </c>
      <c r="G596">
        <v>1759</v>
      </c>
      <c r="H596">
        <v>338.35</v>
      </c>
      <c r="I596">
        <v>104</v>
      </c>
      <c r="J596" t="s">
        <v>51</v>
      </c>
      <c r="K596" t="s">
        <v>40</v>
      </c>
    </row>
    <row r="597" spans="1:11" x14ac:dyDescent="0.2">
      <c r="A597" s="1">
        <v>46089</v>
      </c>
      <c r="B597" t="s">
        <v>52</v>
      </c>
      <c r="C597" t="s">
        <v>53</v>
      </c>
      <c r="D597" t="s">
        <v>54</v>
      </c>
      <c r="E597" t="s">
        <v>54</v>
      </c>
      <c r="F597">
        <v>193573</v>
      </c>
      <c r="G597">
        <v>2742</v>
      </c>
      <c r="H597">
        <v>516.95000000000005</v>
      </c>
      <c r="I597">
        <v>228</v>
      </c>
      <c r="J597" t="s">
        <v>54</v>
      </c>
      <c r="K597" t="s">
        <v>40</v>
      </c>
    </row>
    <row r="598" spans="1:11" x14ac:dyDescent="0.2">
      <c r="A598" s="1">
        <v>46089</v>
      </c>
      <c r="B598" t="s">
        <v>52</v>
      </c>
      <c r="C598" t="s">
        <v>55</v>
      </c>
      <c r="D598" t="s">
        <v>54</v>
      </c>
      <c r="E598" t="s">
        <v>54</v>
      </c>
      <c r="F598">
        <v>204184</v>
      </c>
      <c r="G598">
        <v>2870</v>
      </c>
      <c r="H598">
        <v>562.49</v>
      </c>
      <c r="I598">
        <v>221</v>
      </c>
      <c r="J598" t="s">
        <v>54</v>
      </c>
      <c r="K598" t="s">
        <v>40</v>
      </c>
    </row>
    <row r="599" spans="1:11" x14ac:dyDescent="0.2">
      <c r="A599" s="1">
        <v>46089</v>
      </c>
      <c r="B599" t="s">
        <v>56</v>
      </c>
      <c r="C599" t="s">
        <v>57</v>
      </c>
      <c r="D599" t="s">
        <v>58</v>
      </c>
      <c r="E599" t="s">
        <v>42</v>
      </c>
      <c r="F599">
        <v>16740</v>
      </c>
      <c r="G599">
        <v>1112</v>
      </c>
      <c r="H599">
        <v>301.60000000000002</v>
      </c>
      <c r="I599">
        <v>86</v>
      </c>
      <c r="J599" t="s">
        <v>43</v>
      </c>
      <c r="K599" t="s">
        <v>40</v>
      </c>
    </row>
    <row r="600" spans="1:11" x14ac:dyDescent="0.2">
      <c r="A600" s="1">
        <v>46089</v>
      </c>
      <c r="B600" t="s">
        <v>56</v>
      </c>
      <c r="C600" t="s">
        <v>57</v>
      </c>
      <c r="D600" t="s">
        <v>59</v>
      </c>
      <c r="E600" t="s">
        <v>38</v>
      </c>
      <c r="F600">
        <v>25786</v>
      </c>
      <c r="G600">
        <v>1338</v>
      </c>
      <c r="H600">
        <v>260.19</v>
      </c>
      <c r="I600">
        <v>114</v>
      </c>
      <c r="J600" t="s">
        <v>43</v>
      </c>
      <c r="K600" t="s">
        <v>40</v>
      </c>
    </row>
    <row r="601" spans="1:11" x14ac:dyDescent="0.2">
      <c r="A601" s="1">
        <v>46090</v>
      </c>
      <c r="B601" t="s">
        <v>35</v>
      </c>
      <c r="C601" t="s">
        <v>36</v>
      </c>
      <c r="D601" t="s">
        <v>37</v>
      </c>
      <c r="E601" t="s">
        <v>38</v>
      </c>
      <c r="F601">
        <v>17370</v>
      </c>
      <c r="G601">
        <v>1008</v>
      </c>
      <c r="H601">
        <v>212.64</v>
      </c>
      <c r="I601">
        <v>86</v>
      </c>
      <c r="J601" t="s">
        <v>39</v>
      </c>
      <c r="K601" t="s">
        <v>40</v>
      </c>
    </row>
    <row r="602" spans="1:11" x14ac:dyDescent="0.2">
      <c r="A602" s="1">
        <v>46090</v>
      </c>
      <c r="B602" t="s">
        <v>35</v>
      </c>
      <c r="C602" t="s">
        <v>36</v>
      </c>
      <c r="D602" t="s">
        <v>41</v>
      </c>
      <c r="E602" t="s">
        <v>42</v>
      </c>
      <c r="F602">
        <v>51018</v>
      </c>
      <c r="G602">
        <v>2802</v>
      </c>
      <c r="H602">
        <v>554.99</v>
      </c>
      <c r="I602">
        <v>254</v>
      </c>
      <c r="J602" t="s">
        <v>43</v>
      </c>
      <c r="K602" t="s">
        <v>40</v>
      </c>
    </row>
    <row r="603" spans="1:11" x14ac:dyDescent="0.2">
      <c r="A603" s="1">
        <v>46090</v>
      </c>
      <c r="B603" t="s">
        <v>44</v>
      </c>
      <c r="C603" t="s">
        <v>45</v>
      </c>
      <c r="D603" t="s">
        <v>46</v>
      </c>
      <c r="E603" t="s">
        <v>42</v>
      </c>
      <c r="F603">
        <v>30282</v>
      </c>
      <c r="G603">
        <v>1456</v>
      </c>
      <c r="H603">
        <v>373.52</v>
      </c>
      <c r="I603">
        <v>80</v>
      </c>
      <c r="J603" t="s">
        <v>47</v>
      </c>
      <c r="K603" t="s">
        <v>40</v>
      </c>
    </row>
    <row r="604" spans="1:11" x14ac:dyDescent="0.2">
      <c r="A604" s="1">
        <v>46090</v>
      </c>
      <c r="B604" t="s">
        <v>44</v>
      </c>
      <c r="C604" t="s">
        <v>48</v>
      </c>
      <c r="D604" t="s">
        <v>49</v>
      </c>
      <c r="E604" t="s">
        <v>50</v>
      </c>
      <c r="F604">
        <v>55395</v>
      </c>
      <c r="G604">
        <v>3796</v>
      </c>
      <c r="H604">
        <v>889.59</v>
      </c>
      <c r="I604">
        <v>209</v>
      </c>
      <c r="J604" t="s">
        <v>51</v>
      </c>
      <c r="K604" t="s">
        <v>40</v>
      </c>
    </row>
    <row r="605" spans="1:11" x14ac:dyDescent="0.2">
      <c r="A605" s="1">
        <v>46090</v>
      </c>
      <c r="B605" t="s">
        <v>52</v>
      </c>
      <c r="C605" t="s">
        <v>53</v>
      </c>
      <c r="D605" t="s">
        <v>54</v>
      </c>
      <c r="E605" t="s">
        <v>54</v>
      </c>
      <c r="F605">
        <v>201082</v>
      </c>
      <c r="G605">
        <v>2451</v>
      </c>
      <c r="H605">
        <v>585.51</v>
      </c>
      <c r="I605">
        <v>181</v>
      </c>
      <c r="J605" t="s">
        <v>54</v>
      </c>
      <c r="K605" t="s">
        <v>40</v>
      </c>
    </row>
    <row r="606" spans="1:11" x14ac:dyDescent="0.2">
      <c r="A606" s="1">
        <v>46090</v>
      </c>
      <c r="B606" t="s">
        <v>52</v>
      </c>
      <c r="C606" t="s">
        <v>55</v>
      </c>
      <c r="D606" t="s">
        <v>54</v>
      </c>
      <c r="E606" t="s">
        <v>54</v>
      </c>
      <c r="F606">
        <v>186886</v>
      </c>
      <c r="G606">
        <v>2468</v>
      </c>
      <c r="H606">
        <v>592.62</v>
      </c>
      <c r="I606">
        <v>136</v>
      </c>
      <c r="J606" t="s">
        <v>54</v>
      </c>
      <c r="K606" t="s">
        <v>40</v>
      </c>
    </row>
    <row r="607" spans="1:11" x14ac:dyDescent="0.2">
      <c r="A607" s="1">
        <v>46090</v>
      </c>
      <c r="B607" t="s">
        <v>56</v>
      </c>
      <c r="C607" t="s">
        <v>57</v>
      </c>
      <c r="D607" t="s">
        <v>58</v>
      </c>
      <c r="E607" t="s">
        <v>42</v>
      </c>
      <c r="F607">
        <v>36693</v>
      </c>
      <c r="G607">
        <v>2307</v>
      </c>
      <c r="H607">
        <v>543.89</v>
      </c>
      <c r="I607">
        <v>203</v>
      </c>
      <c r="J607" t="s">
        <v>43</v>
      </c>
      <c r="K607" t="s">
        <v>40</v>
      </c>
    </row>
    <row r="608" spans="1:11" x14ac:dyDescent="0.2">
      <c r="A608" s="1">
        <v>46090</v>
      </c>
      <c r="B608" t="s">
        <v>56</v>
      </c>
      <c r="C608" t="s">
        <v>57</v>
      </c>
      <c r="D608" t="s">
        <v>59</v>
      </c>
      <c r="E608" t="s">
        <v>38</v>
      </c>
      <c r="F608">
        <v>17166</v>
      </c>
      <c r="G608">
        <v>900</v>
      </c>
      <c r="H608">
        <v>166.96</v>
      </c>
      <c r="I608">
        <v>62</v>
      </c>
      <c r="J608" t="s">
        <v>43</v>
      </c>
      <c r="K608" t="s">
        <v>40</v>
      </c>
    </row>
    <row r="609" spans="1:11" x14ac:dyDescent="0.2">
      <c r="A609" s="1">
        <v>46091</v>
      </c>
      <c r="B609" t="s">
        <v>35</v>
      </c>
      <c r="C609" t="s">
        <v>36</v>
      </c>
      <c r="D609" t="s">
        <v>37</v>
      </c>
      <c r="E609" t="s">
        <v>38</v>
      </c>
      <c r="F609">
        <v>25385</v>
      </c>
      <c r="G609">
        <v>1738</v>
      </c>
      <c r="H609">
        <v>428.76</v>
      </c>
      <c r="I609">
        <v>153</v>
      </c>
      <c r="J609" t="s">
        <v>39</v>
      </c>
      <c r="K609" t="s">
        <v>40</v>
      </c>
    </row>
    <row r="610" spans="1:11" x14ac:dyDescent="0.2">
      <c r="A610" s="1">
        <v>46091</v>
      </c>
      <c r="B610" t="s">
        <v>35</v>
      </c>
      <c r="C610" t="s">
        <v>36</v>
      </c>
      <c r="D610" t="s">
        <v>41</v>
      </c>
      <c r="E610" t="s">
        <v>42</v>
      </c>
      <c r="F610">
        <v>38425</v>
      </c>
      <c r="G610">
        <v>2149</v>
      </c>
      <c r="H610">
        <v>405.67</v>
      </c>
      <c r="I610">
        <v>127</v>
      </c>
      <c r="J610" t="s">
        <v>43</v>
      </c>
      <c r="K610" t="s">
        <v>40</v>
      </c>
    </row>
    <row r="611" spans="1:11" x14ac:dyDescent="0.2">
      <c r="A611" s="1">
        <v>46091</v>
      </c>
      <c r="B611" t="s">
        <v>44</v>
      </c>
      <c r="C611" t="s">
        <v>45</v>
      </c>
      <c r="D611" t="s">
        <v>46</v>
      </c>
      <c r="E611" t="s">
        <v>42</v>
      </c>
      <c r="F611">
        <v>28185</v>
      </c>
      <c r="G611">
        <v>1462</v>
      </c>
      <c r="H611">
        <v>304.74</v>
      </c>
      <c r="I611">
        <v>119</v>
      </c>
      <c r="J611" t="s">
        <v>47</v>
      </c>
      <c r="K611" t="s">
        <v>40</v>
      </c>
    </row>
    <row r="612" spans="1:11" x14ac:dyDescent="0.2">
      <c r="A612" s="1">
        <v>46091</v>
      </c>
      <c r="B612" t="s">
        <v>44</v>
      </c>
      <c r="C612" t="s">
        <v>48</v>
      </c>
      <c r="D612" t="s">
        <v>49</v>
      </c>
      <c r="E612" t="s">
        <v>50</v>
      </c>
      <c r="F612">
        <v>28115</v>
      </c>
      <c r="G612">
        <v>2001</v>
      </c>
      <c r="H612">
        <v>510.12</v>
      </c>
      <c r="I612">
        <v>138</v>
      </c>
      <c r="J612" t="s">
        <v>51</v>
      </c>
      <c r="K612" t="s">
        <v>40</v>
      </c>
    </row>
    <row r="613" spans="1:11" x14ac:dyDescent="0.2">
      <c r="A613" s="1">
        <v>46091</v>
      </c>
      <c r="B613" t="s">
        <v>52</v>
      </c>
      <c r="C613" t="s">
        <v>53</v>
      </c>
      <c r="D613" t="s">
        <v>54</v>
      </c>
      <c r="E613" t="s">
        <v>54</v>
      </c>
      <c r="F613">
        <v>123106</v>
      </c>
      <c r="G613">
        <v>1411</v>
      </c>
      <c r="H613">
        <v>296.20999999999998</v>
      </c>
      <c r="I613">
        <v>98</v>
      </c>
      <c r="J613" t="s">
        <v>54</v>
      </c>
      <c r="K613" t="s">
        <v>40</v>
      </c>
    </row>
    <row r="614" spans="1:11" x14ac:dyDescent="0.2">
      <c r="A614" s="1">
        <v>46091</v>
      </c>
      <c r="B614" t="s">
        <v>52</v>
      </c>
      <c r="C614" t="s">
        <v>55</v>
      </c>
      <c r="D614" t="s">
        <v>54</v>
      </c>
      <c r="E614" t="s">
        <v>54</v>
      </c>
      <c r="F614">
        <v>181568</v>
      </c>
      <c r="G614">
        <v>2741</v>
      </c>
      <c r="H614">
        <v>701.27</v>
      </c>
      <c r="I614">
        <v>243</v>
      </c>
      <c r="J614" t="s">
        <v>54</v>
      </c>
      <c r="K614" t="s">
        <v>40</v>
      </c>
    </row>
    <row r="615" spans="1:11" x14ac:dyDescent="0.2">
      <c r="A615" s="1">
        <v>46091</v>
      </c>
      <c r="B615" t="s">
        <v>56</v>
      </c>
      <c r="C615" t="s">
        <v>57</v>
      </c>
      <c r="D615" t="s">
        <v>58</v>
      </c>
      <c r="E615" t="s">
        <v>42</v>
      </c>
      <c r="F615">
        <v>18530</v>
      </c>
      <c r="G615">
        <v>1019</v>
      </c>
      <c r="H615">
        <v>197.13</v>
      </c>
      <c r="I615">
        <v>84</v>
      </c>
      <c r="J615" t="s">
        <v>43</v>
      </c>
      <c r="K615" t="s">
        <v>40</v>
      </c>
    </row>
    <row r="616" spans="1:11" x14ac:dyDescent="0.2">
      <c r="A616" s="1">
        <v>46091</v>
      </c>
      <c r="B616" t="s">
        <v>56</v>
      </c>
      <c r="C616" t="s">
        <v>57</v>
      </c>
      <c r="D616" t="s">
        <v>59</v>
      </c>
      <c r="E616" t="s">
        <v>38</v>
      </c>
      <c r="F616">
        <v>36379</v>
      </c>
      <c r="G616">
        <v>2033</v>
      </c>
      <c r="H616">
        <v>450.06</v>
      </c>
      <c r="I616">
        <v>128</v>
      </c>
      <c r="J616" t="s">
        <v>43</v>
      </c>
      <c r="K616" t="s">
        <v>40</v>
      </c>
    </row>
    <row r="617" spans="1:11" x14ac:dyDescent="0.2">
      <c r="A617" s="1">
        <v>46092</v>
      </c>
      <c r="B617" t="s">
        <v>35</v>
      </c>
      <c r="C617" t="s">
        <v>36</v>
      </c>
      <c r="D617" t="s">
        <v>37</v>
      </c>
      <c r="E617" t="s">
        <v>38</v>
      </c>
      <c r="F617">
        <v>30810</v>
      </c>
      <c r="G617">
        <v>1931</v>
      </c>
      <c r="H617">
        <v>368.69</v>
      </c>
      <c r="I617">
        <v>162</v>
      </c>
      <c r="J617" t="s">
        <v>39</v>
      </c>
      <c r="K617" t="s">
        <v>40</v>
      </c>
    </row>
    <row r="618" spans="1:11" x14ac:dyDescent="0.2">
      <c r="A618" s="1">
        <v>46092</v>
      </c>
      <c r="B618" t="s">
        <v>35</v>
      </c>
      <c r="C618" t="s">
        <v>36</v>
      </c>
      <c r="D618" t="s">
        <v>41</v>
      </c>
      <c r="E618" t="s">
        <v>42</v>
      </c>
      <c r="F618">
        <v>58064</v>
      </c>
      <c r="G618">
        <v>4162</v>
      </c>
      <c r="H618">
        <v>950.46</v>
      </c>
      <c r="I618">
        <v>343</v>
      </c>
      <c r="J618" t="s">
        <v>43</v>
      </c>
      <c r="K618" t="s">
        <v>40</v>
      </c>
    </row>
    <row r="619" spans="1:11" x14ac:dyDescent="0.2">
      <c r="A619" s="1">
        <v>46092</v>
      </c>
      <c r="B619" t="s">
        <v>44</v>
      </c>
      <c r="C619" t="s">
        <v>45</v>
      </c>
      <c r="D619" t="s">
        <v>46</v>
      </c>
      <c r="E619" t="s">
        <v>42</v>
      </c>
      <c r="F619">
        <v>37467</v>
      </c>
      <c r="G619">
        <v>2182</v>
      </c>
      <c r="H619">
        <v>577.75</v>
      </c>
      <c r="I619">
        <v>142</v>
      </c>
      <c r="J619" t="s">
        <v>47</v>
      </c>
      <c r="K619" t="s">
        <v>40</v>
      </c>
    </row>
    <row r="620" spans="1:11" x14ac:dyDescent="0.2">
      <c r="A620" s="1">
        <v>46092</v>
      </c>
      <c r="B620" t="s">
        <v>44</v>
      </c>
      <c r="C620" t="s">
        <v>48</v>
      </c>
      <c r="D620" t="s">
        <v>49</v>
      </c>
      <c r="E620" t="s">
        <v>50</v>
      </c>
      <c r="F620">
        <v>43147</v>
      </c>
      <c r="G620">
        <v>3031</v>
      </c>
      <c r="H620">
        <v>731.77</v>
      </c>
      <c r="I620">
        <v>226</v>
      </c>
      <c r="J620" t="s">
        <v>51</v>
      </c>
      <c r="K620" t="s">
        <v>40</v>
      </c>
    </row>
    <row r="621" spans="1:11" x14ac:dyDescent="0.2">
      <c r="A621" s="1">
        <v>46092</v>
      </c>
      <c r="B621" t="s">
        <v>52</v>
      </c>
      <c r="C621" t="s">
        <v>53</v>
      </c>
      <c r="D621" t="s">
        <v>54</v>
      </c>
      <c r="E621" t="s">
        <v>54</v>
      </c>
      <c r="F621">
        <v>201810</v>
      </c>
      <c r="G621">
        <v>2716</v>
      </c>
      <c r="H621">
        <v>537.74</v>
      </c>
      <c r="I621">
        <v>215</v>
      </c>
      <c r="J621" t="s">
        <v>54</v>
      </c>
      <c r="K621" t="s">
        <v>40</v>
      </c>
    </row>
    <row r="622" spans="1:11" x14ac:dyDescent="0.2">
      <c r="A622" s="1">
        <v>46092</v>
      </c>
      <c r="B622" t="s">
        <v>52</v>
      </c>
      <c r="C622" t="s">
        <v>55</v>
      </c>
      <c r="D622" t="s">
        <v>54</v>
      </c>
      <c r="E622" t="s">
        <v>54</v>
      </c>
      <c r="F622">
        <v>166496</v>
      </c>
      <c r="G622">
        <v>2646</v>
      </c>
      <c r="H622">
        <v>476.7</v>
      </c>
      <c r="I622">
        <v>148</v>
      </c>
      <c r="J622" t="s">
        <v>54</v>
      </c>
      <c r="K622" t="s">
        <v>40</v>
      </c>
    </row>
    <row r="623" spans="1:11" x14ac:dyDescent="0.2">
      <c r="A623" s="1">
        <v>46092</v>
      </c>
      <c r="B623" t="s">
        <v>56</v>
      </c>
      <c r="C623" t="s">
        <v>57</v>
      </c>
      <c r="D623" t="s">
        <v>58</v>
      </c>
      <c r="E623" t="s">
        <v>42</v>
      </c>
      <c r="F623">
        <v>23046</v>
      </c>
      <c r="G623">
        <v>1514</v>
      </c>
      <c r="H623">
        <v>303.91000000000003</v>
      </c>
      <c r="I623">
        <v>120</v>
      </c>
      <c r="J623" t="s">
        <v>43</v>
      </c>
      <c r="K623" t="s">
        <v>40</v>
      </c>
    </row>
    <row r="624" spans="1:11" x14ac:dyDescent="0.2">
      <c r="A624" s="1">
        <v>46092</v>
      </c>
      <c r="B624" t="s">
        <v>56</v>
      </c>
      <c r="C624" t="s">
        <v>57</v>
      </c>
      <c r="D624" t="s">
        <v>59</v>
      </c>
      <c r="E624" t="s">
        <v>38</v>
      </c>
      <c r="F624">
        <v>48324</v>
      </c>
      <c r="G624">
        <v>2799</v>
      </c>
      <c r="H624">
        <v>597.25</v>
      </c>
      <c r="I624">
        <v>216</v>
      </c>
      <c r="J624" t="s">
        <v>43</v>
      </c>
      <c r="K624" t="s">
        <v>40</v>
      </c>
    </row>
    <row r="625" spans="1:11" x14ac:dyDescent="0.2">
      <c r="A625" s="1">
        <v>46093</v>
      </c>
      <c r="B625" t="s">
        <v>35</v>
      </c>
      <c r="C625" t="s">
        <v>36</v>
      </c>
      <c r="D625" t="s">
        <v>37</v>
      </c>
      <c r="E625" t="s">
        <v>38</v>
      </c>
      <c r="F625">
        <v>31089</v>
      </c>
      <c r="G625">
        <v>1500</v>
      </c>
      <c r="H625">
        <v>300.18</v>
      </c>
      <c r="I625">
        <v>99</v>
      </c>
      <c r="J625" t="s">
        <v>39</v>
      </c>
      <c r="K625" t="s">
        <v>40</v>
      </c>
    </row>
    <row r="626" spans="1:11" x14ac:dyDescent="0.2">
      <c r="A626" s="1">
        <v>46093</v>
      </c>
      <c r="B626" t="s">
        <v>35</v>
      </c>
      <c r="C626" t="s">
        <v>36</v>
      </c>
      <c r="D626" t="s">
        <v>41</v>
      </c>
      <c r="E626" t="s">
        <v>42</v>
      </c>
      <c r="F626">
        <v>18778</v>
      </c>
      <c r="G626">
        <v>1040</v>
      </c>
      <c r="H626">
        <v>239.9</v>
      </c>
      <c r="I626">
        <v>70</v>
      </c>
      <c r="J626" t="s">
        <v>43</v>
      </c>
      <c r="K626" t="s">
        <v>40</v>
      </c>
    </row>
    <row r="627" spans="1:11" x14ac:dyDescent="0.2">
      <c r="A627" s="1">
        <v>46093</v>
      </c>
      <c r="B627" t="s">
        <v>44</v>
      </c>
      <c r="C627" t="s">
        <v>45</v>
      </c>
      <c r="D627" t="s">
        <v>46</v>
      </c>
      <c r="E627" t="s">
        <v>42</v>
      </c>
      <c r="F627">
        <v>13521</v>
      </c>
      <c r="G627">
        <v>685</v>
      </c>
      <c r="H627">
        <v>146.13</v>
      </c>
      <c r="I627">
        <v>48</v>
      </c>
      <c r="J627" t="s">
        <v>47</v>
      </c>
      <c r="K627" t="s">
        <v>40</v>
      </c>
    </row>
    <row r="628" spans="1:11" x14ac:dyDescent="0.2">
      <c r="A628" s="1">
        <v>46093</v>
      </c>
      <c r="B628" t="s">
        <v>44</v>
      </c>
      <c r="C628" t="s">
        <v>48</v>
      </c>
      <c r="D628" t="s">
        <v>49</v>
      </c>
      <c r="E628" t="s">
        <v>50</v>
      </c>
      <c r="F628">
        <v>15480</v>
      </c>
      <c r="G628">
        <v>1052</v>
      </c>
      <c r="H628">
        <v>209.77</v>
      </c>
      <c r="I628">
        <v>92</v>
      </c>
      <c r="J628" t="s">
        <v>51</v>
      </c>
      <c r="K628" t="s">
        <v>40</v>
      </c>
    </row>
    <row r="629" spans="1:11" x14ac:dyDescent="0.2">
      <c r="A629" s="1">
        <v>46093</v>
      </c>
      <c r="B629" t="s">
        <v>52</v>
      </c>
      <c r="C629" t="s">
        <v>53</v>
      </c>
      <c r="D629" t="s">
        <v>54</v>
      </c>
      <c r="E629" t="s">
        <v>54</v>
      </c>
      <c r="F629">
        <v>198636</v>
      </c>
      <c r="G629">
        <v>3094</v>
      </c>
      <c r="H629">
        <v>803.59</v>
      </c>
      <c r="I629">
        <v>250</v>
      </c>
      <c r="J629" t="s">
        <v>54</v>
      </c>
      <c r="K629" t="s">
        <v>40</v>
      </c>
    </row>
    <row r="630" spans="1:11" x14ac:dyDescent="0.2">
      <c r="A630" s="1">
        <v>46093</v>
      </c>
      <c r="B630" t="s">
        <v>52</v>
      </c>
      <c r="C630" t="s">
        <v>55</v>
      </c>
      <c r="D630" t="s">
        <v>54</v>
      </c>
      <c r="E630" t="s">
        <v>54</v>
      </c>
      <c r="F630">
        <v>199043</v>
      </c>
      <c r="G630">
        <v>2344</v>
      </c>
      <c r="H630">
        <v>529.89</v>
      </c>
      <c r="I630">
        <v>210</v>
      </c>
      <c r="J630" t="s">
        <v>54</v>
      </c>
      <c r="K630" t="s">
        <v>40</v>
      </c>
    </row>
    <row r="631" spans="1:11" x14ac:dyDescent="0.2">
      <c r="A631" s="1">
        <v>46093</v>
      </c>
      <c r="B631" t="s">
        <v>56</v>
      </c>
      <c r="C631" t="s">
        <v>57</v>
      </c>
      <c r="D631" t="s">
        <v>58</v>
      </c>
      <c r="E631" t="s">
        <v>42</v>
      </c>
      <c r="F631">
        <v>41549</v>
      </c>
      <c r="G631">
        <v>2455</v>
      </c>
      <c r="H631">
        <v>641.78</v>
      </c>
      <c r="I631">
        <v>226</v>
      </c>
      <c r="J631" t="s">
        <v>43</v>
      </c>
      <c r="K631" t="s">
        <v>40</v>
      </c>
    </row>
    <row r="632" spans="1:11" x14ac:dyDescent="0.2">
      <c r="A632" s="1">
        <v>46093</v>
      </c>
      <c r="B632" t="s">
        <v>56</v>
      </c>
      <c r="C632" t="s">
        <v>57</v>
      </c>
      <c r="D632" t="s">
        <v>59</v>
      </c>
      <c r="E632" t="s">
        <v>38</v>
      </c>
      <c r="F632">
        <v>17772</v>
      </c>
      <c r="G632">
        <v>1209</v>
      </c>
      <c r="H632">
        <v>253.81</v>
      </c>
      <c r="I632">
        <v>101</v>
      </c>
      <c r="J632" t="s">
        <v>43</v>
      </c>
      <c r="K632" t="s">
        <v>40</v>
      </c>
    </row>
    <row r="633" spans="1:11" x14ac:dyDescent="0.2">
      <c r="A633" s="1">
        <v>46094</v>
      </c>
      <c r="B633" t="s">
        <v>35</v>
      </c>
      <c r="C633" t="s">
        <v>36</v>
      </c>
      <c r="D633" t="s">
        <v>37</v>
      </c>
      <c r="E633" t="s">
        <v>38</v>
      </c>
      <c r="F633">
        <v>39878</v>
      </c>
      <c r="G633">
        <v>2445</v>
      </c>
      <c r="H633">
        <v>444.68</v>
      </c>
      <c r="I633">
        <v>190</v>
      </c>
      <c r="J633" t="s">
        <v>39</v>
      </c>
      <c r="K633" t="s">
        <v>40</v>
      </c>
    </row>
    <row r="634" spans="1:11" x14ac:dyDescent="0.2">
      <c r="A634" s="1">
        <v>46094</v>
      </c>
      <c r="B634" t="s">
        <v>35</v>
      </c>
      <c r="C634" t="s">
        <v>36</v>
      </c>
      <c r="D634" t="s">
        <v>41</v>
      </c>
      <c r="E634" t="s">
        <v>42</v>
      </c>
      <c r="F634">
        <v>41260</v>
      </c>
      <c r="G634">
        <v>2772</v>
      </c>
      <c r="H634">
        <v>745.12</v>
      </c>
      <c r="I634">
        <v>191</v>
      </c>
      <c r="J634" t="s">
        <v>43</v>
      </c>
      <c r="K634" t="s">
        <v>40</v>
      </c>
    </row>
    <row r="635" spans="1:11" x14ac:dyDescent="0.2">
      <c r="A635" s="1">
        <v>46094</v>
      </c>
      <c r="B635" t="s">
        <v>44</v>
      </c>
      <c r="C635" t="s">
        <v>45</v>
      </c>
      <c r="D635" t="s">
        <v>46</v>
      </c>
      <c r="E635" t="s">
        <v>42</v>
      </c>
      <c r="F635">
        <v>25719</v>
      </c>
      <c r="G635">
        <v>1407</v>
      </c>
      <c r="H635">
        <v>257.64999999999998</v>
      </c>
      <c r="I635">
        <v>132</v>
      </c>
      <c r="J635" t="s">
        <v>47</v>
      </c>
      <c r="K635" t="s">
        <v>40</v>
      </c>
    </row>
    <row r="636" spans="1:11" x14ac:dyDescent="0.2">
      <c r="A636" s="1">
        <v>46094</v>
      </c>
      <c r="B636" t="s">
        <v>44</v>
      </c>
      <c r="C636" t="s">
        <v>48</v>
      </c>
      <c r="D636" t="s">
        <v>49</v>
      </c>
      <c r="E636" t="s">
        <v>50</v>
      </c>
      <c r="F636">
        <v>27138</v>
      </c>
      <c r="G636">
        <v>1674</v>
      </c>
      <c r="H636">
        <v>366.53</v>
      </c>
      <c r="I636">
        <v>131</v>
      </c>
      <c r="J636" t="s">
        <v>51</v>
      </c>
      <c r="K636" t="s">
        <v>40</v>
      </c>
    </row>
    <row r="637" spans="1:11" x14ac:dyDescent="0.2">
      <c r="A637" s="1">
        <v>46094</v>
      </c>
      <c r="B637" t="s">
        <v>52</v>
      </c>
      <c r="C637" t="s">
        <v>53</v>
      </c>
      <c r="D637" t="s">
        <v>54</v>
      </c>
      <c r="E637" t="s">
        <v>54</v>
      </c>
      <c r="F637">
        <v>169529</v>
      </c>
      <c r="G637">
        <v>2462</v>
      </c>
      <c r="H637">
        <v>520.59</v>
      </c>
      <c r="I637">
        <v>138</v>
      </c>
      <c r="J637" t="s">
        <v>54</v>
      </c>
      <c r="K637" t="s">
        <v>40</v>
      </c>
    </row>
    <row r="638" spans="1:11" x14ac:dyDescent="0.2">
      <c r="A638" s="1">
        <v>46094</v>
      </c>
      <c r="B638" t="s">
        <v>52</v>
      </c>
      <c r="C638" t="s">
        <v>55</v>
      </c>
      <c r="D638" t="s">
        <v>54</v>
      </c>
      <c r="E638" t="s">
        <v>54</v>
      </c>
      <c r="F638">
        <v>187519</v>
      </c>
      <c r="G638">
        <v>2144</v>
      </c>
      <c r="H638">
        <v>573.96</v>
      </c>
      <c r="I638">
        <v>149</v>
      </c>
      <c r="J638" t="s">
        <v>54</v>
      </c>
      <c r="K638" t="s">
        <v>40</v>
      </c>
    </row>
    <row r="639" spans="1:11" x14ac:dyDescent="0.2">
      <c r="A639" s="1">
        <v>46094</v>
      </c>
      <c r="B639" t="s">
        <v>56</v>
      </c>
      <c r="C639" t="s">
        <v>57</v>
      </c>
      <c r="D639" t="s">
        <v>58</v>
      </c>
      <c r="E639" t="s">
        <v>42</v>
      </c>
      <c r="F639">
        <v>38782</v>
      </c>
      <c r="G639">
        <v>2062</v>
      </c>
      <c r="H639">
        <v>433.5</v>
      </c>
      <c r="I639">
        <v>122</v>
      </c>
      <c r="J639" t="s">
        <v>43</v>
      </c>
      <c r="K639" t="s">
        <v>40</v>
      </c>
    </row>
    <row r="640" spans="1:11" x14ac:dyDescent="0.2">
      <c r="A640" s="1">
        <v>46094</v>
      </c>
      <c r="B640" t="s">
        <v>56</v>
      </c>
      <c r="C640" t="s">
        <v>57</v>
      </c>
      <c r="D640" t="s">
        <v>59</v>
      </c>
      <c r="E640" t="s">
        <v>38</v>
      </c>
      <c r="F640">
        <v>16185</v>
      </c>
      <c r="G640">
        <v>1079</v>
      </c>
      <c r="H640">
        <v>292.77</v>
      </c>
      <c r="I640">
        <v>78</v>
      </c>
      <c r="J640" t="s">
        <v>43</v>
      </c>
      <c r="K640" t="s">
        <v>40</v>
      </c>
    </row>
    <row r="641" spans="1:11" x14ac:dyDescent="0.2">
      <c r="A641" s="1">
        <v>46095</v>
      </c>
      <c r="B641" t="s">
        <v>35</v>
      </c>
      <c r="C641" t="s">
        <v>36</v>
      </c>
      <c r="D641" t="s">
        <v>37</v>
      </c>
      <c r="E641" t="s">
        <v>38</v>
      </c>
      <c r="F641">
        <v>15124</v>
      </c>
      <c r="G641">
        <v>1015</v>
      </c>
      <c r="H641">
        <v>274.55</v>
      </c>
      <c r="I641">
        <v>62</v>
      </c>
      <c r="J641" t="s">
        <v>39</v>
      </c>
      <c r="K641" t="s">
        <v>40</v>
      </c>
    </row>
    <row r="642" spans="1:11" x14ac:dyDescent="0.2">
      <c r="A642" s="1">
        <v>46095</v>
      </c>
      <c r="B642" t="s">
        <v>35</v>
      </c>
      <c r="C642" t="s">
        <v>36</v>
      </c>
      <c r="D642" t="s">
        <v>41</v>
      </c>
      <c r="E642" t="s">
        <v>42</v>
      </c>
      <c r="F642">
        <v>41975</v>
      </c>
      <c r="G642">
        <v>2945</v>
      </c>
      <c r="H642">
        <v>745.8</v>
      </c>
      <c r="I642">
        <v>223</v>
      </c>
      <c r="J642" t="s">
        <v>43</v>
      </c>
      <c r="K642" t="s">
        <v>40</v>
      </c>
    </row>
    <row r="643" spans="1:11" x14ac:dyDescent="0.2">
      <c r="A643" s="1">
        <v>46095</v>
      </c>
      <c r="B643" t="s">
        <v>44</v>
      </c>
      <c r="C643" t="s">
        <v>45</v>
      </c>
      <c r="D643" t="s">
        <v>46</v>
      </c>
      <c r="E643" t="s">
        <v>42</v>
      </c>
      <c r="F643">
        <v>40887</v>
      </c>
      <c r="G643">
        <v>2103</v>
      </c>
      <c r="H643">
        <v>561.88</v>
      </c>
      <c r="I643">
        <v>184</v>
      </c>
      <c r="J643" t="s">
        <v>47</v>
      </c>
      <c r="K643" t="s">
        <v>40</v>
      </c>
    </row>
    <row r="644" spans="1:11" x14ac:dyDescent="0.2">
      <c r="A644" s="1">
        <v>46095</v>
      </c>
      <c r="B644" t="s">
        <v>44</v>
      </c>
      <c r="C644" t="s">
        <v>48</v>
      </c>
      <c r="D644" t="s">
        <v>49</v>
      </c>
      <c r="E644" t="s">
        <v>50</v>
      </c>
      <c r="F644">
        <v>56973</v>
      </c>
      <c r="G644">
        <v>3660</v>
      </c>
      <c r="H644">
        <v>707.37</v>
      </c>
      <c r="I644">
        <v>307</v>
      </c>
      <c r="J644" t="s">
        <v>51</v>
      </c>
      <c r="K644" t="s">
        <v>40</v>
      </c>
    </row>
    <row r="645" spans="1:11" x14ac:dyDescent="0.2">
      <c r="A645" s="1">
        <v>46095</v>
      </c>
      <c r="B645" t="s">
        <v>52</v>
      </c>
      <c r="C645" t="s">
        <v>53</v>
      </c>
      <c r="D645" t="s">
        <v>54</v>
      </c>
      <c r="E645" t="s">
        <v>54</v>
      </c>
      <c r="F645">
        <v>195273</v>
      </c>
      <c r="G645">
        <v>2526</v>
      </c>
      <c r="H645">
        <v>673.13</v>
      </c>
      <c r="I645">
        <v>150</v>
      </c>
      <c r="J645" t="s">
        <v>54</v>
      </c>
      <c r="K645" t="s">
        <v>40</v>
      </c>
    </row>
    <row r="646" spans="1:11" x14ac:dyDescent="0.2">
      <c r="A646" s="1">
        <v>46095</v>
      </c>
      <c r="B646" t="s">
        <v>52</v>
      </c>
      <c r="C646" t="s">
        <v>55</v>
      </c>
      <c r="D646" t="s">
        <v>54</v>
      </c>
      <c r="E646" t="s">
        <v>54</v>
      </c>
      <c r="F646">
        <v>169988</v>
      </c>
      <c r="G646">
        <v>2662</v>
      </c>
      <c r="H646">
        <v>662.05</v>
      </c>
      <c r="I646">
        <v>209</v>
      </c>
      <c r="J646" t="s">
        <v>54</v>
      </c>
      <c r="K646" t="s">
        <v>40</v>
      </c>
    </row>
    <row r="647" spans="1:11" x14ac:dyDescent="0.2">
      <c r="A647" s="1">
        <v>46095</v>
      </c>
      <c r="B647" t="s">
        <v>56</v>
      </c>
      <c r="C647" t="s">
        <v>57</v>
      </c>
      <c r="D647" t="s">
        <v>58</v>
      </c>
      <c r="E647" t="s">
        <v>42</v>
      </c>
      <c r="F647">
        <v>20417</v>
      </c>
      <c r="G647">
        <v>1143</v>
      </c>
      <c r="H647">
        <v>307.37</v>
      </c>
      <c r="I647">
        <v>67</v>
      </c>
      <c r="J647" t="s">
        <v>43</v>
      </c>
      <c r="K647" t="s">
        <v>40</v>
      </c>
    </row>
    <row r="648" spans="1:11" x14ac:dyDescent="0.2">
      <c r="A648" s="1">
        <v>46095</v>
      </c>
      <c r="B648" t="s">
        <v>56</v>
      </c>
      <c r="C648" t="s">
        <v>57</v>
      </c>
      <c r="D648" t="s">
        <v>59</v>
      </c>
      <c r="E648" t="s">
        <v>38</v>
      </c>
      <c r="F648">
        <v>39621</v>
      </c>
      <c r="G648">
        <v>1923</v>
      </c>
      <c r="H648">
        <v>492</v>
      </c>
      <c r="I648">
        <v>154</v>
      </c>
      <c r="J648" t="s">
        <v>43</v>
      </c>
      <c r="K648" t="s">
        <v>40</v>
      </c>
    </row>
    <row r="649" spans="1:11" x14ac:dyDescent="0.2">
      <c r="A649" s="1">
        <v>46096</v>
      </c>
      <c r="B649" t="s">
        <v>35</v>
      </c>
      <c r="C649" t="s">
        <v>36</v>
      </c>
      <c r="D649" t="s">
        <v>37</v>
      </c>
      <c r="E649" t="s">
        <v>38</v>
      </c>
      <c r="F649">
        <v>30877</v>
      </c>
      <c r="G649">
        <v>1719</v>
      </c>
      <c r="H649">
        <v>342.52</v>
      </c>
      <c r="I649">
        <v>113</v>
      </c>
      <c r="J649" t="s">
        <v>39</v>
      </c>
      <c r="K649" t="s">
        <v>40</v>
      </c>
    </row>
    <row r="650" spans="1:11" x14ac:dyDescent="0.2">
      <c r="A650" s="1">
        <v>46096</v>
      </c>
      <c r="B650" t="s">
        <v>35</v>
      </c>
      <c r="C650" t="s">
        <v>36</v>
      </c>
      <c r="D650" t="s">
        <v>41</v>
      </c>
      <c r="E650" t="s">
        <v>42</v>
      </c>
      <c r="F650">
        <v>40189</v>
      </c>
      <c r="G650">
        <v>2674</v>
      </c>
      <c r="H650">
        <v>660.78</v>
      </c>
      <c r="I650">
        <v>176</v>
      </c>
      <c r="J650" t="s">
        <v>43</v>
      </c>
      <c r="K650" t="s">
        <v>40</v>
      </c>
    </row>
    <row r="651" spans="1:11" x14ac:dyDescent="0.2">
      <c r="A651" s="1">
        <v>46096</v>
      </c>
      <c r="B651" t="s">
        <v>44</v>
      </c>
      <c r="C651" t="s">
        <v>45</v>
      </c>
      <c r="D651" t="s">
        <v>46</v>
      </c>
      <c r="E651" t="s">
        <v>42</v>
      </c>
      <c r="F651">
        <v>26417</v>
      </c>
      <c r="G651">
        <v>1441</v>
      </c>
      <c r="H651">
        <v>261.58</v>
      </c>
      <c r="I651">
        <v>115</v>
      </c>
      <c r="J651" t="s">
        <v>47</v>
      </c>
      <c r="K651" t="s">
        <v>40</v>
      </c>
    </row>
    <row r="652" spans="1:11" x14ac:dyDescent="0.2">
      <c r="A652" s="1">
        <v>46096</v>
      </c>
      <c r="B652" t="s">
        <v>44</v>
      </c>
      <c r="C652" t="s">
        <v>48</v>
      </c>
      <c r="D652" t="s">
        <v>49</v>
      </c>
      <c r="E652" t="s">
        <v>50</v>
      </c>
      <c r="F652">
        <v>56795</v>
      </c>
      <c r="G652">
        <v>2865</v>
      </c>
      <c r="H652">
        <v>671.13</v>
      </c>
      <c r="I652">
        <v>220</v>
      </c>
      <c r="J652" t="s">
        <v>51</v>
      </c>
      <c r="K652" t="s">
        <v>40</v>
      </c>
    </row>
    <row r="653" spans="1:11" x14ac:dyDescent="0.2">
      <c r="A653" s="1">
        <v>46096</v>
      </c>
      <c r="B653" t="s">
        <v>52</v>
      </c>
      <c r="C653" t="s">
        <v>53</v>
      </c>
      <c r="D653" t="s">
        <v>54</v>
      </c>
      <c r="E653" t="s">
        <v>54</v>
      </c>
      <c r="F653">
        <v>163185</v>
      </c>
      <c r="G653">
        <v>1910</v>
      </c>
      <c r="H653">
        <v>478.33</v>
      </c>
      <c r="I653">
        <v>126</v>
      </c>
      <c r="J653" t="s">
        <v>54</v>
      </c>
      <c r="K653" t="s">
        <v>40</v>
      </c>
    </row>
    <row r="654" spans="1:11" x14ac:dyDescent="0.2">
      <c r="A654" s="1">
        <v>46096</v>
      </c>
      <c r="B654" t="s">
        <v>52</v>
      </c>
      <c r="C654" t="s">
        <v>55</v>
      </c>
      <c r="D654" t="s">
        <v>54</v>
      </c>
      <c r="E654" t="s">
        <v>54</v>
      </c>
      <c r="F654">
        <v>158715</v>
      </c>
      <c r="G654">
        <v>1881</v>
      </c>
      <c r="H654">
        <v>397.15</v>
      </c>
      <c r="I654">
        <v>170</v>
      </c>
      <c r="J654" t="s">
        <v>54</v>
      </c>
      <c r="K654" t="s">
        <v>40</v>
      </c>
    </row>
    <row r="655" spans="1:11" x14ac:dyDescent="0.2">
      <c r="A655" s="1">
        <v>46096</v>
      </c>
      <c r="B655" t="s">
        <v>56</v>
      </c>
      <c r="C655" t="s">
        <v>57</v>
      </c>
      <c r="D655" t="s">
        <v>58</v>
      </c>
      <c r="E655" t="s">
        <v>42</v>
      </c>
      <c r="F655">
        <v>50796</v>
      </c>
      <c r="G655">
        <v>2500</v>
      </c>
      <c r="H655">
        <v>457.25</v>
      </c>
      <c r="I655">
        <v>227</v>
      </c>
      <c r="J655" t="s">
        <v>43</v>
      </c>
      <c r="K655" t="s">
        <v>40</v>
      </c>
    </row>
    <row r="656" spans="1:11" x14ac:dyDescent="0.2">
      <c r="A656" s="1">
        <v>46096</v>
      </c>
      <c r="B656" t="s">
        <v>56</v>
      </c>
      <c r="C656" t="s">
        <v>57</v>
      </c>
      <c r="D656" t="s">
        <v>59</v>
      </c>
      <c r="E656" t="s">
        <v>38</v>
      </c>
      <c r="F656">
        <v>17297</v>
      </c>
      <c r="G656">
        <v>874</v>
      </c>
      <c r="H656">
        <v>162.02000000000001</v>
      </c>
      <c r="I656">
        <v>62</v>
      </c>
      <c r="J656" t="s">
        <v>43</v>
      </c>
      <c r="K656" t="s">
        <v>40</v>
      </c>
    </row>
    <row r="657" spans="1:11" x14ac:dyDescent="0.2">
      <c r="A657" s="1">
        <v>46096</v>
      </c>
      <c r="B657" t="s">
        <v>67</v>
      </c>
      <c r="C657" t="s">
        <v>68</v>
      </c>
      <c r="D657" t="s">
        <v>69</v>
      </c>
      <c r="E657" t="s">
        <v>42</v>
      </c>
      <c r="F657">
        <v>28247</v>
      </c>
      <c r="G657">
        <v>1833</v>
      </c>
      <c r="H657">
        <v>493.31</v>
      </c>
      <c r="I657">
        <v>146</v>
      </c>
      <c r="J657" t="s">
        <v>43</v>
      </c>
      <c r="K657" t="s">
        <v>40</v>
      </c>
    </row>
    <row r="658" spans="1:11" x14ac:dyDescent="0.2">
      <c r="A658" s="1">
        <v>46096</v>
      </c>
      <c r="B658" t="s">
        <v>67</v>
      </c>
      <c r="C658" t="s">
        <v>68</v>
      </c>
      <c r="D658" t="s">
        <v>70</v>
      </c>
      <c r="E658" t="s">
        <v>38</v>
      </c>
      <c r="F658">
        <v>50983</v>
      </c>
      <c r="G658">
        <v>3201</v>
      </c>
      <c r="H658">
        <v>676.19</v>
      </c>
      <c r="I658">
        <v>280</v>
      </c>
      <c r="J658" t="s">
        <v>43</v>
      </c>
      <c r="K658" t="s">
        <v>40</v>
      </c>
    </row>
    <row r="659" spans="1:11" x14ac:dyDescent="0.2">
      <c r="A659" s="1">
        <v>46097</v>
      </c>
      <c r="B659" t="s">
        <v>35</v>
      </c>
      <c r="C659" t="s">
        <v>36</v>
      </c>
      <c r="D659" t="s">
        <v>37</v>
      </c>
      <c r="E659" t="s">
        <v>38</v>
      </c>
      <c r="F659">
        <v>58450</v>
      </c>
      <c r="G659">
        <v>2915</v>
      </c>
      <c r="H659">
        <v>793.69</v>
      </c>
      <c r="I659">
        <v>249</v>
      </c>
      <c r="J659" t="s">
        <v>39</v>
      </c>
      <c r="K659" t="s">
        <v>40</v>
      </c>
    </row>
    <row r="660" spans="1:11" x14ac:dyDescent="0.2">
      <c r="A660" s="1">
        <v>46097</v>
      </c>
      <c r="B660" t="s">
        <v>35</v>
      </c>
      <c r="C660" t="s">
        <v>36</v>
      </c>
      <c r="D660" t="s">
        <v>41</v>
      </c>
      <c r="E660" t="s">
        <v>42</v>
      </c>
      <c r="F660">
        <v>24228</v>
      </c>
      <c r="G660">
        <v>1216</v>
      </c>
      <c r="H660">
        <v>316.45</v>
      </c>
      <c r="I660">
        <v>100</v>
      </c>
      <c r="J660" t="s">
        <v>43</v>
      </c>
      <c r="K660" t="s">
        <v>40</v>
      </c>
    </row>
    <row r="661" spans="1:11" x14ac:dyDescent="0.2">
      <c r="A661" s="1">
        <v>46097</v>
      </c>
      <c r="B661" t="s">
        <v>44</v>
      </c>
      <c r="C661" t="s">
        <v>45</v>
      </c>
      <c r="D661" t="s">
        <v>46</v>
      </c>
      <c r="E661" t="s">
        <v>42</v>
      </c>
      <c r="F661">
        <v>21286</v>
      </c>
      <c r="G661">
        <v>1254</v>
      </c>
      <c r="H661">
        <v>311.55</v>
      </c>
      <c r="I661">
        <v>104</v>
      </c>
      <c r="J661" t="s">
        <v>47</v>
      </c>
      <c r="K661" t="s">
        <v>40</v>
      </c>
    </row>
    <row r="662" spans="1:11" x14ac:dyDescent="0.2">
      <c r="A662" s="1">
        <v>46097</v>
      </c>
      <c r="B662" t="s">
        <v>44</v>
      </c>
      <c r="C662" t="s">
        <v>48</v>
      </c>
      <c r="D662" t="s">
        <v>49</v>
      </c>
      <c r="E662" t="s">
        <v>50</v>
      </c>
      <c r="F662">
        <v>52650</v>
      </c>
      <c r="G662">
        <v>3121</v>
      </c>
      <c r="H662">
        <v>857.48</v>
      </c>
      <c r="I662">
        <v>189</v>
      </c>
      <c r="J662" t="s">
        <v>51</v>
      </c>
      <c r="K662" t="s">
        <v>40</v>
      </c>
    </row>
    <row r="663" spans="1:11" x14ac:dyDescent="0.2">
      <c r="A663" s="1">
        <v>46097</v>
      </c>
      <c r="B663" t="s">
        <v>52</v>
      </c>
      <c r="C663" t="s">
        <v>53</v>
      </c>
      <c r="D663" t="s">
        <v>54</v>
      </c>
      <c r="E663" t="s">
        <v>54</v>
      </c>
      <c r="F663">
        <v>160969</v>
      </c>
      <c r="G663">
        <v>2505</v>
      </c>
      <c r="H663">
        <v>549.12</v>
      </c>
      <c r="I663">
        <v>207</v>
      </c>
      <c r="J663" t="s">
        <v>54</v>
      </c>
      <c r="K663" t="s">
        <v>40</v>
      </c>
    </row>
    <row r="664" spans="1:11" x14ac:dyDescent="0.2">
      <c r="A664" s="1">
        <v>46097</v>
      </c>
      <c r="B664" t="s">
        <v>52</v>
      </c>
      <c r="C664" t="s">
        <v>55</v>
      </c>
      <c r="D664" t="s">
        <v>54</v>
      </c>
      <c r="E664" t="s">
        <v>54</v>
      </c>
      <c r="F664">
        <v>173284</v>
      </c>
      <c r="G664">
        <v>2589</v>
      </c>
      <c r="H664">
        <v>694.47</v>
      </c>
      <c r="I664">
        <v>189</v>
      </c>
      <c r="J664" t="s">
        <v>54</v>
      </c>
      <c r="K664" t="s">
        <v>40</v>
      </c>
    </row>
    <row r="665" spans="1:11" x14ac:dyDescent="0.2">
      <c r="A665" s="1">
        <v>46097</v>
      </c>
      <c r="B665" t="s">
        <v>56</v>
      </c>
      <c r="C665" t="s">
        <v>57</v>
      </c>
      <c r="D665" t="s">
        <v>58</v>
      </c>
      <c r="E665" t="s">
        <v>42</v>
      </c>
      <c r="F665">
        <v>15577</v>
      </c>
      <c r="G665">
        <v>772</v>
      </c>
      <c r="H665">
        <v>147.66999999999999</v>
      </c>
      <c r="I665">
        <v>57</v>
      </c>
      <c r="J665" t="s">
        <v>43</v>
      </c>
      <c r="K665" t="s">
        <v>40</v>
      </c>
    </row>
    <row r="666" spans="1:11" x14ac:dyDescent="0.2">
      <c r="A666" s="1">
        <v>46097</v>
      </c>
      <c r="B666" t="s">
        <v>56</v>
      </c>
      <c r="C666" t="s">
        <v>57</v>
      </c>
      <c r="D666" t="s">
        <v>59</v>
      </c>
      <c r="E666" t="s">
        <v>38</v>
      </c>
      <c r="F666">
        <v>27550</v>
      </c>
      <c r="G666">
        <v>1509</v>
      </c>
      <c r="H666">
        <v>324.23</v>
      </c>
      <c r="I666">
        <v>117</v>
      </c>
      <c r="J666" t="s">
        <v>43</v>
      </c>
      <c r="K666" t="s">
        <v>40</v>
      </c>
    </row>
    <row r="667" spans="1:11" x14ac:dyDescent="0.2">
      <c r="A667" s="1">
        <v>46097</v>
      </c>
      <c r="B667" t="s">
        <v>67</v>
      </c>
      <c r="C667" t="s">
        <v>68</v>
      </c>
      <c r="D667" t="s">
        <v>69</v>
      </c>
      <c r="E667" t="s">
        <v>42</v>
      </c>
      <c r="F667">
        <v>56274</v>
      </c>
      <c r="G667">
        <v>2840</v>
      </c>
      <c r="H667">
        <v>743.39</v>
      </c>
      <c r="I667">
        <v>246</v>
      </c>
      <c r="J667" t="s">
        <v>43</v>
      </c>
      <c r="K667" t="s">
        <v>40</v>
      </c>
    </row>
    <row r="668" spans="1:11" x14ac:dyDescent="0.2">
      <c r="A668" s="1">
        <v>46097</v>
      </c>
      <c r="B668" t="s">
        <v>67</v>
      </c>
      <c r="C668" t="s">
        <v>68</v>
      </c>
      <c r="D668" t="s">
        <v>70</v>
      </c>
      <c r="E668" t="s">
        <v>38</v>
      </c>
      <c r="F668">
        <v>40762</v>
      </c>
      <c r="G668">
        <v>2500</v>
      </c>
      <c r="H668">
        <v>467.73</v>
      </c>
      <c r="I668">
        <v>167</v>
      </c>
      <c r="J668" t="s">
        <v>43</v>
      </c>
      <c r="K668" t="s">
        <v>40</v>
      </c>
    </row>
    <row r="669" spans="1:11" x14ac:dyDescent="0.2">
      <c r="A669" s="1">
        <v>46098</v>
      </c>
      <c r="B669" t="s">
        <v>35</v>
      </c>
      <c r="C669" t="s">
        <v>36</v>
      </c>
      <c r="D669" t="s">
        <v>37</v>
      </c>
      <c r="E669" t="s">
        <v>38</v>
      </c>
      <c r="F669">
        <v>52273</v>
      </c>
      <c r="G669">
        <v>3011</v>
      </c>
      <c r="H669">
        <v>666.47</v>
      </c>
      <c r="I669">
        <v>240</v>
      </c>
      <c r="J669" t="s">
        <v>39</v>
      </c>
      <c r="K669" t="s">
        <v>40</v>
      </c>
    </row>
    <row r="670" spans="1:11" x14ac:dyDescent="0.2">
      <c r="A670" s="1">
        <v>46098</v>
      </c>
      <c r="B670" t="s">
        <v>35</v>
      </c>
      <c r="C670" t="s">
        <v>36</v>
      </c>
      <c r="D670" t="s">
        <v>41</v>
      </c>
      <c r="E670" t="s">
        <v>42</v>
      </c>
      <c r="F670">
        <v>26547</v>
      </c>
      <c r="G670">
        <v>1894</v>
      </c>
      <c r="H670">
        <v>413.61</v>
      </c>
      <c r="I670">
        <v>129</v>
      </c>
      <c r="J670" t="s">
        <v>43</v>
      </c>
      <c r="K670" t="s">
        <v>40</v>
      </c>
    </row>
    <row r="671" spans="1:11" x14ac:dyDescent="0.2">
      <c r="A671" s="1">
        <v>46098</v>
      </c>
      <c r="B671" t="s">
        <v>44</v>
      </c>
      <c r="C671" t="s">
        <v>45</v>
      </c>
      <c r="D671" t="s">
        <v>46</v>
      </c>
      <c r="E671" t="s">
        <v>42</v>
      </c>
      <c r="F671">
        <v>49731</v>
      </c>
      <c r="G671">
        <v>3323</v>
      </c>
      <c r="H671">
        <v>742.81</v>
      </c>
      <c r="I671">
        <v>287</v>
      </c>
      <c r="J671" t="s">
        <v>47</v>
      </c>
      <c r="K671" t="s">
        <v>40</v>
      </c>
    </row>
    <row r="672" spans="1:11" x14ac:dyDescent="0.2">
      <c r="A672" s="1">
        <v>46098</v>
      </c>
      <c r="B672" t="s">
        <v>44</v>
      </c>
      <c r="C672" t="s">
        <v>48</v>
      </c>
      <c r="D672" t="s">
        <v>49</v>
      </c>
      <c r="E672" t="s">
        <v>50</v>
      </c>
      <c r="F672">
        <v>33118</v>
      </c>
      <c r="G672">
        <v>1727</v>
      </c>
      <c r="H672">
        <v>426.5</v>
      </c>
      <c r="I672">
        <v>146</v>
      </c>
      <c r="J672" t="s">
        <v>51</v>
      </c>
      <c r="K672" t="s">
        <v>40</v>
      </c>
    </row>
    <row r="673" spans="1:11" x14ac:dyDescent="0.2">
      <c r="A673" s="1">
        <v>46098</v>
      </c>
      <c r="B673" t="s">
        <v>52</v>
      </c>
      <c r="C673" t="s">
        <v>53</v>
      </c>
      <c r="D673" t="s">
        <v>54</v>
      </c>
      <c r="E673" t="s">
        <v>54</v>
      </c>
      <c r="F673">
        <v>214838</v>
      </c>
      <c r="G673">
        <v>3262</v>
      </c>
      <c r="H673">
        <v>624.45000000000005</v>
      </c>
      <c r="I673">
        <v>257</v>
      </c>
      <c r="J673" t="s">
        <v>54</v>
      </c>
      <c r="K673" t="s">
        <v>40</v>
      </c>
    </row>
    <row r="674" spans="1:11" x14ac:dyDescent="0.2">
      <c r="A674" s="1">
        <v>46098</v>
      </c>
      <c r="B674" t="s">
        <v>52</v>
      </c>
      <c r="C674" t="s">
        <v>55</v>
      </c>
      <c r="D674" t="s">
        <v>54</v>
      </c>
      <c r="E674" t="s">
        <v>54</v>
      </c>
      <c r="F674">
        <v>172441</v>
      </c>
      <c r="G674">
        <v>2375</v>
      </c>
      <c r="H674">
        <v>622.73</v>
      </c>
      <c r="I674">
        <v>147</v>
      </c>
      <c r="J674" t="s">
        <v>54</v>
      </c>
      <c r="K674" t="s">
        <v>40</v>
      </c>
    </row>
    <row r="675" spans="1:11" x14ac:dyDescent="0.2">
      <c r="A675" s="1">
        <v>46098</v>
      </c>
      <c r="B675" t="s">
        <v>56</v>
      </c>
      <c r="C675" t="s">
        <v>57</v>
      </c>
      <c r="D675" t="s">
        <v>58</v>
      </c>
      <c r="E675" t="s">
        <v>42</v>
      </c>
      <c r="F675">
        <v>47572</v>
      </c>
      <c r="G675">
        <v>2362</v>
      </c>
      <c r="H675">
        <v>450.85</v>
      </c>
      <c r="I675">
        <v>206</v>
      </c>
      <c r="J675" t="s">
        <v>43</v>
      </c>
      <c r="K675" t="s">
        <v>40</v>
      </c>
    </row>
    <row r="676" spans="1:11" x14ac:dyDescent="0.2">
      <c r="A676" s="1">
        <v>46098</v>
      </c>
      <c r="B676" t="s">
        <v>56</v>
      </c>
      <c r="C676" t="s">
        <v>57</v>
      </c>
      <c r="D676" t="s">
        <v>59</v>
      </c>
      <c r="E676" t="s">
        <v>38</v>
      </c>
      <c r="F676">
        <v>45281</v>
      </c>
      <c r="G676">
        <v>2529</v>
      </c>
      <c r="H676">
        <v>618.34</v>
      </c>
      <c r="I676">
        <v>145</v>
      </c>
      <c r="J676" t="s">
        <v>43</v>
      </c>
      <c r="K676" t="s">
        <v>40</v>
      </c>
    </row>
    <row r="677" spans="1:11" x14ac:dyDescent="0.2">
      <c r="A677" s="1">
        <v>46098</v>
      </c>
      <c r="B677" t="s">
        <v>67</v>
      </c>
      <c r="C677" t="s">
        <v>68</v>
      </c>
      <c r="D677" t="s">
        <v>69</v>
      </c>
      <c r="E677" t="s">
        <v>42</v>
      </c>
      <c r="F677">
        <v>31539</v>
      </c>
      <c r="G677">
        <v>2132</v>
      </c>
      <c r="H677">
        <v>572.91999999999996</v>
      </c>
      <c r="I677">
        <v>194</v>
      </c>
      <c r="J677" t="s">
        <v>43</v>
      </c>
      <c r="K677" t="s">
        <v>40</v>
      </c>
    </row>
    <row r="678" spans="1:11" x14ac:dyDescent="0.2">
      <c r="A678" s="1">
        <v>46098</v>
      </c>
      <c r="B678" t="s">
        <v>67</v>
      </c>
      <c r="C678" t="s">
        <v>68</v>
      </c>
      <c r="D678" t="s">
        <v>70</v>
      </c>
      <c r="E678" t="s">
        <v>38</v>
      </c>
      <c r="F678">
        <v>13015</v>
      </c>
      <c r="G678">
        <v>861</v>
      </c>
      <c r="H678">
        <v>211.88</v>
      </c>
      <c r="I678">
        <v>62</v>
      </c>
      <c r="J678" t="s">
        <v>43</v>
      </c>
      <c r="K678" t="s">
        <v>40</v>
      </c>
    </row>
    <row r="679" spans="1:11" x14ac:dyDescent="0.2">
      <c r="A679" s="1">
        <v>46099</v>
      </c>
      <c r="B679" t="s">
        <v>35</v>
      </c>
      <c r="C679" t="s">
        <v>36</v>
      </c>
      <c r="D679" t="s">
        <v>37</v>
      </c>
      <c r="E679" t="s">
        <v>38</v>
      </c>
      <c r="F679">
        <v>37833</v>
      </c>
      <c r="G679">
        <v>2170</v>
      </c>
      <c r="H679">
        <v>516.01</v>
      </c>
      <c r="I679">
        <v>136</v>
      </c>
      <c r="J679" t="s">
        <v>39</v>
      </c>
      <c r="K679" t="s">
        <v>40</v>
      </c>
    </row>
    <row r="680" spans="1:11" x14ac:dyDescent="0.2">
      <c r="A680" s="1">
        <v>46099</v>
      </c>
      <c r="B680" t="s">
        <v>35</v>
      </c>
      <c r="C680" t="s">
        <v>36</v>
      </c>
      <c r="D680" t="s">
        <v>41</v>
      </c>
      <c r="E680" t="s">
        <v>42</v>
      </c>
      <c r="F680">
        <v>39972</v>
      </c>
      <c r="G680">
        <v>2206</v>
      </c>
      <c r="H680">
        <v>572.30999999999995</v>
      </c>
      <c r="I680">
        <v>181</v>
      </c>
      <c r="J680" t="s">
        <v>43</v>
      </c>
      <c r="K680" t="s">
        <v>40</v>
      </c>
    </row>
    <row r="681" spans="1:11" x14ac:dyDescent="0.2">
      <c r="A681" s="1">
        <v>46099</v>
      </c>
      <c r="B681" t="s">
        <v>44</v>
      </c>
      <c r="C681" t="s">
        <v>45</v>
      </c>
      <c r="D681" t="s">
        <v>46</v>
      </c>
      <c r="E681" t="s">
        <v>42</v>
      </c>
      <c r="F681">
        <v>50037</v>
      </c>
      <c r="G681">
        <v>3263</v>
      </c>
      <c r="H681">
        <v>885.94</v>
      </c>
      <c r="I681">
        <v>308</v>
      </c>
      <c r="J681" t="s">
        <v>47</v>
      </c>
      <c r="K681" t="s">
        <v>40</v>
      </c>
    </row>
    <row r="682" spans="1:11" x14ac:dyDescent="0.2">
      <c r="A682" s="1">
        <v>46099</v>
      </c>
      <c r="B682" t="s">
        <v>44</v>
      </c>
      <c r="C682" t="s">
        <v>48</v>
      </c>
      <c r="D682" t="s">
        <v>49</v>
      </c>
      <c r="E682" t="s">
        <v>50</v>
      </c>
      <c r="F682">
        <v>13691</v>
      </c>
      <c r="G682">
        <v>858</v>
      </c>
      <c r="H682">
        <v>198.23</v>
      </c>
      <c r="I682">
        <v>76</v>
      </c>
      <c r="J682" t="s">
        <v>51</v>
      </c>
      <c r="K682" t="s">
        <v>40</v>
      </c>
    </row>
    <row r="683" spans="1:11" x14ac:dyDescent="0.2">
      <c r="A683" s="1">
        <v>46099</v>
      </c>
      <c r="B683" t="s">
        <v>52</v>
      </c>
      <c r="C683" t="s">
        <v>53</v>
      </c>
      <c r="D683" t="s">
        <v>54</v>
      </c>
      <c r="E683" t="s">
        <v>54</v>
      </c>
      <c r="F683">
        <v>167126</v>
      </c>
      <c r="G683">
        <v>1890</v>
      </c>
      <c r="H683">
        <v>510.5</v>
      </c>
      <c r="I683">
        <v>177</v>
      </c>
      <c r="J683" t="s">
        <v>54</v>
      </c>
      <c r="K683" t="s">
        <v>40</v>
      </c>
    </row>
    <row r="684" spans="1:11" x14ac:dyDescent="0.2">
      <c r="A684" s="1">
        <v>46099</v>
      </c>
      <c r="B684" t="s">
        <v>52</v>
      </c>
      <c r="C684" t="s">
        <v>55</v>
      </c>
      <c r="D684" t="s">
        <v>54</v>
      </c>
      <c r="E684" t="s">
        <v>54</v>
      </c>
      <c r="F684">
        <v>117143</v>
      </c>
      <c r="G684">
        <v>1700</v>
      </c>
      <c r="H684">
        <v>445.53</v>
      </c>
      <c r="I684">
        <v>117</v>
      </c>
      <c r="J684" t="s">
        <v>54</v>
      </c>
      <c r="K684" t="s">
        <v>40</v>
      </c>
    </row>
    <row r="685" spans="1:11" x14ac:dyDescent="0.2">
      <c r="A685" s="1">
        <v>46099</v>
      </c>
      <c r="B685" t="s">
        <v>56</v>
      </c>
      <c r="C685" t="s">
        <v>57</v>
      </c>
      <c r="D685" t="s">
        <v>58</v>
      </c>
      <c r="E685" t="s">
        <v>42</v>
      </c>
      <c r="F685">
        <v>37042</v>
      </c>
      <c r="G685">
        <v>2547</v>
      </c>
      <c r="H685">
        <v>518.38</v>
      </c>
      <c r="I685">
        <v>211</v>
      </c>
      <c r="J685" t="s">
        <v>43</v>
      </c>
      <c r="K685" t="s">
        <v>40</v>
      </c>
    </row>
    <row r="686" spans="1:11" x14ac:dyDescent="0.2">
      <c r="A686" s="1">
        <v>46099</v>
      </c>
      <c r="B686" t="s">
        <v>56</v>
      </c>
      <c r="C686" t="s">
        <v>57</v>
      </c>
      <c r="D686" t="s">
        <v>59</v>
      </c>
      <c r="E686" t="s">
        <v>38</v>
      </c>
      <c r="F686">
        <v>46589</v>
      </c>
      <c r="G686">
        <v>2935</v>
      </c>
      <c r="H686">
        <v>737.21</v>
      </c>
      <c r="I686">
        <v>209</v>
      </c>
      <c r="J686" t="s">
        <v>43</v>
      </c>
      <c r="K686" t="s">
        <v>40</v>
      </c>
    </row>
    <row r="687" spans="1:11" x14ac:dyDescent="0.2">
      <c r="A687" s="1">
        <v>46099</v>
      </c>
      <c r="B687" t="s">
        <v>67</v>
      </c>
      <c r="C687" t="s">
        <v>68</v>
      </c>
      <c r="D687" t="s">
        <v>69</v>
      </c>
      <c r="E687" t="s">
        <v>42</v>
      </c>
      <c r="F687">
        <v>50076</v>
      </c>
      <c r="G687">
        <v>3058</v>
      </c>
      <c r="H687">
        <v>753.03</v>
      </c>
      <c r="I687">
        <v>226</v>
      </c>
      <c r="J687" t="s">
        <v>43</v>
      </c>
      <c r="K687" t="s">
        <v>40</v>
      </c>
    </row>
    <row r="688" spans="1:11" x14ac:dyDescent="0.2">
      <c r="A688" s="1">
        <v>46099</v>
      </c>
      <c r="B688" t="s">
        <v>67</v>
      </c>
      <c r="C688" t="s">
        <v>68</v>
      </c>
      <c r="D688" t="s">
        <v>70</v>
      </c>
      <c r="E688" t="s">
        <v>38</v>
      </c>
      <c r="F688">
        <v>29035</v>
      </c>
      <c r="G688">
        <v>1780</v>
      </c>
      <c r="H688">
        <v>470.51</v>
      </c>
      <c r="I688">
        <v>123</v>
      </c>
      <c r="J688" t="s">
        <v>43</v>
      </c>
      <c r="K688" t="s">
        <v>40</v>
      </c>
    </row>
    <row r="689" spans="1:11" x14ac:dyDescent="0.2">
      <c r="A689" s="1">
        <v>46100</v>
      </c>
      <c r="B689" t="s">
        <v>35</v>
      </c>
      <c r="C689" t="s">
        <v>36</v>
      </c>
      <c r="D689" t="s">
        <v>37</v>
      </c>
      <c r="E689" t="s">
        <v>38</v>
      </c>
      <c r="F689">
        <v>48545</v>
      </c>
      <c r="G689">
        <v>2509</v>
      </c>
      <c r="H689">
        <v>701.88</v>
      </c>
      <c r="I689">
        <v>205</v>
      </c>
      <c r="J689" t="s">
        <v>39</v>
      </c>
      <c r="K689" t="s">
        <v>40</v>
      </c>
    </row>
    <row r="690" spans="1:11" x14ac:dyDescent="0.2">
      <c r="A690" s="1">
        <v>46100</v>
      </c>
      <c r="B690" t="s">
        <v>35</v>
      </c>
      <c r="C690" t="s">
        <v>36</v>
      </c>
      <c r="D690" t="s">
        <v>41</v>
      </c>
      <c r="E690" t="s">
        <v>42</v>
      </c>
      <c r="F690">
        <v>24440</v>
      </c>
      <c r="G690">
        <v>1179</v>
      </c>
      <c r="H690">
        <v>288.67</v>
      </c>
      <c r="I690">
        <v>71</v>
      </c>
      <c r="J690" t="s">
        <v>43</v>
      </c>
      <c r="K690" t="s">
        <v>40</v>
      </c>
    </row>
    <row r="691" spans="1:11" x14ac:dyDescent="0.2">
      <c r="A691" s="1">
        <v>46100</v>
      </c>
      <c r="B691" t="s">
        <v>44</v>
      </c>
      <c r="C691" t="s">
        <v>45</v>
      </c>
      <c r="D691" t="s">
        <v>46</v>
      </c>
      <c r="E691" t="s">
        <v>42</v>
      </c>
      <c r="F691">
        <v>54464</v>
      </c>
      <c r="G691">
        <v>3474</v>
      </c>
      <c r="H691">
        <v>964.03</v>
      </c>
      <c r="I691">
        <v>209</v>
      </c>
      <c r="J691" t="s">
        <v>47</v>
      </c>
      <c r="K691" t="s">
        <v>40</v>
      </c>
    </row>
    <row r="692" spans="1:11" x14ac:dyDescent="0.2">
      <c r="A692" s="1">
        <v>46100</v>
      </c>
      <c r="B692" t="s">
        <v>44</v>
      </c>
      <c r="C692" t="s">
        <v>48</v>
      </c>
      <c r="D692" t="s">
        <v>49</v>
      </c>
      <c r="E692" t="s">
        <v>50</v>
      </c>
      <c r="F692">
        <v>24689</v>
      </c>
      <c r="G692">
        <v>1565</v>
      </c>
      <c r="H692">
        <v>346.78</v>
      </c>
      <c r="I692">
        <v>114</v>
      </c>
      <c r="J692" t="s">
        <v>51</v>
      </c>
      <c r="K692" t="s">
        <v>40</v>
      </c>
    </row>
    <row r="693" spans="1:11" x14ac:dyDescent="0.2">
      <c r="A693" s="1">
        <v>46100</v>
      </c>
      <c r="B693" t="s">
        <v>52</v>
      </c>
      <c r="C693" t="s">
        <v>53</v>
      </c>
      <c r="D693" t="s">
        <v>54</v>
      </c>
      <c r="E693" t="s">
        <v>54</v>
      </c>
      <c r="F693">
        <v>219989</v>
      </c>
      <c r="G693">
        <v>3443</v>
      </c>
      <c r="H693">
        <v>834.32</v>
      </c>
      <c r="I693">
        <v>251</v>
      </c>
      <c r="J693" t="s">
        <v>54</v>
      </c>
      <c r="K693" t="s">
        <v>40</v>
      </c>
    </row>
    <row r="694" spans="1:11" x14ac:dyDescent="0.2">
      <c r="A694" s="1">
        <v>46100</v>
      </c>
      <c r="B694" t="s">
        <v>52</v>
      </c>
      <c r="C694" t="s">
        <v>55</v>
      </c>
      <c r="D694" t="s">
        <v>54</v>
      </c>
      <c r="E694" t="s">
        <v>54</v>
      </c>
      <c r="F694">
        <v>189267</v>
      </c>
      <c r="G694">
        <v>2604</v>
      </c>
      <c r="H694">
        <v>585.91</v>
      </c>
      <c r="I694">
        <v>180</v>
      </c>
      <c r="J694" t="s">
        <v>54</v>
      </c>
      <c r="K694" t="s">
        <v>40</v>
      </c>
    </row>
    <row r="695" spans="1:11" x14ac:dyDescent="0.2">
      <c r="A695" s="1">
        <v>46100</v>
      </c>
      <c r="B695" t="s">
        <v>56</v>
      </c>
      <c r="C695" t="s">
        <v>57</v>
      </c>
      <c r="D695" t="s">
        <v>58</v>
      </c>
      <c r="E695" t="s">
        <v>42</v>
      </c>
      <c r="F695">
        <v>28828</v>
      </c>
      <c r="G695">
        <v>1677</v>
      </c>
      <c r="H695">
        <v>303.11</v>
      </c>
      <c r="I695">
        <v>125</v>
      </c>
      <c r="J695" t="s">
        <v>43</v>
      </c>
      <c r="K695" t="s">
        <v>40</v>
      </c>
    </row>
    <row r="696" spans="1:11" x14ac:dyDescent="0.2">
      <c r="A696" s="1">
        <v>46100</v>
      </c>
      <c r="B696" t="s">
        <v>56</v>
      </c>
      <c r="C696" t="s">
        <v>57</v>
      </c>
      <c r="D696" t="s">
        <v>59</v>
      </c>
      <c r="E696" t="s">
        <v>38</v>
      </c>
      <c r="F696">
        <v>33169</v>
      </c>
      <c r="G696">
        <v>2159</v>
      </c>
      <c r="H696">
        <v>446.75</v>
      </c>
      <c r="I696">
        <v>198</v>
      </c>
      <c r="J696" t="s">
        <v>43</v>
      </c>
      <c r="K696" t="s">
        <v>40</v>
      </c>
    </row>
    <row r="697" spans="1:11" x14ac:dyDescent="0.2">
      <c r="A697" s="1">
        <v>46100</v>
      </c>
      <c r="B697" t="s">
        <v>67</v>
      </c>
      <c r="C697" t="s">
        <v>68</v>
      </c>
      <c r="D697" t="s">
        <v>69</v>
      </c>
      <c r="E697" t="s">
        <v>42</v>
      </c>
      <c r="F697">
        <v>44263</v>
      </c>
      <c r="G697">
        <v>2160</v>
      </c>
      <c r="H697">
        <v>396.98</v>
      </c>
      <c r="I697">
        <v>160</v>
      </c>
      <c r="J697" t="s">
        <v>43</v>
      </c>
      <c r="K697" t="s">
        <v>40</v>
      </c>
    </row>
    <row r="698" spans="1:11" x14ac:dyDescent="0.2">
      <c r="A698" s="1">
        <v>46100</v>
      </c>
      <c r="B698" t="s">
        <v>67</v>
      </c>
      <c r="C698" t="s">
        <v>68</v>
      </c>
      <c r="D698" t="s">
        <v>70</v>
      </c>
      <c r="E698" t="s">
        <v>38</v>
      </c>
      <c r="F698">
        <v>44401</v>
      </c>
      <c r="G698">
        <v>2251</v>
      </c>
      <c r="H698">
        <v>513.57000000000005</v>
      </c>
      <c r="I698">
        <v>185</v>
      </c>
      <c r="J698" t="s">
        <v>43</v>
      </c>
      <c r="K698" t="s">
        <v>40</v>
      </c>
    </row>
    <row r="699" spans="1:11" x14ac:dyDescent="0.2">
      <c r="A699" s="1">
        <v>46101</v>
      </c>
      <c r="B699" t="s">
        <v>35</v>
      </c>
      <c r="C699" t="s">
        <v>36</v>
      </c>
      <c r="D699" t="s">
        <v>37</v>
      </c>
      <c r="E699" t="s">
        <v>38</v>
      </c>
      <c r="F699">
        <v>25104</v>
      </c>
      <c r="G699">
        <v>1644</v>
      </c>
      <c r="H699">
        <v>382.46</v>
      </c>
      <c r="I699">
        <v>146</v>
      </c>
      <c r="J699" t="s">
        <v>39</v>
      </c>
      <c r="K699" t="s">
        <v>40</v>
      </c>
    </row>
    <row r="700" spans="1:11" x14ac:dyDescent="0.2">
      <c r="A700" s="1">
        <v>46101</v>
      </c>
      <c r="B700" t="s">
        <v>35</v>
      </c>
      <c r="C700" t="s">
        <v>36</v>
      </c>
      <c r="D700" t="s">
        <v>41</v>
      </c>
      <c r="E700" t="s">
        <v>42</v>
      </c>
      <c r="F700">
        <v>36805</v>
      </c>
      <c r="G700">
        <v>2177</v>
      </c>
      <c r="H700">
        <v>408.89</v>
      </c>
      <c r="I700">
        <v>197</v>
      </c>
      <c r="J700" t="s">
        <v>43</v>
      </c>
      <c r="K700" t="s">
        <v>40</v>
      </c>
    </row>
    <row r="701" spans="1:11" x14ac:dyDescent="0.2">
      <c r="A701" s="1">
        <v>46101</v>
      </c>
      <c r="B701" t="s">
        <v>44</v>
      </c>
      <c r="C701" t="s">
        <v>45</v>
      </c>
      <c r="D701" t="s">
        <v>46</v>
      </c>
      <c r="E701" t="s">
        <v>42</v>
      </c>
      <c r="F701">
        <v>20534</v>
      </c>
      <c r="G701">
        <v>1106</v>
      </c>
      <c r="H701">
        <v>268.83</v>
      </c>
      <c r="I701">
        <v>90</v>
      </c>
      <c r="J701" t="s">
        <v>47</v>
      </c>
      <c r="K701" t="s">
        <v>40</v>
      </c>
    </row>
    <row r="702" spans="1:11" x14ac:dyDescent="0.2">
      <c r="A702" s="1">
        <v>46101</v>
      </c>
      <c r="B702" t="s">
        <v>44</v>
      </c>
      <c r="C702" t="s">
        <v>48</v>
      </c>
      <c r="D702" t="s">
        <v>49</v>
      </c>
      <c r="E702" t="s">
        <v>50</v>
      </c>
      <c r="F702">
        <v>19652</v>
      </c>
      <c r="G702">
        <v>1265</v>
      </c>
      <c r="H702">
        <v>295.91000000000003</v>
      </c>
      <c r="I702">
        <v>98</v>
      </c>
      <c r="J702" t="s">
        <v>51</v>
      </c>
      <c r="K702" t="s">
        <v>40</v>
      </c>
    </row>
    <row r="703" spans="1:11" x14ac:dyDescent="0.2">
      <c r="A703" s="1">
        <v>46101</v>
      </c>
      <c r="B703" t="s">
        <v>52</v>
      </c>
      <c r="C703" t="s">
        <v>53</v>
      </c>
      <c r="D703" t="s">
        <v>54</v>
      </c>
      <c r="E703" t="s">
        <v>54</v>
      </c>
      <c r="F703">
        <v>125992</v>
      </c>
      <c r="G703">
        <v>1955</v>
      </c>
      <c r="H703">
        <v>456.5</v>
      </c>
      <c r="I703">
        <v>108</v>
      </c>
      <c r="J703" t="s">
        <v>54</v>
      </c>
      <c r="K703" t="s">
        <v>40</v>
      </c>
    </row>
    <row r="704" spans="1:11" x14ac:dyDescent="0.2">
      <c r="A704" s="1">
        <v>46101</v>
      </c>
      <c r="B704" t="s">
        <v>52</v>
      </c>
      <c r="C704" t="s">
        <v>55</v>
      </c>
      <c r="D704" t="s">
        <v>54</v>
      </c>
      <c r="E704" t="s">
        <v>54</v>
      </c>
      <c r="F704">
        <v>194364</v>
      </c>
      <c r="G704">
        <v>2636</v>
      </c>
      <c r="H704">
        <v>598.16999999999996</v>
      </c>
      <c r="I704">
        <v>222</v>
      </c>
      <c r="J704" t="s">
        <v>54</v>
      </c>
      <c r="K704" t="s">
        <v>40</v>
      </c>
    </row>
    <row r="705" spans="1:11" x14ac:dyDescent="0.2">
      <c r="A705" s="1">
        <v>46101</v>
      </c>
      <c r="B705" t="s">
        <v>56</v>
      </c>
      <c r="C705" t="s">
        <v>57</v>
      </c>
      <c r="D705" t="s">
        <v>58</v>
      </c>
      <c r="E705" t="s">
        <v>42</v>
      </c>
      <c r="F705">
        <v>48868</v>
      </c>
      <c r="G705">
        <v>2759</v>
      </c>
      <c r="H705">
        <v>766.38</v>
      </c>
      <c r="I705">
        <v>184</v>
      </c>
      <c r="J705" t="s">
        <v>43</v>
      </c>
      <c r="K705" t="s">
        <v>40</v>
      </c>
    </row>
    <row r="706" spans="1:11" x14ac:dyDescent="0.2">
      <c r="A706" s="1">
        <v>46101</v>
      </c>
      <c r="B706" t="s">
        <v>56</v>
      </c>
      <c r="C706" t="s">
        <v>57</v>
      </c>
      <c r="D706" t="s">
        <v>59</v>
      </c>
      <c r="E706" t="s">
        <v>38</v>
      </c>
      <c r="F706">
        <v>27270</v>
      </c>
      <c r="G706">
        <v>1332</v>
      </c>
      <c r="H706">
        <v>362.69</v>
      </c>
      <c r="I706">
        <v>113</v>
      </c>
      <c r="J706" t="s">
        <v>43</v>
      </c>
      <c r="K706" t="s">
        <v>40</v>
      </c>
    </row>
    <row r="707" spans="1:11" x14ac:dyDescent="0.2">
      <c r="A707" s="1">
        <v>46101</v>
      </c>
      <c r="B707" t="s">
        <v>67</v>
      </c>
      <c r="C707" t="s">
        <v>68</v>
      </c>
      <c r="D707" t="s">
        <v>69</v>
      </c>
      <c r="E707" t="s">
        <v>42</v>
      </c>
      <c r="F707">
        <v>35188</v>
      </c>
      <c r="G707">
        <v>1740</v>
      </c>
      <c r="H707">
        <v>395.53</v>
      </c>
      <c r="I707">
        <v>107</v>
      </c>
      <c r="J707" t="s">
        <v>43</v>
      </c>
      <c r="K707" t="s">
        <v>40</v>
      </c>
    </row>
    <row r="708" spans="1:11" x14ac:dyDescent="0.2">
      <c r="A708" s="1">
        <v>46101</v>
      </c>
      <c r="B708" t="s">
        <v>67</v>
      </c>
      <c r="C708" t="s">
        <v>68</v>
      </c>
      <c r="D708" t="s">
        <v>70</v>
      </c>
      <c r="E708" t="s">
        <v>38</v>
      </c>
      <c r="F708">
        <v>17396</v>
      </c>
      <c r="G708">
        <v>1109</v>
      </c>
      <c r="H708">
        <v>231.98</v>
      </c>
      <c r="I708">
        <v>93</v>
      </c>
      <c r="J708" t="s">
        <v>43</v>
      </c>
      <c r="K708" t="s">
        <v>40</v>
      </c>
    </row>
    <row r="709" spans="1:11" x14ac:dyDescent="0.2">
      <c r="A709" s="1">
        <v>46102</v>
      </c>
      <c r="B709" t="s">
        <v>35</v>
      </c>
      <c r="C709" t="s">
        <v>36</v>
      </c>
      <c r="D709" t="s">
        <v>37</v>
      </c>
      <c r="E709" t="s">
        <v>38</v>
      </c>
      <c r="F709">
        <v>15325</v>
      </c>
      <c r="G709">
        <v>841</v>
      </c>
      <c r="H709">
        <v>158.32</v>
      </c>
      <c r="I709">
        <v>63</v>
      </c>
      <c r="J709" t="s">
        <v>39</v>
      </c>
      <c r="K709" t="s">
        <v>40</v>
      </c>
    </row>
    <row r="710" spans="1:11" x14ac:dyDescent="0.2">
      <c r="A710" s="1">
        <v>46102</v>
      </c>
      <c r="B710" t="s">
        <v>35</v>
      </c>
      <c r="C710" t="s">
        <v>36</v>
      </c>
      <c r="D710" t="s">
        <v>41</v>
      </c>
      <c r="E710" t="s">
        <v>42</v>
      </c>
      <c r="F710">
        <v>36671</v>
      </c>
      <c r="G710">
        <v>1982</v>
      </c>
      <c r="H710">
        <v>478.81</v>
      </c>
      <c r="I710">
        <v>130</v>
      </c>
      <c r="J710" t="s">
        <v>43</v>
      </c>
      <c r="K710" t="s">
        <v>40</v>
      </c>
    </row>
    <row r="711" spans="1:11" x14ac:dyDescent="0.2">
      <c r="A711" s="1">
        <v>46102</v>
      </c>
      <c r="B711" t="s">
        <v>44</v>
      </c>
      <c r="C711" t="s">
        <v>45</v>
      </c>
      <c r="D711" t="s">
        <v>46</v>
      </c>
      <c r="E711" t="s">
        <v>42</v>
      </c>
      <c r="F711">
        <v>34890</v>
      </c>
      <c r="G711">
        <v>1686</v>
      </c>
      <c r="H711">
        <v>322.29000000000002</v>
      </c>
      <c r="I711">
        <v>104</v>
      </c>
      <c r="J711" t="s">
        <v>47</v>
      </c>
      <c r="K711" t="s">
        <v>40</v>
      </c>
    </row>
    <row r="712" spans="1:11" x14ac:dyDescent="0.2">
      <c r="A712" s="1">
        <v>46102</v>
      </c>
      <c r="B712" t="s">
        <v>44</v>
      </c>
      <c r="C712" t="s">
        <v>48</v>
      </c>
      <c r="D712" t="s">
        <v>49</v>
      </c>
      <c r="E712" t="s">
        <v>50</v>
      </c>
      <c r="F712">
        <v>25875</v>
      </c>
      <c r="G712">
        <v>1651</v>
      </c>
      <c r="H712">
        <v>358.23</v>
      </c>
      <c r="I712">
        <v>102</v>
      </c>
      <c r="J712" t="s">
        <v>51</v>
      </c>
      <c r="K712" t="s">
        <v>40</v>
      </c>
    </row>
    <row r="713" spans="1:11" x14ac:dyDescent="0.2">
      <c r="A713" s="1">
        <v>46102</v>
      </c>
      <c r="B713" t="s">
        <v>52</v>
      </c>
      <c r="C713" t="s">
        <v>53</v>
      </c>
      <c r="D713" t="s">
        <v>54</v>
      </c>
      <c r="E713" t="s">
        <v>54</v>
      </c>
      <c r="F713">
        <v>157245</v>
      </c>
      <c r="G713">
        <v>2110</v>
      </c>
      <c r="H713">
        <v>548.47</v>
      </c>
      <c r="I713">
        <v>188</v>
      </c>
      <c r="J713" t="s">
        <v>54</v>
      </c>
      <c r="K713" t="s">
        <v>40</v>
      </c>
    </row>
    <row r="714" spans="1:11" x14ac:dyDescent="0.2">
      <c r="A714" s="1">
        <v>46102</v>
      </c>
      <c r="B714" t="s">
        <v>52</v>
      </c>
      <c r="C714" t="s">
        <v>55</v>
      </c>
      <c r="D714" t="s">
        <v>54</v>
      </c>
      <c r="E714" t="s">
        <v>54</v>
      </c>
      <c r="F714">
        <v>175418</v>
      </c>
      <c r="G714">
        <v>2792</v>
      </c>
      <c r="H714">
        <v>772.64</v>
      </c>
      <c r="I714">
        <v>220</v>
      </c>
      <c r="J714" t="s">
        <v>54</v>
      </c>
      <c r="K714" t="s">
        <v>40</v>
      </c>
    </row>
    <row r="715" spans="1:11" x14ac:dyDescent="0.2">
      <c r="A715" s="1">
        <v>46102</v>
      </c>
      <c r="B715" t="s">
        <v>56</v>
      </c>
      <c r="C715" t="s">
        <v>57</v>
      </c>
      <c r="D715" t="s">
        <v>58</v>
      </c>
      <c r="E715" t="s">
        <v>42</v>
      </c>
      <c r="F715">
        <v>26132</v>
      </c>
      <c r="G715">
        <v>1779</v>
      </c>
      <c r="H715">
        <v>454.14</v>
      </c>
      <c r="I715">
        <v>127</v>
      </c>
      <c r="J715" t="s">
        <v>43</v>
      </c>
      <c r="K715" t="s">
        <v>40</v>
      </c>
    </row>
    <row r="716" spans="1:11" x14ac:dyDescent="0.2">
      <c r="A716" s="1">
        <v>46102</v>
      </c>
      <c r="B716" t="s">
        <v>56</v>
      </c>
      <c r="C716" t="s">
        <v>57</v>
      </c>
      <c r="D716" t="s">
        <v>59</v>
      </c>
      <c r="E716" t="s">
        <v>38</v>
      </c>
      <c r="F716">
        <v>45644</v>
      </c>
      <c r="G716">
        <v>2451</v>
      </c>
      <c r="H716">
        <v>549.07000000000005</v>
      </c>
      <c r="I716">
        <v>197</v>
      </c>
      <c r="J716" t="s">
        <v>43</v>
      </c>
      <c r="K716" t="s">
        <v>40</v>
      </c>
    </row>
    <row r="717" spans="1:11" x14ac:dyDescent="0.2">
      <c r="A717" s="1">
        <v>46102</v>
      </c>
      <c r="B717" t="s">
        <v>67</v>
      </c>
      <c r="C717" t="s">
        <v>68</v>
      </c>
      <c r="D717" t="s">
        <v>69</v>
      </c>
      <c r="E717" t="s">
        <v>42</v>
      </c>
      <c r="F717">
        <v>30963</v>
      </c>
      <c r="G717">
        <v>1915</v>
      </c>
      <c r="H717">
        <v>505.91</v>
      </c>
      <c r="I717">
        <v>109</v>
      </c>
      <c r="J717" t="s">
        <v>43</v>
      </c>
      <c r="K717" t="s">
        <v>40</v>
      </c>
    </row>
    <row r="718" spans="1:11" x14ac:dyDescent="0.2">
      <c r="A718" s="1">
        <v>46102</v>
      </c>
      <c r="B718" t="s">
        <v>67</v>
      </c>
      <c r="C718" t="s">
        <v>68</v>
      </c>
      <c r="D718" t="s">
        <v>70</v>
      </c>
      <c r="E718" t="s">
        <v>38</v>
      </c>
      <c r="F718">
        <v>35525</v>
      </c>
      <c r="G718">
        <v>2349</v>
      </c>
      <c r="H718">
        <v>450.07</v>
      </c>
      <c r="I718">
        <v>144</v>
      </c>
      <c r="J718" t="s">
        <v>43</v>
      </c>
      <c r="K718" t="s">
        <v>40</v>
      </c>
    </row>
    <row r="719" spans="1:11" x14ac:dyDescent="0.2">
      <c r="A719" s="1">
        <v>46103</v>
      </c>
      <c r="B719" t="s">
        <v>35</v>
      </c>
      <c r="C719" t="s">
        <v>36</v>
      </c>
      <c r="D719" t="s">
        <v>37</v>
      </c>
      <c r="E719" t="s">
        <v>38</v>
      </c>
      <c r="F719">
        <v>46971</v>
      </c>
      <c r="G719">
        <v>2791</v>
      </c>
      <c r="H719">
        <v>635.30999999999995</v>
      </c>
      <c r="I719">
        <v>259</v>
      </c>
      <c r="J719" t="s">
        <v>39</v>
      </c>
      <c r="K719" t="s">
        <v>40</v>
      </c>
    </row>
    <row r="720" spans="1:11" x14ac:dyDescent="0.2">
      <c r="A720" s="1">
        <v>46103</v>
      </c>
      <c r="B720" t="s">
        <v>35</v>
      </c>
      <c r="C720" t="s">
        <v>36</v>
      </c>
      <c r="D720" t="s">
        <v>41</v>
      </c>
      <c r="E720" t="s">
        <v>42</v>
      </c>
      <c r="F720">
        <v>58368</v>
      </c>
      <c r="G720">
        <v>3128</v>
      </c>
      <c r="H720">
        <v>776.84</v>
      </c>
      <c r="I720">
        <v>220</v>
      </c>
      <c r="J720" t="s">
        <v>43</v>
      </c>
      <c r="K720" t="s">
        <v>40</v>
      </c>
    </row>
    <row r="721" spans="1:11" x14ac:dyDescent="0.2">
      <c r="A721" s="1">
        <v>46103</v>
      </c>
      <c r="B721" t="s">
        <v>44</v>
      </c>
      <c r="C721" t="s">
        <v>45</v>
      </c>
      <c r="D721" t="s">
        <v>46</v>
      </c>
      <c r="E721" t="s">
        <v>42</v>
      </c>
      <c r="F721">
        <v>35374</v>
      </c>
      <c r="G721">
        <v>1821</v>
      </c>
      <c r="H721">
        <v>486.26</v>
      </c>
      <c r="I721">
        <v>101</v>
      </c>
      <c r="J721" t="s">
        <v>47</v>
      </c>
      <c r="K721" t="s">
        <v>40</v>
      </c>
    </row>
    <row r="722" spans="1:11" x14ac:dyDescent="0.2">
      <c r="A722" s="1">
        <v>46103</v>
      </c>
      <c r="B722" t="s">
        <v>44</v>
      </c>
      <c r="C722" t="s">
        <v>48</v>
      </c>
      <c r="D722" t="s">
        <v>49</v>
      </c>
      <c r="E722" t="s">
        <v>50</v>
      </c>
      <c r="F722">
        <v>51236</v>
      </c>
      <c r="G722">
        <v>2929</v>
      </c>
      <c r="H722">
        <v>619.69000000000005</v>
      </c>
      <c r="I722">
        <v>223</v>
      </c>
      <c r="J722" t="s">
        <v>51</v>
      </c>
      <c r="K722" t="s">
        <v>40</v>
      </c>
    </row>
    <row r="723" spans="1:11" x14ac:dyDescent="0.2">
      <c r="A723" s="1">
        <v>46103</v>
      </c>
      <c r="B723" t="s">
        <v>52</v>
      </c>
      <c r="C723" t="s">
        <v>53</v>
      </c>
      <c r="D723" t="s">
        <v>54</v>
      </c>
      <c r="E723" t="s">
        <v>54</v>
      </c>
      <c r="F723">
        <v>123988</v>
      </c>
      <c r="G723">
        <v>1424</v>
      </c>
      <c r="H723">
        <v>331.98</v>
      </c>
      <c r="I723">
        <v>98</v>
      </c>
      <c r="J723" t="s">
        <v>54</v>
      </c>
      <c r="K723" t="s">
        <v>40</v>
      </c>
    </row>
    <row r="724" spans="1:11" x14ac:dyDescent="0.2">
      <c r="A724" s="1">
        <v>46103</v>
      </c>
      <c r="B724" t="s">
        <v>52</v>
      </c>
      <c r="C724" t="s">
        <v>55</v>
      </c>
      <c r="D724" t="s">
        <v>54</v>
      </c>
      <c r="E724" t="s">
        <v>54</v>
      </c>
      <c r="F724">
        <v>190573</v>
      </c>
      <c r="G724">
        <v>2678</v>
      </c>
      <c r="H724">
        <v>656.66</v>
      </c>
      <c r="I724">
        <v>176</v>
      </c>
      <c r="J724" t="s">
        <v>54</v>
      </c>
      <c r="K724" t="s">
        <v>40</v>
      </c>
    </row>
    <row r="725" spans="1:11" x14ac:dyDescent="0.2">
      <c r="A725" s="1">
        <v>46103</v>
      </c>
      <c r="B725" t="s">
        <v>56</v>
      </c>
      <c r="C725" t="s">
        <v>57</v>
      </c>
      <c r="D725" t="s">
        <v>58</v>
      </c>
      <c r="E725" t="s">
        <v>42</v>
      </c>
      <c r="F725">
        <v>36030</v>
      </c>
      <c r="G725">
        <v>1960</v>
      </c>
      <c r="H725">
        <v>372.06</v>
      </c>
      <c r="I725">
        <v>159</v>
      </c>
      <c r="J725" t="s">
        <v>43</v>
      </c>
      <c r="K725" t="s">
        <v>40</v>
      </c>
    </row>
    <row r="726" spans="1:11" x14ac:dyDescent="0.2">
      <c r="A726" s="1">
        <v>46103</v>
      </c>
      <c r="B726" t="s">
        <v>56</v>
      </c>
      <c r="C726" t="s">
        <v>57</v>
      </c>
      <c r="D726" t="s">
        <v>59</v>
      </c>
      <c r="E726" t="s">
        <v>38</v>
      </c>
      <c r="F726">
        <v>46324</v>
      </c>
      <c r="G726">
        <v>2736</v>
      </c>
      <c r="H726">
        <v>677.24</v>
      </c>
      <c r="I726">
        <v>176</v>
      </c>
      <c r="J726" t="s">
        <v>43</v>
      </c>
      <c r="K726" t="s">
        <v>40</v>
      </c>
    </row>
    <row r="727" spans="1:11" x14ac:dyDescent="0.2">
      <c r="A727" s="1">
        <v>46103</v>
      </c>
      <c r="B727" t="s">
        <v>67</v>
      </c>
      <c r="C727" t="s">
        <v>68</v>
      </c>
      <c r="D727" t="s">
        <v>69</v>
      </c>
      <c r="E727" t="s">
        <v>42</v>
      </c>
      <c r="F727">
        <v>29606</v>
      </c>
      <c r="G727">
        <v>1790</v>
      </c>
      <c r="H727">
        <v>443.51</v>
      </c>
      <c r="I727">
        <v>169</v>
      </c>
      <c r="J727" t="s">
        <v>43</v>
      </c>
      <c r="K727" t="s">
        <v>40</v>
      </c>
    </row>
    <row r="728" spans="1:11" x14ac:dyDescent="0.2">
      <c r="A728" s="1">
        <v>46103</v>
      </c>
      <c r="B728" t="s">
        <v>67</v>
      </c>
      <c r="C728" t="s">
        <v>68</v>
      </c>
      <c r="D728" t="s">
        <v>70</v>
      </c>
      <c r="E728" t="s">
        <v>38</v>
      </c>
      <c r="F728">
        <v>39689</v>
      </c>
      <c r="G728">
        <v>2426</v>
      </c>
      <c r="H728">
        <v>599.9</v>
      </c>
      <c r="I728">
        <v>214</v>
      </c>
      <c r="J728" t="s">
        <v>43</v>
      </c>
      <c r="K728" t="s">
        <v>40</v>
      </c>
    </row>
    <row r="729" spans="1:11" x14ac:dyDescent="0.2">
      <c r="A729" s="1">
        <v>46104</v>
      </c>
      <c r="B729" t="s">
        <v>35</v>
      </c>
      <c r="C729" t="s">
        <v>36</v>
      </c>
      <c r="D729" t="s">
        <v>37</v>
      </c>
      <c r="E729" t="s">
        <v>38</v>
      </c>
      <c r="F729">
        <v>14017</v>
      </c>
      <c r="G729">
        <v>811</v>
      </c>
      <c r="H729">
        <v>188.58</v>
      </c>
      <c r="I729">
        <v>66</v>
      </c>
      <c r="J729" t="s">
        <v>39</v>
      </c>
      <c r="K729" t="s">
        <v>40</v>
      </c>
    </row>
    <row r="730" spans="1:11" x14ac:dyDescent="0.2">
      <c r="A730" s="1">
        <v>46104</v>
      </c>
      <c r="B730" t="s">
        <v>35</v>
      </c>
      <c r="C730" t="s">
        <v>36</v>
      </c>
      <c r="D730" t="s">
        <v>41</v>
      </c>
      <c r="E730" t="s">
        <v>42</v>
      </c>
      <c r="F730">
        <v>42946</v>
      </c>
      <c r="G730">
        <v>2287</v>
      </c>
      <c r="H730">
        <v>476.45</v>
      </c>
      <c r="I730">
        <v>143</v>
      </c>
      <c r="J730" t="s">
        <v>43</v>
      </c>
      <c r="K730" t="s">
        <v>40</v>
      </c>
    </row>
    <row r="731" spans="1:11" x14ac:dyDescent="0.2">
      <c r="A731" s="1">
        <v>46104</v>
      </c>
      <c r="B731" t="s">
        <v>44</v>
      </c>
      <c r="C731" t="s">
        <v>45</v>
      </c>
      <c r="D731" t="s">
        <v>46</v>
      </c>
      <c r="E731" t="s">
        <v>42</v>
      </c>
      <c r="F731">
        <v>15018</v>
      </c>
      <c r="G731">
        <v>944</v>
      </c>
      <c r="H731">
        <v>175.29</v>
      </c>
      <c r="I731">
        <v>74</v>
      </c>
      <c r="J731" t="s">
        <v>47</v>
      </c>
      <c r="K731" t="s">
        <v>40</v>
      </c>
    </row>
    <row r="732" spans="1:11" x14ac:dyDescent="0.2">
      <c r="A732" s="1">
        <v>46104</v>
      </c>
      <c r="B732" t="s">
        <v>44</v>
      </c>
      <c r="C732" t="s">
        <v>48</v>
      </c>
      <c r="D732" t="s">
        <v>49</v>
      </c>
      <c r="E732" t="s">
        <v>50</v>
      </c>
      <c r="F732">
        <v>31471</v>
      </c>
      <c r="G732">
        <v>2228</v>
      </c>
      <c r="H732">
        <v>543.20000000000005</v>
      </c>
      <c r="I732">
        <v>185</v>
      </c>
      <c r="J732" t="s">
        <v>51</v>
      </c>
      <c r="K732" t="s">
        <v>40</v>
      </c>
    </row>
    <row r="733" spans="1:11" x14ac:dyDescent="0.2">
      <c r="A733" s="1">
        <v>46104</v>
      </c>
      <c r="B733" t="s">
        <v>52</v>
      </c>
      <c r="C733" t="s">
        <v>53</v>
      </c>
      <c r="D733" t="s">
        <v>54</v>
      </c>
      <c r="E733" t="s">
        <v>54</v>
      </c>
      <c r="F733">
        <v>137442</v>
      </c>
      <c r="G733">
        <v>1571</v>
      </c>
      <c r="H733">
        <v>377.78</v>
      </c>
      <c r="I733">
        <v>110</v>
      </c>
      <c r="J733" t="s">
        <v>54</v>
      </c>
      <c r="K733" t="s">
        <v>40</v>
      </c>
    </row>
    <row r="734" spans="1:11" x14ac:dyDescent="0.2">
      <c r="A734" s="1">
        <v>46104</v>
      </c>
      <c r="B734" t="s">
        <v>52</v>
      </c>
      <c r="C734" t="s">
        <v>55</v>
      </c>
      <c r="D734" t="s">
        <v>54</v>
      </c>
      <c r="E734" t="s">
        <v>54</v>
      </c>
      <c r="F734">
        <v>213453</v>
      </c>
      <c r="G734">
        <v>3205</v>
      </c>
      <c r="H734">
        <v>636.12</v>
      </c>
      <c r="I734">
        <v>190</v>
      </c>
      <c r="J734" t="s">
        <v>54</v>
      </c>
      <c r="K734" t="s">
        <v>40</v>
      </c>
    </row>
    <row r="735" spans="1:11" x14ac:dyDescent="0.2">
      <c r="A735" s="1">
        <v>46104</v>
      </c>
      <c r="B735" t="s">
        <v>56</v>
      </c>
      <c r="C735" t="s">
        <v>57</v>
      </c>
      <c r="D735" t="s">
        <v>58</v>
      </c>
      <c r="E735" t="s">
        <v>42</v>
      </c>
      <c r="F735">
        <v>28697</v>
      </c>
      <c r="G735">
        <v>1551</v>
      </c>
      <c r="H735">
        <v>351.6</v>
      </c>
      <c r="I735">
        <v>143</v>
      </c>
      <c r="J735" t="s">
        <v>43</v>
      </c>
      <c r="K735" t="s">
        <v>40</v>
      </c>
    </row>
    <row r="736" spans="1:11" x14ac:dyDescent="0.2">
      <c r="A736" s="1">
        <v>46104</v>
      </c>
      <c r="B736" t="s">
        <v>56</v>
      </c>
      <c r="C736" t="s">
        <v>57</v>
      </c>
      <c r="D736" t="s">
        <v>59</v>
      </c>
      <c r="E736" t="s">
        <v>38</v>
      </c>
      <c r="F736">
        <v>51630</v>
      </c>
      <c r="G736">
        <v>3621</v>
      </c>
      <c r="H736">
        <v>751.86</v>
      </c>
      <c r="I736">
        <v>260</v>
      </c>
      <c r="J736" t="s">
        <v>43</v>
      </c>
      <c r="K736" t="s">
        <v>40</v>
      </c>
    </row>
    <row r="737" spans="1:11" x14ac:dyDescent="0.2">
      <c r="A737" s="1">
        <v>46104</v>
      </c>
      <c r="B737" t="s">
        <v>67</v>
      </c>
      <c r="C737" t="s">
        <v>68</v>
      </c>
      <c r="D737" t="s">
        <v>69</v>
      </c>
      <c r="E737" t="s">
        <v>42</v>
      </c>
      <c r="F737">
        <v>40552</v>
      </c>
      <c r="G737">
        <v>2196</v>
      </c>
      <c r="H737">
        <v>566.73</v>
      </c>
      <c r="I737">
        <v>145</v>
      </c>
      <c r="J737" t="s">
        <v>43</v>
      </c>
      <c r="K737" t="s">
        <v>40</v>
      </c>
    </row>
    <row r="738" spans="1:11" x14ac:dyDescent="0.2">
      <c r="A738" s="1">
        <v>46104</v>
      </c>
      <c r="B738" t="s">
        <v>67</v>
      </c>
      <c r="C738" t="s">
        <v>68</v>
      </c>
      <c r="D738" t="s">
        <v>70</v>
      </c>
      <c r="E738" t="s">
        <v>38</v>
      </c>
      <c r="F738">
        <v>18314</v>
      </c>
      <c r="G738">
        <v>1047</v>
      </c>
      <c r="H738">
        <v>223.29</v>
      </c>
      <c r="I738">
        <v>60</v>
      </c>
      <c r="J738" t="s">
        <v>43</v>
      </c>
      <c r="K738" t="s">
        <v>40</v>
      </c>
    </row>
    <row r="739" spans="1:11" x14ac:dyDescent="0.2">
      <c r="A739" s="1">
        <v>46105</v>
      </c>
      <c r="B739" t="s">
        <v>35</v>
      </c>
      <c r="C739" t="s">
        <v>36</v>
      </c>
      <c r="D739" t="s">
        <v>37</v>
      </c>
      <c r="E739" t="s">
        <v>38</v>
      </c>
      <c r="F739">
        <v>35548</v>
      </c>
      <c r="G739">
        <v>1858</v>
      </c>
      <c r="H739">
        <v>347.33</v>
      </c>
      <c r="I739">
        <v>174</v>
      </c>
      <c r="J739" t="s">
        <v>39</v>
      </c>
      <c r="K739" t="s">
        <v>40</v>
      </c>
    </row>
    <row r="740" spans="1:11" x14ac:dyDescent="0.2">
      <c r="A740" s="1">
        <v>46105</v>
      </c>
      <c r="B740" t="s">
        <v>35</v>
      </c>
      <c r="C740" t="s">
        <v>36</v>
      </c>
      <c r="D740" t="s">
        <v>41</v>
      </c>
      <c r="E740" t="s">
        <v>42</v>
      </c>
      <c r="F740">
        <v>30096</v>
      </c>
      <c r="G740">
        <v>1885</v>
      </c>
      <c r="H740">
        <v>372.94</v>
      </c>
      <c r="I740">
        <v>140</v>
      </c>
      <c r="J740" t="s">
        <v>43</v>
      </c>
      <c r="K740" t="s">
        <v>40</v>
      </c>
    </row>
    <row r="741" spans="1:11" x14ac:dyDescent="0.2">
      <c r="A741" s="1">
        <v>46105</v>
      </c>
      <c r="B741" t="s">
        <v>44</v>
      </c>
      <c r="C741" t="s">
        <v>45</v>
      </c>
      <c r="D741" t="s">
        <v>46</v>
      </c>
      <c r="E741" t="s">
        <v>42</v>
      </c>
      <c r="F741">
        <v>25256</v>
      </c>
      <c r="G741">
        <v>1539</v>
      </c>
      <c r="H741">
        <v>343.39</v>
      </c>
      <c r="I741">
        <v>122</v>
      </c>
      <c r="J741" t="s">
        <v>47</v>
      </c>
      <c r="K741" t="s">
        <v>40</v>
      </c>
    </row>
    <row r="742" spans="1:11" x14ac:dyDescent="0.2">
      <c r="A742" s="1">
        <v>46105</v>
      </c>
      <c r="B742" t="s">
        <v>44</v>
      </c>
      <c r="C742" t="s">
        <v>48</v>
      </c>
      <c r="D742" t="s">
        <v>49</v>
      </c>
      <c r="E742" t="s">
        <v>50</v>
      </c>
      <c r="F742">
        <v>22051</v>
      </c>
      <c r="G742">
        <v>1541</v>
      </c>
      <c r="H742">
        <v>387.62</v>
      </c>
      <c r="I742">
        <v>91</v>
      </c>
      <c r="J742" t="s">
        <v>51</v>
      </c>
      <c r="K742" t="s">
        <v>40</v>
      </c>
    </row>
    <row r="743" spans="1:11" x14ac:dyDescent="0.2">
      <c r="A743" s="1">
        <v>46105</v>
      </c>
      <c r="B743" t="s">
        <v>52</v>
      </c>
      <c r="C743" t="s">
        <v>53</v>
      </c>
      <c r="D743" t="s">
        <v>54</v>
      </c>
      <c r="E743" t="s">
        <v>54</v>
      </c>
      <c r="F743">
        <v>129424</v>
      </c>
      <c r="G743">
        <v>1469</v>
      </c>
      <c r="H743">
        <v>371.3</v>
      </c>
      <c r="I743">
        <v>126</v>
      </c>
      <c r="J743" t="s">
        <v>54</v>
      </c>
      <c r="K743" t="s">
        <v>40</v>
      </c>
    </row>
    <row r="744" spans="1:11" x14ac:dyDescent="0.2">
      <c r="A744" s="1">
        <v>46105</v>
      </c>
      <c r="B744" t="s">
        <v>52</v>
      </c>
      <c r="C744" t="s">
        <v>55</v>
      </c>
      <c r="D744" t="s">
        <v>54</v>
      </c>
      <c r="E744" t="s">
        <v>54</v>
      </c>
      <c r="F744">
        <v>120196</v>
      </c>
      <c r="G744">
        <v>1860</v>
      </c>
      <c r="H744">
        <v>362.49</v>
      </c>
      <c r="I744">
        <v>149</v>
      </c>
      <c r="J744" t="s">
        <v>54</v>
      </c>
      <c r="K744" t="s">
        <v>40</v>
      </c>
    </row>
    <row r="745" spans="1:11" x14ac:dyDescent="0.2">
      <c r="A745" s="1">
        <v>46105</v>
      </c>
      <c r="B745" t="s">
        <v>56</v>
      </c>
      <c r="C745" t="s">
        <v>57</v>
      </c>
      <c r="D745" t="s">
        <v>58</v>
      </c>
      <c r="E745" t="s">
        <v>42</v>
      </c>
      <c r="F745">
        <v>16222</v>
      </c>
      <c r="G745">
        <v>1037</v>
      </c>
      <c r="H745">
        <v>214.29</v>
      </c>
      <c r="I745">
        <v>86</v>
      </c>
      <c r="J745" t="s">
        <v>43</v>
      </c>
      <c r="K745" t="s">
        <v>40</v>
      </c>
    </row>
    <row r="746" spans="1:11" x14ac:dyDescent="0.2">
      <c r="A746" s="1">
        <v>46105</v>
      </c>
      <c r="B746" t="s">
        <v>56</v>
      </c>
      <c r="C746" t="s">
        <v>57</v>
      </c>
      <c r="D746" t="s">
        <v>59</v>
      </c>
      <c r="E746" t="s">
        <v>38</v>
      </c>
      <c r="F746">
        <v>46339</v>
      </c>
      <c r="G746">
        <v>2863</v>
      </c>
      <c r="H746">
        <v>662.89</v>
      </c>
      <c r="I746">
        <v>265</v>
      </c>
      <c r="J746" t="s">
        <v>43</v>
      </c>
      <c r="K746" t="s">
        <v>40</v>
      </c>
    </row>
    <row r="747" spans="1:11" x14ac:dyDescent="0.2">
      <c r="A747" s="1">
        <v>46105</v>
      </c>
      <c r="B747" t="s">
        <v>67</v>
      </c>
      <c r="C747" t="s">
        <v>68</v>
      </c>
      <c r="D747" t="s">
        <v>69</v>
      </c>
      <c r="E747" t="s">
        <v>42</v>
      </c>
      <c r="F747">
        <v>54804</v>
      </c>
      <c r="G747">
        <v>3259</v>
      </c>
      <c r="H747">
        <v>718.26</v>
      </c>
      <c r="I747">
        <v>274</v>
      </c>
      <c r="J747" t="s">
        <v>43</v>
      </c>
      <c r="K747" t="s">
        <v>40</v>
      </c>
    </row>
    <row r="748" spans="1:11" x14ac:dyDescent="0.2">
      <c r="A748" s="1">
        <v>46105</v>
      </c>
      <c r="B748" t="s">
        <v>67</v>
      </c>
      <c r="C748" t="s">
        <v>68</v>
      </c>
      <c r="D748" t="s">
        <v>70</v>
      </c>
      <c r="E748" t="s">
        <v>38</v>
      </c>
      <c r="F748">
        <v>18972</v>
      </c>
      <c r="G748">
        <v>1156</v>
      </c>
      <c r="H748">
        <v>208.46</v>
      </c>
      <c r="I748">
        <v>107</v>
      </c>
      <c r="J748" t="s">
        <v>43</v>
      </c>
      <c r="K748" t="s">
        <v>40</v>
      </c>
    </row>
    <row r="749" spans="1:11" x14ac:dyDescent="0.2">
      <c r="A749" s="1">
        <v>46106</v>
      </c>
      <c r="B749" t="s">
        <v>35</v>
      </c>
      <c r="C749" t="s">
        <v>36</v>
      </c>
      <c r="D749" t="s">
        <v>37</v>
      </c>
      <c r="E749" t="s">
        <v>38</v>
      </c>
      <c r="F749">
        <v>54069</v>
      </c>
      <c r="G749">
        <v>2752</v>
      </c>
      <c r="H749">
        <v>642.67999999999995</v>
      </c>
      <c r="I749">
        <v>260</v>
      </c>
      <c r="J749" t="s">
        <v>39</v>
      </c>
      <c r="K749" t="s">
        <v>40</v>
      </c>
    </row>
    <row r="750" spans="1:11" x14ac:dyDescent="0.2">
      <c r="A750" s="1">
        <v>46106</v>
      </c>
      <c r="B750" t="s">
        <v>35</v>
      </c>
      <c r="C750" t="s">
        <v>36</v>
      </c>
      <c r="D750" t="s">
        <v>41</v>
      </c>
      <c r="E750" t="s">
        <v>42</v>
      </c>
      <c r="F750">
        <v>41407</v>
      </c>
      <c r="G750">
        <v>2665</v>
      </c>
      <c r="H750">
        <v>586.46</v>
      </c>
      <c r="I750">
        <v>213</v>
      </c>
      <c r="J750" t="s">
        <v>43</v>
      </c>
      <c r="K750" t="s">
        <v>40</v>
      </c>
    </row>
    <row r="751" spans="1:11" x14ac:dyDescent="0.2">
      <c r="A751" s="1">
        <v>46106</v>
      </c>
      <c r="B751" t="s">
        <v>44</v>
      </c>
      <c r="C751" t="s">
        <v>45</v>
      </c>
      <c r="D751" t="s">
        <v>46</v>
      </c>
      <c r="E751" t="s">
        <v>42</v>
      </c>
      <c r="F751">
        <v>20723</v>
      </c>
      <c r="G751">
        <v>1176</v>
      </c>
      <c r="H751">
        <v>312.02999999999997</v>
      </c>
      <c r="I751">
        <v>80</v>
      </c>
      <c r="J751" t="s">
        <v>47</v>
      </c>
      <c r="K751" t="s">
        <v>40</v>
      </c>
    </row>
    <row r="752" spans="1:11" x14ac:dyDescent="0.2">
      <c r="A752" s="1">
        <v>46106</v>
      </c>
      <c r="B752" t="s">
        <v>44</v>
      </c>
      <c r="C752" t="s">
        <v>48</v>
      </c>
      <c r="D752" t="s">
        <v>49</v>
      </c>
      <c r="E752" t="s">
        <v>50</v>
      </c>
      <c r="F752">
        <v>52158</v>
      </c>
      <c r="G752">
        <v>3455</v>
      </c>
      <c r="H752">
        <v>722.08</v>
      </c>
      <c r="I752">
        <v>218</v>
      </c>
      <c r="J752" t="s">
        <v>51</v>
      </c>
      <c r="K752" t="s">
        <v>40</v>
      </c>
    </row>
    <row r="753" spans="1:11" x14ac:dyDescent="0.2">
      <c r="A753" s="1">
        <v>46106</v>
      </c>
      <c r="B753" t="s">
        <v>52</v>
      </c>
      <c r="C753" t="s">
        <v>53</v>
      </c>
      <c r="D753" t="s">
        <v>54</v>
      </c>
      <c r="E753" t="s">
        <v>54</v>
      </c>
      <c r="F753">
        <v>211478</v>
      </c>
      <c r="G753">
        <v>2367</v>
      </c>
      <c r="H753">
        <v>516.99</v>
      </c>
      <c r="I753">
        <v>148</v>
      </c>
      <c r="J753" t="s">
        <v>54</v>
      </c>
      <c r="K753" t="s">
        <v>40</v>
      </c>
    </row>
    <row r="754" spans="1:11" x14ac:dyDescent="0.2">
      <c r="A754" s="1">
        <v>46106</v>
      </c>
      <c r="B754" t="s">
        <v>52</v>
      </c>
      <c r="C754" t="s">
        <v>55</v>
      </c>
      <c r="D754" t="s">
        <v>54</v>
      </c>
      <c r="E754" t="s">
        <v>54</v>
      </c>
      <c r="F754">
        <v>183470</v>
      </c>
      <c r="G754">
        <v>2840</v>
      </c>
      <c r="H754">
        <v>690.3</v>
      </c>
      <c r="I754">
        <v>197</v>
      </c>
      <c r="J754" t="s">
        <v>54</v>
      </c>
      <c r="K754" t="s">
        <v>40</v>
      </c>
    </row>
    <row r="755" spans="1:11" x14ac:dyDescent="0.2">
      <c r="A755" s="1">
        <v>46106</v>
      </c>
      <c r="B755" t="s">
        <v>56</v>
      </c>
      <c r="C755" t="s">
        <v>57</v>
      </c>
      <c r="D755" t="s">
        <v>58</v>
      </c>
      <c r="E755" t="s">
        <v>42</v>
      </c>
      <c r="F755">
        <v>20229</v>
      </c>
      <c r="G755">
        <v>1400</v>
      </c>
      <c r="H755">
        <v>313.32</v>
      </c>
      <c r="I755">
        <v>87</v>
      </c>
      <c r="J755" t="s">
        <v>43</v>
      </c>
      <c r="K755" t="s">
        <v>40</v>
      </c>
    </row>
    <row r="756" spans="1:11" x14ac:dyDescent="0.2">
      <c r="A756" s="1">
        <v>46106</v>
      </c>
      <c r="B756" t="s">
        <v>56</v>
      </c>
      <c r="C756" t="s">
        <v>57</v>
      </c>
      <c r="D756" t="s">
        <v>59</v>
      </c>
      <c r="E756" t="s">
        <v>38</v>
      </c>
      <c r="F756">
        <v>16040</v>
      </c>
      <c r="G756">
        <v>844</v>
      </c>
      <c r="H756">
        <v>212.67</v>
      </c>
      <c r="I756">
        <v>66</v>
      </c>
      <c r="J756" t="s">
        <v>43</v>
      </c>
      <c r="K756" t="s">
        <v>40</v>
      </c>
    </row>
    <row r="757" spans="1:11" x14ac:dyDescent="0.2">
      <c r="A757" s="1">
        <v>46106</v>
      </c>
      <c r="B757" t="s">
        <v>67</v>
      </c>
      <c r="C757" t="s">
        <v>68</v>
      </c>
      <c r="D757" t="s">
        <v>69</v>
      </c>
      <c r="E757" t="s">
        <v>42</v>
      </c>
      <c r="F757">
        <v>54680</v>
      </c>
      <c r="G757">
        <v>3134</v>
      </c>
      <c r="H757">
        <v>812.56</v>
      </c>
      <c r="I757">
        <v>253</v>
      </c>
      <c r="J757" t="s">
        <v>43</v>
      </c>
      <c r="K757" t="s">
        <v>40</v>
      </c>
    </row>
    <row r="758" spans="1:11" x14ac:dyDescent="0.2">
      <c r="A758" s="1">
        <v>46106</v>
      </c>
      <c r="B758" t="s">
        <v>67</v>
      </c>
      <c r="C758" t="s">
        <v>68</v>
      </c>
      <c r="D758" t="s">
        <v>70</v>
      </c>
      <c r="E758" t="s">
        <v>38</v>
      </c>
      <c r="F758">
        <v>55571</v>
      </c>
      <c r="G758">
        <v>3379</v>
      </c>
      <c r="H758">
        <v>890.11</v>
      </c>
      <c r="I758">
        <v>246</v>
      </c>
      <c r="J758" t="s">
        <v>43</v>
      </c>
      <c r="K758" t="s">
        <v>40</v>
      </c>
    </row>
    <row r="759" spans="1:11" x14ac:dyDescent="0.2">
      <c r="A759" s="1">
        <v>46107</v>
      </c>
      <c r="B759" t="s">
        <v>35</v>
      </c>
      <c r="C759" t="s">
        <v>36</v>
      </c>
      <c r="D759" t="s">
        <v>37</v>
      </c>
      <c r="E759" t="s">
        <v>38</v>
      </c>
      <c r="F759">
        <v>14397</v>
      </c>
      <c r="G759">
        <v>703</v>
      </c>
      <c r="H759">
        <v>130.47999999999999</v>
      </c>
      <c r="I759">
        <v>60</v>
      </c>
      <c r="J759" t="s">
        <v>39</v>
      </c>
      <c r="K759" t="s">
        <v>40</v>
      </c>
    </row>
    <row r="760" spans="1:11" x14ac:dyDescent="0.2">
      <c r="A760" s="1">
        <v>46107</v>
      </c>
      <c r="B760" t="s">
        <v>35</v>
      </c>
      <c r="C760" t="s">
        <v>36</v>
      </c>
      <c r="D760" t="s">
        <v>41</v>
      </c>
      <c r="E760" t="s">
        <v>42</v>
      </c>
      <c r="F760">
        <v>16646</v>
      </c>
      <c r="G760">
        <v>961</v>
      </c>
      <c r="H760">
        <v>193.32</v>
      </c>
      <c r="I760">
        <v>77</v>
      </c>
      <c r="J760" t="s">
        <v>43</v>
      </c>
      <c r="K760" t="s">
        <v>40</v>
      </c>
    </row>
    <row r="761" spans="1:11" x14ac:dyDescent="0.2">
      <c r="A761" s="1">
        <v>46107</v>
      </c>
      <c r="B761" t="s">
        <v>44</v>
      </c>
      <c r="C761" t="s">
        <v>45</v>
      </c>
      <c r="D761" t="s">
        <v>46</v>
      </c>
      <c r="E761" t="s">
        <v>42</v>
      </c>
      <c r="F761">
        <v>57567</v>
      </c>
      <c r="G761">
        <v>3396</v>
      </c>
      <c r="H761">
        <v>841.56</v>
      </c>
      <c r="I761">
        <v>305</v>
      </c>
      <c r="J761" t="s">
        <v>47</v>
      </c>
      <c r="K761" t="s">
        <v>40</v>
      </c>
    </row>
    <row r="762" spans="1:11" x14ac:dyDescent="0.2">
      <c r="A762" s="1">
        <v>46107</v>
      </c>
      <c r="B762" t="s">
        <v>44</v>
      </c>
      <c r="C762" t="s">
        <v>48</v>
      </c>
      <c r="D762" t="s">
        <v>49</v>
      </c>
      <c r="E762" t="s">
        <v>50</v>
      </c>
      <c r="F762">
        <v>25689</v>
      </c>
      <c r="G762">
        <v>1689</v>
      </c>
      <c r="H762">
        <v>343.37</v>
      </c>
      <c r="I762">
        <v>97</v>
      </c>
      <c r="J762" t="s">
        <v>51</v>
      </c>
      <c r="K762" t="s">
        <v>40</v>
      </c>
    </row>
    <row r="763" spans="1:11" x14ac:dyDescent="0.2">
      <c r="A763" s="1">
        <v>46107</v>
      </c>
      <c r="B763" t="s">
        <v>52</v>
      </c>
      <c r="C763" t="s">
        <v>53</v>
      </c>
      <c r="D763" t="s">
        <v>54</v>
      </c>
      <c r="E763" t="s">
        <v>54</v>
      </c>
      <c r="F763">
        <v>141125</v>
      </c>
      <c r="G763">
        <v>1897</v>
      </c>
      <c r="H763">
        <v>345.08</v>
      </c>
      <c r="I763">
        <v>173</v>
      </c>
      <c r="J763" t="s">
        <v>54</v>
      </c>
      <c r="K763" t="s">
        <v>40</v>
      </c>
    </row>
    <row r="764" spans="1:11" x14ac:dyDescent="0.2">
      <c r="A764" s="1">
        <v>46107</v>
      </c>
      <c r="B764" t="s">
        <v>52</v>
      </c>
      <c r="C764" t="s">
        <v>55</v>
      </c>
      <c r="D764" t="s">
        <v>54</v>
      </c>
      <c r="E764" t="s">
        <v>54</v>
      </c>
      <c r="F764">
        <v>124803</v>
      </c>
      <c r="G764">
        <v>1524</v>
      </c>
      <c r="H764">
        <v>373.2</v>
      </c>
      <c r="I764">
        <v>84</v>
      </c>
      <c r="J764" t="s">
        <v>54</v>
      </c>
      <c r="K764" t="s">
        <v>40</v>
      </c>
    </row>
    <row r="765" spans="1:11" x14ac:dyDescent="0.2">
      <c r="A765" s="1">
        <v>46107</v>
      </c>
      <c r="B765" t="s">
        <v>56</v>
      </c>
      <c r="C765" t="s">
        <v>57</v>
      </c>
      <c r="D765" t="s">
        <v>58</v>
      </c>
      <c r="E765" t="s">
        <v>42</v>
      </c>
      <c r="F765">
        <v>17256</v>
      </c>
      <c r="G765">
        <v>1202</v>
      </c>
      <c r="H765">
        <v>315.01</v>
      </c>
      <c r="I765">
        <v>70</v>
      </c>
      <c r="J765" t="s">
        <v>43</v>
      </c>
      <c r="K765" t="s">
        <v>40</v>
      </c>
    </row>
    <row r="766" spans="1:11" x14ac:dyDescent="0.2">
      <c r="A766" s="1">
        <v>46107</v>
      </c>
      <c r="B766" t="s">
        <v>56</v>
      </c>
      <c r="C766" t="s">
        <v>57</v>
      </c>
      <c r="D766" t="s">
        <v>59</v>
      </c>
      <c r="E766" t="s">
        <v>38</v>
      </c>
      <c r="F766">
        <v>27541</v>
      </c>
      <c r="G766">
        <v>1874</v>
      </c>
      <c r="H766">
        <v>349.31</v>
      </c>
      <c r="I766">
        <v>164</v>
      </c>
      <c r="J766" t="s">
        <v>43</v>
      </c>
      <c r="K766" t="s">
        <v>40</v>
      </c>
    </row>
    <row r="767" spans="1:11" x14ac:dyDescent="0.2">
      <c r="A767" s="1">
        <v>46107</v>
      </c>
      <c r="B767" t="s">
        <v>67</v>
      </c>
      <c r="C767" t="s">
        <v>68</v>
      </c>
      <c r="D767" t="s">
        <v>69</v>
      </c>
      <c r="E767" t="s">
        <v>42</v>
      </c>
      <c r="F767">
        <v>22726</v>
      </c>
      <c r="G767">
        <v>1362</v>
      </c>
      <c r="H767">
        <v>354.01</v>
      </c>
      <c r="I767">
        <v>86</v>
      </c>
      <c r="J767" t="s">
        <v>43</v>
      </c>
      <c r="K767" t="s">
        <v>40</v>
      </c>
    </row>
    <row r="768" spans="1:11" x14ac:dyDescent="0.2">
      <c r="A768" s="1">
        <v>46107</v>
      </c>
      <c r="B768" t="s">
        <v>67</v>
      </c>
      <c r="C768" t="s">
        <v>68</v>
      </c>
      <c r="D768" t="s">
        <v>70</v>
      </c>
      <c r="E768" t="s">
        <v>38</v>
      </c>
      <c r="F768">
        <v>30264</v>
      </c>
      <c r="G768">
        <v>1762</v>
      </c>
      <c r="H768">
        <v>460.15</v>
      </c>
      <c r="I768">
        <v>166</v>
      </c>
      <c r="J768" t="s">
        <v>43</v>
      </c>
      <c r="K768" t="s">
        <v>40</v>
      </c>
    </row>
    <row r="769" spans="1:11" x14ac:dyDescent="0.2">
      <c r="A769" s="1">
        <v>46108</v>
      </c>
      <c r="B769" t="s">
        <v>35</v>
      </c>
      <c r="C769" t="s">
        <v>36</v>
      </c>
      <c r="D769" t="s">
        <v>37</v>
      </c>
      <c r="E769" t="s">
        <v>38</v>
      </c>
      <c r="F769">
        <v>47249</v>
      </c>
      <c r="G769">
        <v>2635</v>
      </c>
      <c r="H769">
        <v>731.44</v>
      </c>
      <c r="I769">
        <v>205</v>
      </c>
      <c r="J769" t="s">
        <v>39</v>
      </c>
      <c r="K769" t="s">
        <v>40</v>
      </c>
    </row>
    <row r="770" spans="1:11" x14ac:dyDescent="0.2">
      <c r="A770" s="1">
        <v>46108</v>
      </c>
      <c r="B770" t="s">
        <v>35</v>
      </c>
      <c r="C770" t="s">
        <v>36</v>
      </c>
      <c r="D770" t="s">
        <v>41</v>
      </c>
      <c r="E770" t="s">
        <v>42</v>
      </c>
      <c r="F770">
        <v>24700</v>
      </c>
      <c r="G770">
        <v>1376</v>
      </c>
      <c r="H770">
        <v>380.42</v>
      </c>
      <c r="I770">
        <v>87</v>
      </c>
      <c r="J770" t="s">
        <v>43</v>
      </c>
      <c r="K770" t="s">
        <v>40</v>
      </c>
    </row>
    <row r="771" spans="1:11" x14ac:dyDescent="0.2">
      <c r="A771" s="1">
        <v>46108</v>
      </c>
      <c r="B771" t="s">
        <v>44</v>
      </c>
      <c r="C771" t="s">
        <v>45</v>
      </c>
      <c r="D771" t="s">
        <v>46</v>
      </c>
      <c r="E771" t="s">
        <v>42</v>
      </c>
      <c r="F771">
        <v>16883</v>
      </c>
      <c r="G771">
        <v>1050</v>
      </c>
      <c r="H771">
        <v>224.23</v>
      </c>
      <c r="I771">
        <v>62</v>
      </c>
      <c r="J771" t="s">
        <v>47</v>
      </c>
      <c r="K771" t="s">
        <v>40</v>
      </c>
    </row>
    <row r="772" spans="1:11" x14ac:dyDescent="0.2">
      <c r="A772" s="1">
        <v>46108</v>
      </c>
      <c r="B772" t="s">
        <v>44</v>
      </c>
      <c r="C772" t="s">
        <v>48</v>
      </c>
      <c r="D772" t="s">
        <v>49</v>
      </c>
      <c r="E772" t="s">
        <v>50</v>
      </c>
      <c r="F772">
        <v>25032</v>
      </c>
      <c r="G772">
        <v>1656</v>
      </c>
      <c r="H772">
        <v>325.91000000000003</v>
      </c>
      <c r="I772">
        <v>115</v>
      </c>
      <c r="J772" t="s">
        <v>51</v>
      </c>
      <c r="K772" t="s">
        <v>40</v>
      </c>
    </row>
    <row r="773" spans="1:11" x14ac:dyDescent="0.2">
      <c r="A773" s="1">
        <v>46108</v>
      </c>
      <c r="B773" t="s">
        <v>52</v>
      </c>
      <c r="C773" t="s">
        <v>53</v>
      </c>
      <c r="D773" t="s">
        <v>54</v>
      </c>
      <c r="E773" t="s">
        <v>54</v>
      </c>
      <c r="F773">
        <v>145115</v>
      </c>
      <c r="G773">
        <v>1914</v>
      </c>
      <c r="H773">
        <v>521.69000000000005</v>
      </c>
      <c r="I773">
        <v>108</v>
      </c>
      <c r="J773" t="s">
        <v>54</v>
      </c>
      <c r="K773" t="s">
        <v>40</v>
      </c>
    </row>
    <row r="774" spans="1:11" x14ac:dyDescent="0.2">
      <c r="A774" s="1">
        <v>46108</v>
      </c>
      <c r="B774" t="s">
        <v>52</v>
      </c>
      <c r="C774" t="s">
        <v>55</v>
      </c>
      <c r="D774" t="s">
        <v>54</v>
      </c>
      <c r="E774" t="s">
        <v>54</v>
      </c>
      <c r="F774">
        <v>134032</v>
      </c>
      <c r="G774">
        <v>2004</v>
      </c>
      <c r="H774">
        <v>487.41</v>
      </c>
      <c r="I774">
        <v>140</v>
      </c>
      <c r="J774" t="s">
        <v>54</v>
      </c>
      <c r="K774" t="s">
        <v>40</v>
      </c>
    </row>
    <row r="775" spans="1:11" x14ac:dyDescent="0.2">
      <c r="A775" s="1">
        <v>46108</v>
      </c>
      <c r="B775" t="s">
        <v>56</v>
      </c>
      <c r="C775" t="s">
        <v>57</v>
      </c>
      <c r="D775" t="s">
        <v>58</v>
      </c>
      <c r="E775" t="s">
        <v>42</v>
      </c>
      <c r="F775">
        <v>26439</v>
      </c>
      <c r="G775">
        <v>1278</v>
      </c>
      <c r="H775">
        <v>292.27</v>
      </c>
      <c r="I775">
        <v>70</v>
      </c>
      <c r="J775" t="s">
        <v>43</v>
      </c>
      <c r="K775" t="s">
        <v>40</v>
      </c>
    </row>
    <row r="776" spans="1:11" x14ac:dyDescent="0.2">
      <c r="A776" s="1">
        <v>46108</v>
      </c>
      <c r="B776" t="s">
        <v>56</v>
      </c>
      <c r="C776" t="s">
        <v>57</v>
      </c>
      <c r="D776" t="s">
        <v>59</v>
      </c>
      <c r="E776" t="s">
        <v>38</v>
      </c>
      <c r="F776">
        <v>28285</v>
      </c>
      <c r="G776">
        <v>1986</v>
      </c>
      <c r="H776">
        <v>497.84</v>
      </c>
      <c r="I776">
        <v>156</v>
      </c>
      <c r="J776" t="s">
        <v>43</v>
      </c>
      <c r="K776" t="s">
        <v>40</v>
      </c>
    </row>
    <row r="777" spans="1:11" x14ac:dyDescent="0.2">
      <c r="A777" s="1">
        <v>46108</v>
      </c>
      <c r="B777" t="s">
        <v>67</v>
      </c>
      <c r="C777" t="s">
        <v>68</v>
      </c>
      <c r="D777" t="s">
        <v>69</v>
      </c>
      <c r="E777" t="s">
        <v>42</v>
      </c>
      <c r="F777">
        <v>37172</v>
      </c>
      <c r="G777">
        <v>2155</v>
      </c>
      <c r="H777">
        <v>561.9</v>
      </c>
      <c r="I777">
        <v>185</v>
      </c>
      <c r="J777" t="s">
        <v>43</v>
      </c>
      <c r="K777" t="s">
        <v>40</v>
      </c>
    </row>
    <row r="778" spans="1:11" x14ac:dyDescent="0.2">
      <c r="A778" s="1">
        <v>46108</v>
      </c>
      <c r="B778" t="s">
        <v>67</v>
      </c>
      <c r="C778" t="s">
        <v>68</v>
      </c>
      <c r="D778" t="s">
        <v>70</v>
      </c>
      <c r="E778" t="s">
        <v>38</v>
      </c>
      <c r="F778">
        <v>23810</v>
      </c>
      <c r="G778">
        <v>1260</v>
      </c>
      <c r="H778">
        <v>307.42</v>
      </c>
      <c r="I778">
        <v>95</v>
      </c>
      <c r="J778" t="s">
        <v>43</v>
      </c>
      <c r="K778" t="s">
        <v>40</v>
      </c>
    </row>
    <row r="779" spans="1:11" x14ac:dyDescent="0.2">
      <c r="A779" s="1">
        <v>46109</v>
      </c>
      <c r="B779" t="s">
        <v>35</v>
      </c>
      <c r="C779" t="s">
        <v>36</v>
      </c>
      <c r="D779" t="s">
        <v>37</v>
      </c>
      <c r="E779" t="s">
        <v>38</v>
      </c>
      <c r="F779">
        <v>48102</v>
      </c>
      <c r="G779">
        <v>2585</v>
      </c>
      <c r="H779">
        <v>510.42</v>
      </c>
      <c r="I779">
        <v>213</v>
      </c>
      <c r="J779" t="s">
        <v>39</v>
      </c>
      <c r="K779" t="s">
        <v>40</v>
      </c>
    </row>
    <row r="780" spans="1:11" x14ac:dyDescent="0.2">
      <c r="A780" s="1">
        <v>46109</v>
      </c>
      <c r="B780" t="s">
        <v>35</v>
      </c>
      <c r="C780" t="s">
        <v>36</v>
      </c>
      <c r="D780" t="s">
        <v>41</v>
      </c>
      <c r="E780" t="s">
        <v>42</v>
      </c>
      <c r="F780">
        <v>28334</v>
      </c>
      <c r="G780">
        <v>1847</v>
      </c>
      <c r="H780">
        <v>445.51</v>
      </c>
      <c r="I780">
        <v>108</v>
      </c>
      <c r="J780" t="s">
        <v>43</v>
      </c>
      <c r="K780" t="s">
        <v>40</v>
      </c>
    </row>
    <row r="781" spans="1:11" x14ac:dyDescent="0.2">
      <c r="A781" s="1">
        <v>46109</v>
      </c>
      <c r="B781" t="s">
        <v>44</v>
      </c>
      <c r="C781" t="s">
        <v>45</v>
      </c>
      <c r="D781" t="s">
        <v>46</v>
      </c>
      <c r="E781" t="s">
        <v>42</v>
      </c>
      <c r="F781">
        <v>38660</v>
      </c>
      <c r="G781">
        <v>2178</v>
      </c>
      <c r="H781">
        <v>393.04</v>
      </c>
      <c r="I781">
        <v>140</v>
      </c>
      <c r="J781" t="s">
        <v>47</v>
      </c>
      <c r="K781" t="s">
        <v>40</v>
      </c>
    </row>
    <row r="782" spans="1:11" x14ac:dyDescent="0.2">
      <c r="A782" s="1">
        <v>46109</v>
      </c>
      <c r="B782" t="s">
        <v>44</v>
      </c>
      <c r="C782" t="s">
        <v>48</v>
      </c>
      <c r="D782" t="s">
        <v>49</v>
      </c>
      <c r="E782" t="s">
        <v>50</v>
      </c>
      <c r="F782">
        <v>23010</v>
      </c>
      <c r="G782">
        <v>1649</v>
      </c>
      <c r="H782">
        <v>457.89</v>
      </c>
      <c r="I782">
        <v>131</v>
      </c>
      <c r="J782" t="s">
        <v>51</v>
      </c>
      <c r="K782" t="s">
        <v>40</v>
      </c>
    </row>
    <row r="783" spans="1:11" x14ac:dyDescent="0.2">
      <c r="A783" s="1">
        <v>46109</v>
      </c>
      <c r="B783" t="s">
        <v>52</v>
      </c>
      <c r="C783" t="s">
        <v>53</v>
      </c>
      <c r="D783" t="s">
        <v>54</v>
      </c>
      <c r="E783" t="s">
        <v>54</v>
      </c>
      <c r="F783">
        <v>208964</v>
      </c>
      <c r="G783">
        <v>2828</v>
      </c>
      <c r="H783">
        <v>640.32000000000005</v>
      </c>
      <c r="I783">
        <v>226</v>
      </c>
      <c r="J783" t="s">
        <v>54</v>
      </c>
      <c r="K783" t="s">
        <v>40</v>
      </c>
    </row>
    <row r="784" spans="1:11" x14ac:dyDescent="0.2">
      <c r="A784" s="1">
        <v>46109</v>
      </c>
      <c r="B784" t="s">
        <v>52</v>
      </c>
      <c r="C784" t="s">
        <v>55</v>
      </c>
      <c r="D784" t="s">
        <v>54</v>
      </c>
      <c r="E784" t="s">
        <v>54</v>
      </c>
      <c r="F784">
        <v>152460</v>
      </c>
      <c r="G784">
        <v>1887</v>
      </c>
      <c r="H784">
        <v>376.21</v>
      </c>
      <c r="I784">
        <v>163</v>
      </c>
      <c r="J784" t="s">
        <v>54</v>
      </c>
      <c r="K784" t="s">
        <v>40</v>
      </c>
    </row>
    <row r="785" spans="1:11" x14ac:dyDescent="0.2">
      <c r="A785" s="1">
        <v>46109</v>
      </c>
      <c r="B785" t="s">
        <v>56</v>
      </c>
      <c r="C785" t="s">
        <v>57</v>
      </c>
      <c r="D785" t="s">
        <v>58</v>
      </c>
      <c r="E785" t="s">
        <v>42</v>
      </c>
      <c r="F785">
        <v>53418</v>
      </c>
      <c r="G785">
        <v>3201</v>
      </c>
      <c r="H785">
        <v>627.32000000000005</v>
      </c>
      <c r="I785">
        <v>294</v>
      </c>
      <c r="J785" t="s">
        <v>43</v>
      </c>
      <c r="K785" t="s">
        <v>40</v>
      </c>
    </row>
    <row r="786" spans="1:11" x14ac:dyDescent="0.2">
      <c r="A786" s="1">
        <v>46109</v>
      </c>
      <c r="B786" t="s">
        <v>56</v>
      </c>
      <c r="C786" t="s">
        <v>57</v>
      </c>
      <c r="D786" t="s">
        <v>59</v>
      </c>
      <c r="E786" t="s">
        <v>38</v>
      </c>
      <c r="F786">
        <v>17602</v>
      </c>
      <c r="G786">
        <v>1117</v>
      </c>
      <c r="H786">
        <v>232.9</v>
      </c>
      <c r="I786">
        <v>80</v>
      </c>
      <c r="J786" t="s">
        <v>43</v>
      </c>
      <c r="K786" t="s">
        <v>40</v>
      </c>
    </row>
    <row r="787" spans="1:11" x14ac:dyDescent="0.2">
      <c r="A787" s="1">
        <v>46109</v>
      </c>
      <c r="B787" t="s">
        <v>67</v>
      </c>
      <c r="C787" t="s">
        <v>68</v>
      </c>
      <c r="D787" t="s">
        <v>69</v>
      </c>
      <c r="E787" t="s">
        <v>42</v>
      </c>
      <c r="F787">
        <v>41480</v>
      </c>
      <c r="G787">
        <v>2605</v>
      </c>
      <c r="H787">
        <v>700.77</v>
      </c>
      <c r="I787">
        <v>190</v>
      </c>
      <c r="J787" t="s">
        <v>43</v>
      </c>
      <c r="K787" t="s">
        <v>40</v>
      </c>
    </row>
    <row r="788" spans="1:11" x14ac:dyDescent="0.2">
      <c r="A788" s="1">
        <v>46109</v>
      </c>
      <c r="B788" t="s">
        <v>67</v>
      </c>
      <c r="C788" t="s">
        <v>68</v>
      </c>
      <c r="D788" t="s">
        <v>70</v>
      </c>
      <c r="E788" t="s">
        <v>38</v>
      </c>
      <c r="F788">
        <v>21895</v>
      </c>
      <c r="G788">
        <v>1440</v>
      </c>
      <c r="H788">
        <v>392.38</v>
      </c>
      <c r="I788">
        <v>89</v>
      </c>
      <c r="J788" t="s">
        <v>43</v>
      </c>
      <c r="K788" t="s">
        <v>40</v>
      </c>
    </row>
    <row r="789" spans="1:11" x14ac:dyDescent="0.2">
      <c r="A789" s="1">
        <v>46110</v>
      </c>
      <c r="B789" t="s">
        <v>35</v>
      </c>
      <c r="C789" t="s">
        <v>36</v>
      </c>
      <c r="D789" t="s">
        <v>37</v>
      </c>
      <c r="E789" t="s">
        <v>38</v>
      </c>
      <c r="F789">
        <v>15475</v>
      </c>
      <c r="G789">
        <v>922</v>
      </c>
      <c r="H789">
        <v>176.66</v>
      </c>
      <c r="I789">
        <v>83</v>
      </c>
      <c r="J789" t="s">
        <v>39</v>
      </c>
      <c r="K789" t="s">
        <v>40</v>
      </c>
    </row>
    <row r="790" spans="1:11" x14ac:dyDescent="0.2">
      <c r="A790" s="1">
        <v>46110</v>
      </c>
      <c r="B790" t="s">
        <v>35</v>
      </c>
      <c r="C790" t="s">
        <v>36</v>
      </c>
      <c r="D790" t="s">
        <v>41</v>
      </c>
      <c r="E790" t="s">
        <v>42</v>
      </c>
      <c r="F790">
        <v>50896</v>
      </c>
      <c r="G790">
        <v>3167</v>
      </c>
      <c r="H790">
        <v>673.3</v>
      </c>
      <c r="I790">
        <v>199</v>
      </c>
      <c r="J790" t="s">
        <v>43</v>
      </c>
      <c r="K790" t="s">
        <v>40</v>
      </c>
    </row>
    <row r="791" spans="1:11" x14ac:dyDescent="0.2">
      <c r="A791" s="1">
        <v>46110</v>
      </c>
      <c r="B791" t="s">
        <v>44</v>
      </c>
      <c r="C791" t="s">
        <v>45</v>
      </c>
      <c r="D791" t="s">
        <v>46</v>
      </c>
      <c r="E791" t="s">
        <v>42</v>
      </c>
      <c r="F791">
        <v>40747</v>
      </c>
      <c r="G791">
        <v>2180</v>
      </c>
      <c r="H791">
        <v>416.41</v>
      </c>
      <c r="I791">
        <v>139</v>
      </c>
      <c r="J791" t="s">
        <v>47</v>
      </c>
      <c r="K791" t="s">
        <v>40</v>
      </c>
    </row>
    <row r="792" spans="1:11" x14ac:dyDescent="0.2">
      <c r="A792" s="1">
        <v>46110</v>
      </c>
      <c r="B792" t="s">
        <v>44</v>
      </c>
      <c r="C792" t="s">
        <v>48</v>
      </c>
      <c r="D792" t="s">
        <v>49</v>
      </c>
      <c r="E792" t="s">
        <v>50</v>
      </c>
      <c r="F792">
        <v>33200</v>
      </c>
      <c r="G792">
        <v>2181</v>
      </c>
      <c r="H792">
        <v>582.29999999999995</v>
      </c>
      <c r="I792">
        <v>152</v>
      </c>
      <c r="J792" t="s">
        <v>51</v>
      </c>
      <c r="K792" t="s">
        <v>40</v>
      </c>
    </row>
    <row r="793" spans="1:11" x14ac:dyDescent="0.2">
      <c r="A793" s="1">
        <v>46110</v>
      </c>
      <c r="B793" t="s">
        <v>52</v>
      </c>
      <c r="C793" t="s">
        <v>53</v>
      </c>
      <c r="D793" t="s">
        <v>54</v>
      </c>
      <c r="E793" t="s">
        <v>54</v>
      </c>
      <c r="F793">
        <v>154598</v>
      </c>
      <c r="G793">
        <v>1757</v>
      </c>
      <c r="H793">
        <v>419.06</v>
      </c>
      <c r="I793">
        <v>100</v>
      </c>
      <c r="J793" t="s">
        <v>54</v>
      </c>
      <c r="K793" t="s">
        <v>40</v>
      </c>
    </row>
    <row r="794" spans="1:11" x14ac:dyDescent="0.2">
      <c r="A794" s="1">
        <v>46110</v>
      </c>
      <c r="B794" t="s">
        <v>52</v>
      </c>
      <c r="C794" t="s">
        <v>55</v>
      </c>
      <c r="D794" t="s">
        <v>54</v>
      </c>
      <c r="E794" t="s">
        <v>54</v>
      </c>
      <c r="F794">
        <v>191267</v>
      </c>
      <c r="G794">
        <v>2242</v>
      </c>
      <c r="H794">
        <v>611.59</v>
      </c>
      <c r="I794">
        <v>164</v>
      </c>
      <c r="J794" t="s">
        <v>54</v>
      </c>
      <c r="K794" t="s">
        <v>40</v>
      </c>
    </row>
    <row r="795" spans="1:11" x14ac:dyDescent="0.2">
      <c r="A795" s="1">
        <v>46110</v>
      </c>
      <c r="B795" t="s">
        <v>56</v>
      </c>
      <c r="C795" t="s">
        <v>57</v>
      </c>
      <c r="D795" t="s">
        <v>58</v>
      </c>
      <c r="E795" t="s">
        <v>42</v>
      </c>
      <c r="F795">
        <v>45999</v>
      </c>
      <c r="G795">
        <v>2620</v>
      </c>
      <c r="H795">
        <v>591.53</v>
      </c>
      <c r="I795">
        <v>164</v>
      </c>
      <c r="J795" t="s">
        <v>43</v>
      </c>
      <c r="K795" t="s">
        <v>40</v>
      </c>
    </row>
    <row r="796" spans="1:11" x14ac:dyDescent="0.2">
      <c r="A796" s="1">
        <v>46110</v>
      </c>
      <c r="B796" t="s">
        <v>56</v>
      </c>
      <c r="C796" t="s">
        <v>57</v>
      </c>
      <c r="D796" t="s">
        <v>59</v>
      </c>
      <c r="E796" t="s">
        <v>38</v>
      </c>
      <c r="F796">
        <v>43550</v>
      </c>
      <c r="G796">
        <v>3110</v>
      </c>
      <c r="H796">
        <v>622.69000000000005</v>
      </c>
      <c r="I796">
        <v>186</v>
      </c>
      <c r="J796" t="s">
        <v>43</v>
      </c>
      <c r="K796" t="s">
        <v>40</v>
      </c>
    </row>
    <row r="797" spans="1:11" x14ac:dyDescent="0.2">
      <c r="A797" s="1">
        <v>46110</v>
      </c>
      <c r="B797" t="s">
        <v>67</v>
      </c>
      <c r="C797" t="s">
        <v>68</v>
      </c>
      <c r="D797" t="s">
        <v>69</v>
      </c>
      <c r="E797" t="s">
        <v>42</v>
      </c>
      <c r="F797">
        <v>18081</v>
      </c>
      <c r="G797">
        <v>989</v>
      </c>
      <c r="H797">
        <v>189.01</v>
      </c>
      <c r="I797">
        <v>72</v>
      </c>
      <c r="J797" t="s">
        <v>43</v>
      </c>
      <c r="K797" t="s">
        <v>40</v>
      </c>
    </row>
    <row r="798" spans="1:11" x14ac:dyDescent="0.2">
      <c r="A798" s="1">
        <v>46110</v>
      </c>
      <c r="B798" t="s">
        <v>67</v>
      </c>
      <c r="C798" t="s">
        <v>68</v>
      </c>
      <c r="D798" t="s">
        <v>70</v>
      </c>
      <c r="E798" t="s">
        <v>38</v>
      </c>
      <c r="F798">
        <v>48630</v>
      </c>
      <c r="G798">
        <v>2534</v>
      </c>
      <c r="H798">
        <v>543.17999999999995</v>
      </c>
      <c r="I798">
        <v>229</v>
      </c>
      <c r="J798" t="s">
        <v>43</v>
      </c>
      <c r="K798" t="s">
        <v>40</v>
      </c>
    </row>
    <row r="799" spans="1:11" x14ac:dyDescent="0.2">
      <c r="A799" s="1">
        <v>46111</v>
      </c>
      <c r="B799" t="s">
        <v>35</v>
      </c>
      <c r="C799" t="s">
        <v>36</v>
      </c>
      <c r="D799" t="s">
        <v>37</v>
      </c>
      <c r="E799" t="s">
        <v>38</v>
      </c>
      <c r="F799">
        <v>26357</v>
      </c>
      <c r="G799">
        <v>1764</v>
      </c>
      <c r="H799">
        <v>430.06</v>
      </c>
      <c r="I799">
        <v>140</v>
      </c>
      <c r="J799" t="s">
        <v>39</v>
      </c>
      <c r="K799" t="s">
        <v>40</v>
      </c>
    </row>
    <row r="800" spans="1:11" x14ac:dyDescent="0.2">
      <c r="A800" s="1">
        <v>46111</v>
      </c>
      <c r="B800" t="s">
        <v>35</v>
      </c>
      <c r="C800" t="s">
        <v>36</v>
      </c>
      <c r="D800" t="s">
        <v>41</v>
      </c>
      <c r="E800" t="s">
        <v>42</v>
      </c>
      <c r="F800">
        <v>27476</v>
      </c>
      <c r="G800">
        <v>1700</v>
      </c>
      <c r="H800">
        <v>399.97</v>
      </c>
      <c r="I800">
        <v>109</v>
      </c>
      <c r="J800" t="s">
        <v>43</v>
      </c>
      <c r="K800" t="s">
        <v>40</v>
      </c>
    </row>
    <row r="801" spans="1:11" x14ac:dyDescent="0.2">
      <c r="A801" s="1">
        <v>46111</v>
      </c>
      <c r="B801" t="s">
        <v>44</v>
      </c>
      <c r="C801" t="s">
        <v>45</v>
      </c>
      <c r="D801" t="s">
        <v>46</v>
      </c>
      <c r="E801" t="s">
        <v>42</v>
      </c>
      <c r="F801">
        <v>48074</v>
      </c>
      <c r="G801">
        <v>3296</v>
      </c>
      <c r="H801">
        <v>754.52</v>
      </c>
      <c r="I801">
        <v>312</v>
      </c>
      <c r="J801" t="s">
        <v>47</v>
      </c>
      <c r="K801" t="s">
        <v>40</v>
      </c>
    </row>
    <row r="802" spans="1:11" x14ac:dyDescent="0.2">
      <c r="A802" s="1">
        <v>46111</v>
      </c>
      <c r="B802" t="s">
        <v>44</v>
      </c>
      <c r="C802" t="s">
        <v>48</v>
      </c>
      <c r="D802" t="s">
        <v>49</v>
      </c>
      <c r="E802" t="s">
        <v>50</v>
      </c>
      <c r="F802">
        <v>53339</v>
      </c>
      <c r="G802">
        <v>3631</v>
      </c>
      <c r="H802">
        <v>754.95</v>
      </c>
      <c r="I802">
        <v>305</v>
      </c>
      <c r="J802" t="s">
        <v>51</v>
      </c>
      <c r="K802" t="s">
        <v>40</v>
      </c>
    </row>
    <row r="803" spans="1:11" x14ac:dyDescent="0.2">
      <c r="A803" s="1">
        <v>46111</v>
      </c>
      <c r="B803" t="s">
        <v>52</v>
      </c>
      <c r="C803" t="s">
        <v>53</v>
      </c>
      <c r="D803" t="s">
        <v>54</v>
      </c>
      <c r="E803" t="s">
        <v>54</v>
      </c>
      <c r="F803">
        <v>159027</v>
      </c>
      <c r="G803">
        <v>1946</v>
      </c>
      <c r="H803">
        <v>434.78</v>
      </c>
      <c r="I803">
        <v>124</v>
      </c>
      <c r="J803" t="s">
        <v>54</v>
      </c>
      <c r="K803" t="s">
        <v>40</v>
      </c>
    </row>
    <row r="804" spans="1:11" x14ac:dyDescent="0.2">
      <c r="A804" s="1">
        <v>46111</v>
      </c>
      <c r="B804" t="s">
        <v>52</v>
      </c>
      <c r="C804" t="s">
        <v>55</v>
      </c>
      <c r="D804" t="s">
        <v>54</v>
      </c>
      <c r="E804" t="s">
        <v>54</v>
      </c>
      <c r="F804">
        <v>217833</v>
      </c>
      <c r="G804">
        <v>3426</v>
      </c>
      <c r="H804">
        <v>929.73</v>
      </c>
      <c r="I804">
        <v>311</v>
      </c>
      <c r="J804" t="s">
        <v>54</v>
      </c>
      <c r="K804" t="s">
        <v>40</v>
      </c>
    </row>
    <row r="805" spans="1:11" x14ac:dyDescent="0.2">
      <c r="A805" s="1">
        <v>46111</v>
      </c>
      <c r="B805" t="s">
        <v>56</v>
      </c>
      <c r="C805" t="s">
        <v>57</v>
      </c>
      <c r="D805" t="s">
        <v>58</v>
      </c>
      <c r="E805" t="s">
        <v>42</v>
      </c>
      <c r="F805">
        <v>48592</v>
      </c>
      <c r="G805">
        <v>3475</v>
      </c>
      <c r="H805">
        <v>639.41999999999996</v>
      </c>
      <c r="I805">
        <v>256</v>
      </c>
      <c r="J805" t="s">
        <v>43</v>
      </c>
      <c r="K805" t="s">
        <v>40</v>
      </c>
    </row>
    <row r="806" spans="1:11" x14ac:dyDescent="0.2">
      <c r="A806" s="1">
        <v>46111</v>
      </c>
      <c r="B806" t="s">
        <v>56</v>
      </c>
      <c r="C806" t="s">
        <v>57</v>
      </c>
      <c r="D806" t="s">
        <v>59</v>
      </c>
      <c r="E806" t="s">
        <v>38</v>
      </c>
      <c r="F806">
        <v>55957</v>
      </c>
      <c r="G806">
        <v>2731</v>
      </c>
      <c r="H806">
        <v>636.63</v>
      </c>
      <c r="I806">
        <v>202</v>
      </c>
      <c r="J806" t="s">
        <v>43</v>
      </c>
      <c r="K806" t="s">
        <v>40</v>
      </c>
    </row>
    <row r="807" spans="1:11" x14ac:dyDescent="0.2">
      <c r="A807" s="1">
        <v>46111</v>
      </c>
      <c r="B807" t="s">
        <v>67</v>
      </c>
      <c r="C807" t="s">
        <v>68</v>
      </c>
      <c r="D807" t="s">
        <v>69</v>
      </c>
      <c r="E807" t="s">
        <v>42</v>
      </c>
      <c r="F807">
        <v>21348</v>
      </c>
      <c r="G807">
        <v>1256</v>
      </c>
      <c r="H807">
        <v>256.29000000000002</v>
      </c>
      <c r="I807">
        <v>97</v>
      </c>
      <c r="J807" t="s">
        <v>43</v>
      </c>
      <c r="K807" t="s">
        <v>40</v>
      </c>
    </row>
    <row r="808" spans="1:11" x14ac:dyDescent="0.2">
      <c r="A808" s="1">
        <v>46111</v>
      </c>
      <c r="B808" t="s">
        <v>67</v>
      </c>
      <c r="C808" t="s">
        <v>68</v>
      </c>
      <c r="D808" t="s">
        <v>70</v>
      </c>
      <c r="E808" t="s">
        <v>38</v>
      </c>
      <c r="F808">
        <v>14058</v>
      </c>
      <c r="G808">
        <v>908</v>
      </c>
      <c r="H808">
        <v>200.36</v>
      </c>
      <c r="I808">
        <v>57</v>
      </c>
      <c r="J808" t="s">
        <v>43</v>
      </c>
      <c r="K808" t="s">
        <v>40</v>
      </c>
    </row>
    <row r="809" spans="1:11" x14ac:dyDescent="0.2">
      <c r="A809" s="1">
        <v>46112</v>
      </c>
      <c r="B809" t="s">
        <v>35</v>
      </c>
      <c r="C809" t="s">
        <v>36</v>
      </c>
      <c r="D809" t="s">
        <v>37</v>
      </c>
      <c r="E809" t="s">
        <v>38</v>
      </c>
      <c r="F809">
        <v>43534</v>
      </c>
      <c r="G809">
        <v>2398</v>
      </c>
      <c r="H809">
        <v>586.94000000000005</v>
      </c>
      <c r="I809">
        <v>140</v>
      </c>
      <c r="J809" t="s">
        <v>39</v>
      </c>
      <c r="K809" t="s">
        <v>40</v>
      </c>
    </row>
    <row r="810" spans="1:11" x14ac:dyDescent="0.2">
      <c r="A810" s="1">
        <v>46112</v>
      </c>
      <c r="B810" t="s">
        <v>35</v>
      </c>
      <c r="C810" t="s">
        <v>36</v>
      </c>
      <c r="D810" t="s">
        <v>41</v>
      </c>
      <c r="E810" t="s">
        <v>42</v>
      </c>
      <c r="F810">
        <v>53875</v>
      </c>
      <c r="G810">
        <v>3451</v>
      </c>
      <c r="H810">
        <v>677.02</v>
      </c>
      <c r="I810">
        <v>253</v>
      </c>
      <c r="J810" t="s">
        <v>43</v>
      </c>
      <c r="K810" t="s">
        <v>40</v>
      </c>
    </row>
    <row r="811" spans="1:11" x14ac:dyDescent="0.2">
      <c r="A811" s="1">
        <v>46112</v>
      </c>
      <c r="B811" t="s">
        <v>44</v>
      </c>
      <c r="C811" t="s">
        <v>45</v>
      </c>
      <c r="D811" t="s">
        <v>46</v>
      </c>
      <c r="E811" t="s">
        <v>42</v>
      </c>
      <c r="F811">
        <v>15078</v>
      </c>
      <c r="G811">
        <v>1077</v>
      </c>
      <c r="H811">
        <v>243.81</v>
      </c>
      <c r="I811">
        <v>65</v>
      </c>
      <c r="J811" t="s">
        <v>47</v>
      </c>
      <c r="K811" t="s">
        <v>40</v>
      </c>
    </row>
    <row r="812" spans="1:11" x14ac:dyDescent="0.2">
      <c r="A812" s="1">
        <v>46112</v>
      </c>
      <c r="B812" t="s">
        <v>44</v>
      </c>
      <c r="C812" t="s">
        <v>48</v>
      </c>
      <c r="D812" t="s">
        <v>49</v>
      </c>
      <c r="E812" t="s">
        <v>50</v>
      </c>
      <c r="F812">
        <v>47534</v>
      </c>
      <c r="G812">
        <v>2492</v>
      </c>
      <c r="H812">
        <v>665.75</v>
      </c>
      <c r="I812">
        <v>199</v>
      </c>
      <c r="J812" t="s">
        <v>51</v>
      </c>
      <c r="K812" t="s">
        <v>40</v>
      </c>
    </row>
    <row r="813" spans="1:11" x14ac:dyDescent="0.2">
      <c r="A813" s="1">
        <v>46112</v>
      </c>
      <c r="B813" t="s">
        <v>52</v>
      </c>
      <c r="C813" t="s">
        <v>53</v>
      </c>
      <c r="D813" t="s">
        <v>54</v>
      </c>
      <c r="E813" t="s">
        <v>54</v>
      </c>
      <c r="F813">
        <v>117231</v>
      </c>
      <c r="G813">
        <v>1793</v>
      </c>
      <c r="H813">
        <v>335.42</v>
      </c>
      <c r="I813">
        <v>162</v>
      </c>
      <c r="J813" t="s">
        <v>54</v>
      </c>
      <c r="K813" t="s">
        <v>40</v>
      </c>
    </row>
    <row r="814" spans="1:11" x14ac:dyDescent="0.2">
      <c r="A814" s="1">
        <v>46112</v>
      </c>
      <c r="B814" t="s">
        <v>52</v>
      </c>
      <c r="C814" t="s">
        <v>55</v>
      </c>
      <c r="D814" t="s">
        <v>54</v>
      </c>
      <c r="E814" t="s">
        <v>54</v>
      </c>
      <c r="F814">
        <v>173724</v>
      </c>
      <c r="G814">
        <v>2372</v>
      </c>
      <c r="H814">
        <v>497.31</v>
      </c>
      <c r="I814">
        <v>201</v>
      </c>
      <c r="J814" t="s">
        <v>54</v>
      </c>
      <c r="K814" t="s">
        <v>40</v>
      </c>
    </row>
    <row r="815" spans="1:11" x14ac:dyDescent="0.2">
      <c r="A815" s="1">
        <v>46112</v>
      </c>
      <c r="B815" t="s">
        <v>56</v>
      </c>
      <c r="C815" t="s">
        <v>57</v>
      </c>
      <c r="D815" t="s">
        <v>58</v>
      </c>
      <c r="E815" t="s">
        <v>42</v>
      </c>
      <c r="F815">
        <v>30647</v>
      </c>
      <c r="G815">
        <v>2050</v>
      </c>
      <c r="H815">
        <v>385.6</v>
      </c>
      <c r="I815">
        <v>184</v>
      </c>
      <c r="J815" t="s">
        <v>43</v>
      </c>
      <c r="K815" t="s">
        <v>40</v>
      </c>
    </row>
    <row r="816" spans="1:11" x14ac:dyDescent="0.2">
      <c r="A816" s="1">
        <v>46112</v>
      </c>
      <c r="B816" t="s">
        <v>56</v>
      </c>
      <c r="C816" t="s">
        <v>57</v>
      </c>
      <c r="D816" t="s">
        <v>59</v>
      </c>
      <c r="E816" t="s">
        <v>38</v>
      </c>
      <c r="F816">
        <v>17669</v>
      </c>
      <c r="G816">
        <v>1066</v>
      </c>
      <c r="H816">
        <v>288.89</v>
      </c>
      <c r="I816">
        <v>74</v>
      </c>
      <c r="J816" t="s">
        <v>43</v>
      </c>
      <c r="K816" t="s">
        <v>40</v>
      </c>
    </row>
    <row r="817" spans="1:11" x14ac:dyDescent="0.2">
      <c r="A817" s="1">
        <v>46112</v>
      </c>
      <c r="B817" t="s">
        <v>67</v>
      </c>
      <c r="C817" t="s">
        <v>68</v>
      </c>
      <c r="D817" t="s">
        <v>69</v>
      </c>
      <c r="E817" t="s">
        <v>42</v>
      </c>
      <c r="F817">
        <v>17392</v>
      </c>
      <c r="G817">
        <v>881</v>
      </c>
      <c r="H817">
        <v>190.79</v>
      </c>
      <c r="I817">
        <v>70</v>
      </c>
      <c r="J817" t="s">
        <v>43</v>
      </c>
      <c r="K817" t="s">
        <v>40</v>
      </c>
    </row>
    <row r="818" spans="1:11" x14ac:dyDescent="0.2">
      <c r="A818" s="1">
        <v>46112</v>
      </c>
      <c r="B818" t="s">
        <v>67</v>
      </c>
      <c r="C818" t="s">
        <v>68</v>
      </c>
      <c r="D818" t="s">
        <v>70</v>
      </c>
      <c r="E818" t="s">
        <v>38</v>
      </c>
      <c r="F818">
        <v>44145</v>
      </c>
      <c r="G818">
        <v>2507</v>
      </c>
      <c r="H818">
        <v>613.76</v>
      </c>
      <c r="I818">
        <v>208</v>
      </c>
      <c r="J818" t="s">
        <v>43</v>
      </c>
      <c r="K818" t="s">
        <v>40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D76B9-6578-FC45-A741-D35FB850B564}">
  <dimension ref="A1:J541"/>
  <sheetViews>
    <sheetView workbookViewId="0">
      <selection activeCell="E16" sqref="E16"/>
    </sheetView>
  </sheetViews>
  <sheetFormatPr baseColWidth="10" defaultRowHeight="16" x14ac:dyDescent="0.2"/>
  <cols>
    <col min="1" max="1" width="10.5" bestFit="1" customWidth="1"/>
    <col min="2" max="2" width="29" bestFit="1" customWidth="1"/>
    <col min="3" max="3" width="17.33203125" bestFit="1" customWidth="1"/>
    <col min="4" max="4" width="12.1640625" bestFit="1" customWidth="1"/>
    <col min="5" max="5" width="14" bestFit="1" customWidth="1"/>
    <col min="6" max="6" width="8.6640625" bestFit="1" customWidth="1"/>
    <col min="7" max="7" width="12.5" bestFit="1" customWidth="1"/>
    <col min="8" max="8" width="8.33203125" bestFit="1" customWidth="1"/>
    <col min="9" max="9" width="13.6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22</v>
      </c>
      <c r="I1" t="s">
        <v>8</v>
      </c>
      <c r="J1" t="s">
        <v>9</v>
      </c>
    </row>
    <row r="2" spans="1:10" x14ac:dyDescent="0.2">
      <c r="A2" s="1">
        <v>46023</v>
      </c>
      <c r="B2" t="s">
        <v>10</v>
      </c>
      <c r="C2" t="s">
        <v>26</v>
      </c>
      <c r="D2" t="s">
        <v>71</v>
      </c>
      <c r="E2">
        <v>56832</v>
      </c>
      <c r="F2">
        <v>1701</v>
      </c>
      <c r="G2">
        <v>340.36</v>
      </c>
      <c r="H2">
        <v>43985</v>
      </c>
      <c r="I2">
        <v>80</v>
      </c>
      <c r="J2" t="s">
        <v>72</v>
      </c>
    </row>
    <row r="3" spans="1:10" x14ac:dyDescent="0.2">
      <c r="A3" s="1">
        <v>46023</v>
      </c>
      <c r="B3" t="s">
        <v>10</v>
      </c>
      <c r="C3" t="s">
        <v>73</v>
      </c>
      <c r="D3" t="s">
        <v>74</v>
      </c>
      <c r="E3">
        <v>59548</v>
      </c>
      <c r="F3">
        <v>1934</v>
      </c>
      <c r="G3">
        <v>452.32</v>
      </c>
      <c r="H3">
        <v>45873</v>
      </c>
      <c r="I3">
        <v>78</v>
      </c>
      <c r="J3" t="s">
        <v>72</v>
      </c>
    </row>
    <row r="4" spans="1:10" x14ac:dyDescent="0.2">
      <c r="A4" s="1">
        <v>46023</v>
      </c>
      <c r="B4" t="s">
        <v>15</v>
      </c>
      <c r="C4" t="s">
        <v>16</v>
      </c>
      <c r="D4" t="s">
        <v>75</v>
      </c>
      <c r="E4">
        <v>38305</v>
      </c>
      <c r="F4">
        <v>1272</v>
      </c>
      <c r="G4">
        <v>263.49</v>
      </c>
      <c r="H4">
        <v>29500</v>
      </c>
      <c r="I4">
        <v>67</v>
      </c>
      <c r="J4" t="s">
        <v>72</v>
      </c>
    </row>
    <row r="5" spans="1:10" x14ac:dyDescent="0.2">
      <c r="A5" s="1">
        <v>46023</v>
      </c>
      <c r="B5" t="s">
        <v>15</v>
      </c>
      <c r="C5" t="s">
        <v>76</v>
      </c>
      <c r="D5" t="s">
        <v>74</v>
      </c>
      <c r="E5">
        <v>99717</v>
      </c>
      <c r="F5">
        <v>3739</v>
      </c>
      <c r="G5">
        <v>792.56</v>
      </c>
      <c r="H5">
        <v>74710</v>
      </c>
      <c r="I5">
        <v>174</v>
      </c>
      <c r="J5" t="s">
        <v>72</v>
      </c>
    </row>
    <row r="6" spans="1:10" x14ac:dyDescent="0.2">
      <c r="A6" s="1">
        <v>46023</v>
      </c>
      <c r="B6" t="s">
        <v>18</v>
      </c>
      <c r="C6" t="s">
        <v>26</v>
      </c>
      <c r="D6" t="s">
        <v>12</v>
      </c>
      <c r="E6">
        <v>54687</v>
      </c>
      <c r="F6">
        <v>2214</v>
      </c>
      <c r="G6">
        <v>459.34</v>
      </c>
      <c r="H6">
        <v>39813</v>
      </c>
      <c r="I6">
        <v>121</v>
      </c>
      <c r="J6" t="s">
        <v>72</v>
      </c>
    </row>
    <row r="7" spans="1:10" x14ac:dyDescent="0.2">
      <c r="A7" s="1">
        <v>46023</v>
      </c>
      <c r="B7" t="s">
        <v>18</v>
      </c>
      <c r="C7" t="s">
        <v>73</v>
      </c>
      <c r="D7" t="s">
        <v>74</v>
      </c>
      <c r="E7">
        <v>40085</v>
      </c>
      <c r="F7">
        <v>1183</v>
      </c>
      <c r="G7">
        <v>232.53</v>
      </c>
      <c r="H7">
        <v>31655</v>
      </c>
      <c r="I7">
        <v>50</v>
      </c>
      <c r="J7" t="s">
        <v>72</v>
      </c>
    </row>
    <row r="8" spans="1:10" x14ac:dyDescent="0.2">
      <c r="A8" s="1">
        <v>46024</v>
      </c>
      <c r="B8" t="s">
        <v>10</v>
      </c>
      <c r="C8" t="s">
        <v>26</v>
      </c>
      <c r="D8" t="s">
        <v>74</v>
      </c>
      <c r="E8">
        <v>98247</v>
      </c>
      <c r="F8">
        <v>4060</v>
      </c>
      <c r="G8">
        <v>736.33</v>
      </c>
      <c r="H8">
        <v>74830</v>
      </c>
      <c r="I8">
        <v>196</v>
      </c>
      <c r="J8" t="s">
        <v>72</v>
      </c>
    </row>
    <row r="9" spans="1:10" x14ac:dyDescent="0.2">
      <c r="A9" s="1">
        <v>46024</v>
      </c>
      <c r="B9" t="s">
        <v>10</v>
      </c>
      <c r="C9" t="s">
        <v>73</v>
      </c>
      <c r="D9" t="s">
        <v>74</v>
      </c>
      <c r="E9">
        <v>92115</v>
      </c>
      <c r="F9">
        <v>3026</v>
      </c>
      <c r="G9">
        <v>625.27</v>
      </c>
      <c r="H9">
        <v>72261</v>
      </c>
      <c r="I9">
        <v>111</v>
      </c>
      <c r="J9" t="s">
        <v>72</v>
      </c>
    </row>
    <row r="10" spans="1:10" x14ac:dyDescent="0.2">
      <c r="A10" s="1">
        <v>46024</v>
      </c>
      <c r="B10" t="s">
        <v>15</v>
      </c>
      <c r="C10" t="s">
        <v>16</v>
      </c>
      <c r="D10" t="s">
        <v>75</v>
      </c>
      <c r="E10">
        <v>32888</v>
      </c>
      <c r="F10">
        <v>1322</v>
      </c>
      <c r="G10">
        <v>256.39</v>
      </c>
      <c r="H10">
        <v>26795</v>
      </c>
      <c r="I10">
        <v>62</v>
      </c>
      <c r="J10" t="s">
        <v>72</v>
      </c>
    </row>
    <row r="11" spans="1:10" x14ac:dyDescent="0.2">
      <c r="A11" s="1">
        <v>46024</v>
      </c>
      <c r="B11" t="s">
        <v>15</v>
      </c>
      <c r="C11" t="s">
        <v>76</v>
      </c>
      <c r="D11" t="s">
        <v>74</v>
      </c>
      <c r="E11">
        <v>105851</v>
      </c>
      <c r="F11">
        <v>3471</v>
      </c>
      <c r="G11">
        <v>759.33</v>
      </c>
      <c r="H11">
        <v>79666</v>
      </c>
      <c r="I11">
        <v>158</v>
      </c>
      <c r="J11" t="s">
        <v>72</v>
      </c>
    </row>
    <row r="12" spans="1:10" x14ac:dyDescent="0.2">
      <c r="A12" s="1">
        <v>46024</v>
      </c>
      <c r="B12" t="s">
        <v>18</v>
      </c>
      <c r="C12" t="s">
        <v>26</v>
      </c>
      <c r="D12" t="s">
        <v>12</v>
      </c>
      <c r="E12">
        <v>90031</v>
      </c>
      <c r="F12">
        <v>2904</v>
      </c>
      <c r="G12">
        <v>545.71</v>
      </c>
      <c r="H12">
        <v>71928</v>
      </c>
      <c r="I12">
        <v>96</v>
      </c>
      <c r="J12" t="s">
        <v>72</v>
      </c>
    </row>
    <row r="13" spans="1:10" x14ac:dyDescent="0.2">
      <c r="A13" s="1">
        <v>46024</v>
      </c>
      <c r="B13" t="s">
        <v>18</v>
      </c>
      <c r="C13" t="s">
        <v>73</v>
      </c>
      <c r="D13" t="s">
        <v>74</v>
      </c>
      <c r="E13">
        <v>59724</v>
      </c>
      <c r="F13">
        <v>2077</v>
      </c>
      <c r="G13">
        <v>494.83</v>
      </c>
      <c r="H13">
        <v>47598</v>
      </c>
      <c r="I13">
        <v>61</v>
      </c>
      <c r="J13" t="s">
        <v>72</v>
      </c>
    </row>
    <row r="14" spans="1:10" x14ac:dyDescent="0.2">
      <c r="A14" s="1">
        <v>46025</v>
      </c>
      <c r="B14" t="s">
        <v>10</v>
      </c>
      <c r="C14" t="s">
        <v>26</v>
      </c>
      <c r="D14" t="s">
        <v>12</v>
      </c>
      <c r="E14">
        <v>94183</v>
      </c>
      <c r="F14">
        <v>3238</v>
      </c>
      <c r="G14">
        <v>615.16</v>
      </c>
      <c r="H14">
        <v>76515</v>
      </c>
      <c r="I14">
        <v>159</v>
      </c>
      <c r="J14" t="s">
        <v>72</v>
      </c>
    </row>
    <row r="15" spans="1:10" x14ac:dyDescent="0.2">
      <c r="A15" s="1">
        <v>46025</v>
      </c>
      <c r="B15" t="s">
        <v>10</v>
      </c>
      <c r="C15" t="s">
        <v>73</v>
      </c>
      <c r="D15" t="s">
        <v>71</v>
      </c>
      <c r="E15">
        <v>75447</v>
      </c>
      <c r="F15">
        <v>3140</v>
      </c>
      <c r="G15">
        <v>723.33</v>
      </c>
      <c r="H15">
        <v>59549</v>
      </c>
      <c r="I15">
        <v>150</v>
      </c>
      <c r="J15" t="s">
        <v>72</v>
      </c>
    </row>
    <row r="16" spans="1:10" x14ac:dyDescent="0.2">
      <c r="A16" s="1">
        <v>46025</v>
      </c>
      <c r="B16" t="s">
        <v>15</v>
      </c>
      <c r="C16" t="s">
        <v>16</v>
      </c>
      <c r="D16" t="s">
        <v>75</v>
      </c>
      <c r="E16">
        <v>71589</v>
      </c>
      <c r="F16">
        <v>2242</v>
      </c>
      <c r="G16">
        <v>409.1</v>
      </c>
      <c r="H16">
        <v>53810</v>
      </c>
      <c r="I16">
        <v>71</v>
      </c>
      <c r="J16" t="s">
        <v>72</v>
      </c>
    </row>
    <row r="17" spans="1:10" x14ac:dyDescent="0.2">
      <c r="A17" s="1">
        <v>46025</v>
      </c>
      <c r="B17" t="s">
        <v>15</v>
      </c>
      <c r="C17" t="s">
        <v>76</v>
      </c>
      <c r="D17" t="s">
        <v>74</v>
      </c>
      <c r="E17">
        <v>109834</v>
      </c>
      <c r="F17">
        <v>3359</v>
      </c>
      <c r="G17">
        <v>717.98</v>
      </c>
      <c r="H17">
        <v>79461</v>
      </c>
      <c r="I17">
        <v>125</v>
      </c>
      <c r="J17" t="s">
        <v>72</v>
      </c>
    </row>
    <row r="18" spans="1:10" x14ac:dyDescent="0.2">
      <c r="A18" s="1">
        <v>46025</v>
      </c>
      <c r="B18" t="s">
        <v>19</v>
      </c>
      <c r="C18" t="s">
        <v>26</v>
      </c>
      <c r="D18" t="s">
        <v>74</v>
      </c>
      <c r="E18">
        <v>69147</v>
      </c>
      <c r="F18">
        <v>2297</v>
      </c>
      <c r="G18">
        <v>487.86</v>
      </c>
      <c r="H18">
        <v>50910</v>
      </c>
      <c r="I18">
        <v>85</v>
      </c>
      <c r="J18" t="s">
        <v>72</v>
      </c>
    </row>
    <row r="19" spans="1:10" x14ac:dyDescent="0.2">
      <c r="A19" s="1">
        <v>46025</v>
      </c>
      <c r="B19" t="s">
        <v>19</v>
      </c>
      <c r="C19" t="s">
        <v>73</v>
      </c>
      <c r="D19" t="s">
        <v>12</v>
      </c>
      <c r="E19">
        <v>116236</v>
      </c>
      <c r="F19">
        <v>4769</v>
      </c>
      <c r="G19">
        <v>1078.32</v>
      </c>
      <c r="H19">
        <v>94706</v>
      </c>
      <c r="I19">
        <v>266</v>
      </c>
      <c r="J19" t="s">
        <v>72</v>
      </c>
    </row>
    <row r="20" spans="1:10" x14ac:dyDescent="0.2">
      <c r="A20" s="1">
        <v>46025</v>
      </c>
      <c r="B20" t="s">
        <v>18</v>
      </c>
      <c r="C20" t="s">
        <v>26</v>
      </c>
      <c r="D20" t="s">
        <v>12</v>
      </c>
      <c r="E20">
        <v>42786</v>
      </c>
      <c r="F20">
        <v>1779</v>
      </c>
      <c r="G20">
        <v>378.52</v>
      </c>
      <c r="H20">
        <v>32976</v>
      </c>
      <c r="I20">
        <v>84</v>
      </c>
      <c r="J20" t="s">
        <v>72</v>
      </c>
    </row>
    <row r="21" spans="1:10" x14ac:dyDescent="0.2">
      <c r="A21" s="1">
        <v>46025</v>
      </c>
      <c r="B21" t="s">
        <v>18</v>
      </c>
      <c r="C21" t="s">
        <v>73</v>
      </c>
      <c r="D21" t="s">
        <v>74</v>
      </c>
      <c r="E21">
        <v>128962</v>
      </c>
      <c r="F21">
        <v>5228</v>
      </c>
      <c r="G21">
        <v>1245.19</v>
      </c>
      <c r="H21">
        <v>102578</v>
      </c>
      <c r="I21">
        <v>302</v>
      </c>
      <c r="J21" t="s">
        <v>72</v>
      </c>
    </row>
    <row r="22" spans="1:10" x14ac:dyDescent="0.2">
      <c r="A22" s="1">
        <v>46026</v>
      </c>
      <c r="B22" t="s">
        <v>10</v>
      </c>
      <c r="C22" t="s">
        <v>26</v>
      </c>
      <c r="D22" t="s">
        <v>71</v>
      </c>
      <c r="E22">
        <v>68989</v>
      </c>
      <c r="F22">
        <v>2703</v>
      </c>
      <c r="G22">
        <v>604.70000000000005</v>
      </c>
      <c r="H22">
        <v>56034</v>
      </c>
      <c r="I22">
        <v>103</v>
      </c>
      <c r="J22" t="s">
        <v>72</v>
      </c>
    </row>
    <row r="23" spans="1:10" x14ac:dyDescent="0.2">
      <c r="A23" s="1">
        <v>46026</v>
      </c>
      <c r="B23" t="s">
        <v>10</v>
      </c>
      <c r="C23" t="s">
        <v>73</v>
      </c>
      <c r="D23" t="s">
        <v>74</v>
      </c>
      <c r="E23">
        <v>129893</v>
      </c>
      <c r="F23">
        <v>5273</v>
      </c>
      <c r="G23">
        <v>993.25</v>
      </c>
      <c r="H23">
        <v>100679</v>
      </c>
      <c r="I23">
        <v>196</v>
      </c>
      <c r="J23" t="s">
        <v>72</v>
      </c>
    </row>
    <row r="24" spans="1:10" x14ac:dyDescent="0.2">
      <c r="A24" s="1">
        <v>46026</v>
      </c>
      <c r="B24" t="s">
        <v>15</v>
      </c>
      <c r="C24" t="s">
        <v>16</v>
      </c>
      <c r="D24" t="s">
        <v>74</v>
      </c>
      <c r="E24">
        <v>82436</v>
      </c>
      <c r="F24">
        <v>2822</v>
      </c>
      <c r="G24">
        <v>523.62</v>
      </c>
      <c r="H24">
        <v>59807</v>
      </c>
      <c r="I24">
        <v>133</v>
      </c>
      <c r="J24" t="s">
        <v>72</v>
      </c>
    </row>
    <row r="25" spans="1:10" x14ac:dyDescent="0.2">
      <c r="A25" s="1">
        <v>46026</v>
      </c>
      <c r="B25" t="s">
        <v>15</v>
      </c>
      <c r="C25" t="s">
        <v>76</v>
      </c>
      <c r="D25" t="s">
        <v>75</v>
      </c>
      <c r="E25">
        <v>92999</v>
      </c>
      <c r="F25">
        <v>2858</v>
      </c>
      <c r="G25">
        <v>528.77</v>
      </c>
      <c r="H25">
        <v>74859</v>
      </c>
      <c r="I25">
        <v>138</v>
      </c>
      <c r="J25" t="s">
        <v>72</v>
      </c>
    </row>
    <row r="26" spans="1:10" x14ac:dyDescent="0.2">
      <c r="A26" s="1">
        <v>46026</v>
      </c>
      <c r="B26" t="s">
        <v>19</v>
      </c>
      <c r="C26" t="s">
        <v>26</v>
      </c>
      <c r="D26" t="s">
        <v>12</v>
      </c>
      <c r="E26">
        <v>135913</v>
      </c>
      <c r="F26">
        <v>4556</v>
      </c>
      <c r="G26">
        <v>954.15</v>
      </c>
      <c r="H26">
        <v>106055</v>
      </c>
      <c r="I26">
        <v>197</v>
      </c>
      <c r="J26" t="s">
        <v>72</v>
      </c>
    </row>
    <row r="27" spans="1:10" x14ac:dyDescent="0.2">
      <c r="A27" s="1">
        <v>46026</v>
      </c>
      <c r="B27" t="s">
        <v>19</v>
      </c>
      <c r="C27" t="s">
        <v>73</v>
      </c>
      <c r="D27" t="s">
        <v>12</v>
      </c>
      <c r="E27">
        <v>108255</v>
      </c>
      <c r="F27">
        <v>3633</v>
      </c>
      <c r="G27">
        <v>810.01</v>
      </c>
      <c r="H27">
        <v>82573</v>
      </c>
      <c r="I27">
        <v>143</v>
      </c>
      <c r="J27" t="s">
        <v>72</v>
      </c>
    </row>
    <row r="28" spans="1:10" x14ac:dyDescent="0.2">
      <c r="A28" s="1">
        <v>46026</v>
      </c>
      <c r="B28" t="s">
        <v>18</v>
      </c>
      <c r="C28" t="s">
        <v>26</v>
      </c>
      <c r="D28" t="s">
        <v>12</v>
      </c>
      <c r="E28">
        <v>94232</v>
      </c>
      <c r="F28">
        <v>3093</v>
      </c>
      <c r="G28">
        <v>613.91</v>
      </c>
      <c r="H28">
        <v>72045</v>
      </c>
      <c r="I28">
        <v>138</v>
      </c>
      <c r="J28" t="s">
        <v>72</v>
      </c>
    </row>
    <row r="29" spans="1:10" x14ac:dyDescent="0.2">
      <c r="A29" s="1">
        <v>46026</v>
      </c>
      <c r="B29" t="s">
        <v>18</v>
      </c>
      <c r="C29" t="s">
        <v>73</v>
      </c>
      <c r="D29" t="s">
        <v>74</v>
      </c>
      <c r="E29">
        <v>123513</v>
      </c>
      <c r="F29">
        <v>4740</v>
      </c>
      <c r="G29">
        <v>971.4</v>
      </c>
      <c r="H29">
        <v>94394</v>
      </c>
      <c r="I29">
        <v>156</v>
      </c>
      <c r="J29" t="s">
        <v>72</v>
      </c>
    </row>
    <row r="30" spans="1:10" x14ac:dyDescent="0.2">
      <c r="A30" s="1">
        <v>46027</v>
      </c>
      <c r="B30" t="s">
        <v>10</v>
      </c>
      <c r="C30" t="s">
        <v>26</v>
      </c>
      <c r="D30" t="s">
        <v>71</v>
      </c>
      <c r="E30">
        <v>85552</v>
      </c>
      <c r="F30">
        <v>3268</v>
      </c>
      <c r="G30">
        <v>669.46</v>
      </c>
      <c r="H30">
        <v>68745</v>
      </c>
      <c r="I30">
        <v>150</v>
      </c>
      <c r="J30" t="s">
        <v>72</v>
      </c>
    </row>
    <row r="31" spans="1:10" x14ac:dyDescent="0.2">
      <c r="A31" s="1">
        <v>46027</v>
      </c>
      <c r="B31" t="s">
        <v>10</v>
      </c>
      <c r="C31" t="s">
        <v>73</v>
      </c>
      <c r="D31" t="s">
        <v>74</v>
      </c>
      <c r="E31">
        <v>57234</v>
      </c>
      <c r="F31">
        <v>1845</v>
      </c>
      <c r="G31">
        <v>441.51</v>
      </c>
      <c r="H31">
        <v>44214</v>
      </c>
      <c r="I31">
        <v>70</v>
      </c>
      <c r="J31" t="s">
        <v>72</v>
      </c>
    </row>
    <row r="32" spans="1:10" x14ac:dyDescent="0.2">
      <c r="A32" s="1">
        <v>46027</v>
      </c>
      <c r="B32" t="s">
        <v>15</v>
      </c>
      <c r="C32" t="s">
        <v>16</v>
      </c>
      <c r="D32" t="s">
        <v>74</v>
      </c>
      <c r="E32">
        <v>41593</v>
      </c>
      <c r="F32">
        <v>1168</v>
      </c>
      <c r="G32">
        <v>255.01</v>
      </c>
      <c r="H32">
        <v>31083</v>
      </c>
      <c r="I32">
        <v>38</v>
      </c>
      <c r="J32" t="s">
        <v>72</v>
      </c>
    </row>
    <row r="33" spans="1:10" x14ac:dyDescent="0.2">
      <c r="A33" s="1">
        <v>46027</v>
      </c>
      <c r="B33" t="s">
        <v>15</v>
      </c>
      <c r="C33" t="s">
        <v>76</v>
      </c>
      <c r="D33" t="s">
        <v>74</v>
      </c>
      <c r="E33">
        <v>104437</v>
      </c>
      <c r="F33">
        <v>4028</v>
      </c>
      <c r="G33">
        <v>758.13</v>
      </c>
      <c r="H33">
        <v>77137</v>
      </c>
      <c r="I33">
        <v>158</v>
      </c>
      <c r="J33" t="s">
        <v>72</v>
      </c>
    </row>
    <row r="34" spans="1:10" x14ac:dyDescent="0.2">
      <c r="A34" s="1">
        <v>46027</v>
      </c>
      <c r="B34" t="s">
        <v>18</v>
      </c>
      <c r="C34" t="s">
        <v>26</v>
      </c>
      <c r="D34" t="s">
        <v>12</v>
      </c>
      <c r="E34">
        <v>35535</v>
      </c>
      <c r="F34">
        <v>1404</v>
      </c>
      <c r="G34">
        <v>278.16000000000003</v>
      </c>
      <c r="H34">
        <v>27664</v>
      </c>
      <c r="I34">
        <v>60</v>
      </c>
      <c r="J34" t="s">
        <v>72</v>
      </c>
    </row>
    <row r="35" spans="1:10" x14ac:dyDescent="0.2">
      <c r="A35" s="1">
        <v>46027</v>
      </c>
      <c r="B35" t="s">
        <v>18</v>
      </c>
      <c r="C35" t="s">
        <v>73</v>
      </c>
      <c r="D35" t="s">
        <v>74</v>
      </c>
      <c r="E35">
        <v>59428</v>
      </c>
      <c r="F35">
        <v>1686</v>
      </c>
      <c r="G35">
        <v>303.73</v>
      </c>
      <c r="H35">
        <v>44349</v>
      </c>
      <c r="I35">
        <v>95</v>
      </c>
      <c r="J35" t="s">
        <v>72</v>
      </c>
    </row>
    <row r="36" spans="1:10" x14ac:dyDescent="0.2">
      <c r="A36" s="1">
        <v>46028</v>
      </c>
      <c r="B36" t="s">
        <v>10</v>
      </c>
      <c r="C36" t="s">
        <v>26</v>
      </c>
      <c r="D36" t="s">
        <v>71</v>
      </c>
      <c r="E36">
        <v>91936</v>
      </c>
      <c r="F36">
        <v>2734</v>
      </c>
      <c r="G36">
        <v>601.36</v>
      </c>
      <c r="H36">
        <v>68838</v>
      </c>
      <c r="I36">
        <v>91</v>
      </c>
      <c r="J36" t="s">
        <v>72</v>
      </c>
    </row>
    <row r="37" spans="1:10" x14ac:dyDescent="0.2">
      <c r="A37" s="1">
        <v>46028</v>
      </c>
      <c r="B37" t="s">
        <v>10</v>
      </c>
      <c r="C37" t="s">
        <v>73</v>
      </c>
      <c r="D37" t="s">
        <v>74</v>
      </c>
      <c r="E37">
        <v>33728</v>
      </c>
      <c r="F37">
        <v>1000</v>
      </c>
      <c r="G37">
        <v>196.63</v>
      </c>
      <c r="H37">
        <v>27637</v>
      </c>
      <c r="I37">
        <v>30</v>
      </c>
      <c r="J37" t="s">
        <v>72</v>
      </c>
    </row>
    <row r="38" spans="1:10" x14ac:dyDescent="0.2">
      <c r="A38" s="1">
        <v>46028</v>
      </c>
      <c r="B38" t="s">
        <v>15</v>
      </c>
      <c r="C38" t="s">
        <v>16</v>
      </c>
      <c r="D38" t="s">
        <v>74</v>
      </c>
      <c r="E38">
        <v>106161</v>
      </c>
      <c r="F38">
        <v>3686</v>
      </c>
      <c r="G38">
        <v>759.92</v>
      </c>
      <c r="H38">
        <v>79173</v>
      </c>
      <c r="I38">
        <v>179</v>
      </c>
      <c r="J38" t="s">
        <v>72</v>
      </c>
    </row>
    <row r="39" spans="1:10" x14ac:dyDescent="0.2">
      <c r="A39" s="1">
        <v>46028</v>
      </c>
      <c r="B39" t="s">
        <v>15</v>
      </c>
      <c r="C39" t="s">
        <v>76</v>
      </c>
      <c r="D39" t="s">
        <v>75</v>
      </c>
      <c r="E39">
        <v>78916</v>
      </c>
      <c r="F39">
        <v>2775</v>
      </c>
      <c r="G39">
        <v>595.28</v>
      </c>
      <c r="H39">
        <v>63490</v>
      </c>
      <c r="I39">
        <v>91</v>
      </c>
      <c r="J39" t="s">
        <v>72</v>
      </c>
    </row>
    <row r="40" spans="1:10" x14ac:dyDescent="0.2">
      <c r="A40" s="1">
        <v>46028</v>
      </c>
      <c r="B40" t="s">
        <v>18</v>
      </c>
      <c r="C40" t="s">
        <v>26</v>
      </c>
      <c r="D40" t="s">
        <v>12</v>
      </c>
      <c r="E40">
        <v>49154</v>
      </c>
      <c r="F40">
        <v>1596</v>
      </c>
      <c r="G40">
        <v>371.39</v>
      </c>
      <c r="H40">
        <v>36056</v>
      </c>
      <c r="I40">
        <v>52</v>
      </c>
      <c r="J40" t="s">
        <v>72</v>
      </c>
    </row>
    <row r="41" spans="1:10" x14ac:dyDescent="0.2">
      <c r="A41" s="1">
        <v>46028</v>
      </c>
      <c r="B41" t="s">
        <v>18</v>
      </c>
      <c r="C41" t="s">
        <v>73</v>
      </c>
      <c r="D41" t="s">
        <v>74</v>
      </c>
      <c r="E41">
        <v>77338</v>
      </c>
      <c r="F41">
        <v>2619</v>
      </c>
      <c r="G41">
        <v>614.75</v>
      </c>
      <c r="H41">
        <v>58436</v>
      </c>
      <c r="I41">
        <v>96</v>
      </c>
      <c r="J41" t="s">
        <v>72</v>
      </c>
    </row>
    <row r="42" spans="1:10" x14ac:dyDescent="0.2">
      <c r="A42" s="1">
        <v>46029</v>
      </c>
      <c r="B42" t="s">
        <v>10</v>
      </c>
      <c r="C42" t="s">
        <v>26</v>
      </c>
      <c r="D42" t="s">
        <v>71</v>
      </c>
      <c r="E42">
        <v>40069</v>
      </c>
      <c r="F42">
        <v>1410</v>
      </c>
      <c r="G42">
        <v>318.64</v>
      </c>
      <c r="H42">
        <v>29583</v>
      </c>
      <c r="I42">
        <v>43</v>
      </c>
      <c r="J42" t="s">
        <v>72</v>
      </c>
    </row>
    <row r="43" spans="1:10" x14ac:dyDescent="0.2">
      <c r="A43" s="1">
        <v>46029</v>
      </c>
      <c r="B43" t="s">
        <v>10</v>
      </c>
      <c r="C43" t="s">
        <v>73</v>
      </c>
      <c r="D43" t="s">
        <v>74</v>
      </c>
      <c r="E43">
        <v>101265</v>
      </c>
      <c r="F43">
        <v>3292</v>
      </c>
      <c r="G43">
        <v>655.02</v>
      </c>
      <c r="H43">
        <v>81467</v>
      </c>
      <c r="I43">
        <v>171</v>
      </c>
      <c r="J43" t="s">
        <v>72</v>
      </c>
    </row>
    <row r="44" spans="1:10" x14ac:dyDescent="0.2">
      <c r="A44" s="1">
        <v>46029</v>
      </c>
      <c r="B44" t="s">
        <v>15</v>
      </c>
      <c r="C44" t="s">
        <v>16</v>
      </c>
      <c r="D44" t="s">
        <v>74</v>
      </c>
      <c r="E44">
        <v>77516</v>
      </c>
      <c r="F44">
        <v>2274</v>
      </c>
      <c r="G44">
        <v>488.46</v>
      </c>
      <c r="H44">
        <v>62193</v>
      </c>
      <c r="I44">
        <v>64</v>
      </c>
      <c r="J44" t="s">
        <v>72</v>
      </c>
    </row>
    <row r="45" spans="1:10" x14ac:dyDescent="0.2">
      <c r="A45" s="1">
        <v>46029</v>
      </c>
      <c r="B45" t="s">
        <v>15</v>
      </c>
      <c r="C45" t="s">
        <v>76</v>
      </c>
      <c r="D45" t="s">
        <v>74</v>
      </c>
      <c r="E45">
        <v>78891</v>
      </c>
      <c r="F45">
        <v>3069</v>
      </c>
      <c r="G45">
        <v>628.28</v>
      </c>
      <c r="H45">
        <v>64066</v>
      </c>
      <c r="I45">
        <v>100</v>
      </c>
      <c r="J45" t="s">
        <v>72</v>
      </c>
    </row>
    <row r="46" spans="1:10" x14ac:dyDescent="0.2">
      <c r="A46" s="1">
        <v>46029</v>
      </c>
      <c r="B46" t="s">
        <v>18</v>
      </c>
      <c r="C46" t="s">
        <v>26</v>
      </c>
      <c r="D46" t="s">
        <v>12</v>
      </c>
      <c r="E46">
        <v>50257</v>
      </c>
      <c r="F46">
        <v>1761</v>
      </c>
      <c r="G46">
        <v>404.84</v>
      </c>
      <c r="H46">
        <v>40181</v>
      </c>
      <c r="I46">
        <v>78</v>
      </c>
      <c r="J46" t="s">
        <v>72</v>
      </c>
    </row>
    <row r="47" spans="1:10" x14ac:dyDescent="0.2">
      <c r="A47" s="1">
        <v>46029</v>
      </c>
      <c r="B47" t="s">
        <v>18</v>
      </c>
      <c r="C47" t="s">
        <v>73</v>
      </c>
      <c r="D47" t="s">
        <v>74</v>
      </c>
      <c r="E47">
        <v>84702</v>
      </c>
      <c r="F47">
        <v>2917</v>
      </c>
      <c r="G47">
        <v>538.42999999999995</v>
      </c>
      <c r="H47">
        <v>67921</v>
      </c>
      <c r="I47">
        <v>162</v>
      </c>
      <c r="J47" t="s">
        <v>72</v>
      </c>
    </row>
    <row r="48" spans="1:10" x14ac:dyDescent="0.2">
      <c r="A48" s="1">
        <v>46030</v>
      </c>
      <c r="B48" t="s">
        <v>10</v>
      </c>
      <c r="C48" t="s">
        <v>26</v>
      </c>
      <c r="D48" t="s">
        <v>12</v>
      </c>
      <c r="E48">
        <v>75640</v>
      </c>
      <c r="F48">
        <v>2447</v>
      </c>
      <c r="G48">
        <v>493.69</v>
      </c>
      <c r="H48">
        <v>60640</v>
      </c>
      <c r="I48">
        <v>133</v>
      </c>
      <c r="J48" t="s">
        <v>72</v>
      </c>
    </row>
    <row r="49" spans="1:10" x14ac:dyDescent="0.2">
      <c r="A49" s="1">
        <v>46030</v>
      </c>
      <c r="B49" t="s">
        <v>10</v>
      </c>
      <c r="C49" t="s">
        <v>73</v>
      </c>
      <c r="D49" t="s">
        <v>71</v>
      </c>
      <c r="E49">
        <v>52571</v>
      </c>
      <c r="F49">
        <v>1994</v>
      </c>
      <c r="G49">
        <v>362.36</v>
      </c>
      <c r="H49">
        <v>42133</v>
      </c>
      <c r="I49">
        <v>69</v>
      </c>
      <c r="J49" t="s">
        <v>72</v>
      </c>
    </row>
    <row r="50" spans="1:10" x14ac:dyDescent="0.2">
      <c r="A50" s="1">
        <v>46030</v>
      </c>
      <c r="B50" t="s">
        <v>15</v>
      </c>
      <c r="C50" t="s">
        <v>16</v>
      </c>
      <c r="D50" t="s">
        <v>75</v>
      </c>
      <c r="E50">
        <v>59697</v>
      </c>
      <c r="F50">
        <v>1928</v>
      </c>
      <c r="G50">
        <v>371.31</v>
      </c>
      <c r="H50">
        <v>48838</v>
      </c>
      <c r="I50">
        <v>78</v>
      </c>
      <c r="J50" t="s">
        <v>72</v>
      </c>
    </row>
    <row r="51" spans="1:10" x14ac:dyDescent="0.2">
      <c r="A51" s="1">
        <v>46030</v>
      </c>
      <c r="B51" t="s">
        <v>15</v>
      </c>
      <c r="C51" t="s">
        <v>76</v>
      </c>
      <c r="D51" t="s">
        <v>75</v>
      </c>
      <c r="E51">
        <v>40188</v>
      </c>
      <c r="F51">
        <v>1135</v>
      </c>
      <c r="G51">
        <v>237.28</v>
      </c>
      <c r="H51">
        <v>30668</v>
      </c>
      <c r="I51">
        <v>38</v>
      </c>
      <c r="J51" t="s">
        <v>72</v>
      </c>
    </row>
    <row r="52" spans="1:10" x14ac:dyDescent="0.2">
      <c r="A52" s="1">
        <v>46030</v>
      </c>
      <c r="B52" t="s">
        <v>18</v>
      </c>
      <c r="C52" t="s">
        <v>26</v>
      </c>
      <c r="D52" t="s">
        <v>12</v>
      </c>
      <c r="E52">
        <v>97302</v>
      </c>
      <c r="F52">
        <v>3532</v>
      </c>
      <c r="G52">
        <v>735.17</v>
      </c>
      <c r="H52">
        <v>78897</v>
      </c>
      <c r="I52">
        <v>103</v>
      </c>
      <c r="J52" t="s">
        <v>72</v>
      </c>
    </row>
    <row r="53" spans="1:10" x14ac:dyDescent="0.2">
      <c r="A53" s="1">
        <v>46030</v>
      </c>
      <c r="B53" t="s">
        <v>18</v>
      </c>
      <c r="C53" t="s">
        <v>73</v>
      </c>
      <c r="D53" t="s">
        <v>74</v>
      </c>
      <c r="E53">
        <v>31346</v>
      </c>
      <c r="F53">
        <v>1208</v>
      </c>
      <c r="G53">
        <v>274.14999999999998</v>
      </c>
      <c r="H53">
        <v>25453</v>
      </c>
      <c r="I53">
        <v>41</v>
      </c>
      <c r="J53" t="s">
        <v>72</v>
      </c>
    </row>
    <row r="54" spans="1:10" x14ac:dyDescent="0.2">
      <c r="A54" s="1">
        <v>46031</v>
      </c>
      <c r="B54" t="s">
        <v>10</v>
      </c>
      <c r="C54" t="s">
        <v>26</v>
      </c>
      <c r="D54" t="s">
        <v>74</v>
      </c>
      <c r="E54">
        <v>54219</v>
      </c>
      <c r="F54">
        <v>2027</v>
      </c>
      <c r="G54">
        <v>368.42</v>
      </c>
      <c r="H54">
        <v>39826</v>
      </c>
      <c r="I54">
        <v>102</v>
      </c>
      <c r="J54" t="s">
        <v>72</v>
      </c>
    </row>
    <row r="55" spans="1:10" x14ac:dyDescent="0.2">
      <c r="A55" s="1">
        <v>46031</v>
      </c>
      <c r="B55" t="s">
        <v>10</v>
      </c>
      <c r="C55" t="s">
        <v>73</v>
      </c>
      <c r="D55" t="s">
        <v>71</v>
      </c>
      <c r="E55">
        <v>105989</v>
      </c>
      <c r="F55">
        <v>3483</v>
      </c>
      <c r="G55">
        <v>660.49</v>
      </c>
      <c r="H55">
        <v>81618</v>
      </c>
      <c r="I55">
        <v>173</v>
      </c>
      <c r="J55" t="s">
        <v>72</v>
      </c>
    </row>
    <row r="56" spans="1:10" x14ac:dyDescent="0.2">
      <c r="A56" s="1">
        <v>46031</v>
      </c>
      <c r="B56" t="s">
        <v>15</v>
      </c>
      <c r="C56" t="s">
        <v>16</v>
      </c>
      <c r="D56" t="s">
        <v>75</v>
      </c>
      <c r="E56">
        <v>96179</v>
      </c>
      <c r="F56">
        <v>3460</v>
      </c>
      <c r="G56">
        <v>643.37</v>
      </c>
      <c r="H56">
        <v>74809</v>
      </c>
      <c r="I56">
        <v>98</v>
      </c>
      <c r="J56" t="s">
        <v>72</v>
      </c>
    </row>
    <row r="57" spans="1:10" x14ac:dyDescent="0.2">
      <c r="A57" s="1">
        <v>46031</v>
      </c>
      <c r="B57" t="s">
        <v>15</v>
      </c>
      <c r="C57" t="s">
        <v>76</v>
      </c>
      <c r="D57" t="s">
        <v>75</v>
      </c>
      <c r="E57">
        <v>55106</v>
      </c>
      <c r="F57">
        <v>2286</v>
      </c>
      <c r="G57">
        <v>435.04</v>
      </c>
      <c r="H57">
        <v>43831</v>
      </c>
      <c r="I57">
        <v>64</v>
      </c>
      <c r="J57" t="s">
        <v>72</v>
      </c>
    </row>
    <row r="58" spans="1:10" x14ac:dyDescent="0.2">
      <c r="A58" s="1">
        <v>46031</v>
      </c>
      <c r="B58" t="s">
        <v>18</v>
      </c>
      <c r="C58" t="s">
        <v>26</v>
      </c>
      <c r="D58" t="s">
        <v>12</v>
      </c>
      <c r="E58">
        <v>58051</v>
      </c>
      <c r="F58">
        <v>2373</v>
      </c>
      <c r="G58">
        <v>548.35</v>
      </c>
      <c r="H58">
        <v>44552</v>
      </c>
      <c r="I58">
        <v>116</v>
      </c>
      <c r="J58" t="s">
        <v>72</v>
      </c>
    </row>
    <row r="59" spans="1:10" x14ac:dyDescent="0.2">
      <c r="A59" s="1">
        <v>46031</v>
      </c>
      <c r="B59" t="s">
        <v>18</v>
      </c>
      <c r="C59" t="s">
        <v>73</v>
      </c>
      <c r="D59" t="s">
        <v>74</v>
      </c>
      <c r="E59">
        <v>87627</v>
      </c>
      <c r="F59">
        <v>3279</v>
      </c>
      <c r="G59">
        <v>611.34</v>
      </c>
      <c r="H59">
        <v>70406</v>
      </c>
      <c r="I59">
        <v>188</v>
      </c>
      <c r="J59" t="s">
        <v>72</v>
      </c>
    </row>
    <row r="60" spans="1:10" x14ac:dyDescent="0.2">
      <c r="A60" s="1">
        <v>46032</v>
      </c>
      <c r="B60" t="s">
        <v>10</v>
      </c>
      <c r="C60" t="s">
        <v>26</v>
      </c>
      <c r="D60" t="s">
        <v>12</v>
      </c>
      <c r="E60">
        <v>81319</v>
      </c>
      <c r="F60">
        <v>2862</v>
      </c>
      <c r="G60">
        <v>585.15</v>
      </c>
      <c r="H60">
        <v>64741</v>
      </c>
      <c r="I60">
        <v>107</v>
      </c>
      <c r="J60" t="s">
        <v>72</v>
      </c>
    </row>
    <row r="61" spans="1:10" x14ac:dyDescent="0.2">
      <c r="A61" s="1">
        <v>46032</v>
      </c>
      <c r="B61" t="s">
        <v>10</v>
      </c>
      <c r="C61" t="s">
        <v>73</v>
      </c>
      <c r="D61" t="s">
        <v>71</v>
      </c>
      <c r="E61">
        <v>62242</v>
      </c>
      <c r="F61">
        <v>2195</v>
      </c>
      <c r="G61">
        <v>460.4</v>
      </c>
      <c r="H61">
        <v>47062</v>
      </c>
      <c r="I61">
        <v>80</v>
      </c>
      <c r="J61" t="s">
        <v>72</v>
      </c>
    </row>
    <row r="62" spans="1:10" x14ac:dyDescent="0.2">
      <c r="A62" s="1">
        <v>46032</v>
      </c>
      <c r="B62" t="s">
        <v>15</v>
      </c>
      <c r="C62" t="s">
        <v>16</v>
      </c>
      <c r="D62" t="s">
        <v>75</v>
      </c>
      <c r="E62">
        <v>57092</v>
      </c>
      <c r="F62">
        <v>1860</v>
      </c>
      <c r="G62">
        <v>347.71</v>
      </c>
      <c r="H62">
        <v>42725</v>
      </c>
      <c r="I62">
        <v>85</v>
      </c>
      <c r="J62" t="s">
        <v>72</v>
      </c>
    </row>
    <row r="63" spans="1:10" x14ac:dyDescent="0.2">
      <c r="A63" s="1">
        <v>46032</v>
      </c>
      <c r="B63" t="s">
        <v>15</v>
      </c>
      <c r="C63" t="s">
        <v>76</v>
      </c>
      <c r="D63" t="s">
        <v>74</v>
      </c>
      <c r="E63">
        <v>123465</v>
      </c>
      <c r="F63">
        <v>3847</v>
      </c>
      <c r="G63">
        <v>786.47</v>
      </c>
      <c r="H63">
        <v>101055</v>
      </c>
      <c r="I63">
        <v>157</v>
      </c>
      <c r="J63" t="s">
        <v>72</v>
      </c>
    </row>
    <row r="64" spans="1:10" x14ac:dyDescent="0.2">
      <c r="A64" s="1">
        <v>46032</v>
      </c>
      <c r="B64" t="s">
        <v>19</v>
      </c>
      <c r="C64" t="s">
        <v>26</v>
      </c>
      <c r="D64" t="s">
        <v>12</v>
      </c>
      <c r="E64">
        <v>129285</v>
      </c>
      <c r="F64">
        <v>5319</v>
      </c>
      <c r="G64">
        <v>1074.69</v>
      </c>
      <c r="H64">
        <v>93250</v>
      </c>
      <c r="I64">
        <v>256</v>
      </c>
      <c r="J64" t="s">
        <v>72</v>
      </c>
    </row>
    <row r="65" spans="1:10" x14ac:dyDescent="0.2">
      <c r="A65" s="1">
        <v>46032</v>
      </c>
      <c r="B65" t="s">
        <v>19</v>
      </c>
      <c r="C65" t="s">
        <v>73</v>
      </c>
      <c r="D65" t="s">
        <v>12</v>
      </c>
      <c r="E65">
        <v>114732</v>
      </c>
      <c r="F65">
        <v>3916</v>
      </c>
      <c r="G65">
        <v>859.61</v>
      </c>
      <c r="H65">
        <v>83582</v>
      </c>
      <c r="I65">
        <v>126</v>
      </c>
      <c r="J65" t="s">
        <v>72</v>
      </c>
    </row>
    <row r="66" spans="1:10" x14ac:dyDescent="0.2">
      <c r="A66" s="1">
        <v>46032</v>
      </c>
      <c r="B66" t="s">
        <v>18</v>
      </c>
      <c r="C66" t="s">
        <v>26</v>
      </c>
      <c r="D66" t="s">
        <v>12</v>
      </c>
      <c r="E66">
        <v>150367</v>
      </c>
      <c r="F66">
        <v>6268</v>
      </c>
      <c r="G66">
        <v>1407.08</v>
      </c>
      <c r="H66">
        <v>121683</v>
      </c>
      <c r="I66">
        <v>207</v>
      </c>
      <c r="J66" t="s">
        <v>72</v>
      </c>
    </row>
    <row r="67" spans="1:10" x14ac:dyDescent="0.2">
      <c r="A67" s="1">
        <v>46032</v>
      </c>
      <c r="B67" t="s">
        <v>18</v>
      </c>
      <c r="C67" t="s">
        <v>73</v>
      </c>
      <c r="D67" t="s">
        <v>74</v>
      </c>
      <c r="E67">
        <v>78531</v>
      </c>
      <c r="F67">
        <v>2571</v>
      </c>
      <c r="G67">
        <v>554.55999999999995</v>
      </c>
      <c r="H67">
        <v>64322</v>
      </c>
      <c r="I67">
        <v>81</v>
      </c>
      <c r="J67" t="s">
        <v>72</v>
      </c>
    </row>
    <row r="68" spans="1:10" x14ac:dyDescent="0.2">
      <c r="A68" s="1">
        <v>46033</v>
      </c>
      <c r="B68" t="s">
        <v>10</v>
      </c>
      <c r="C68" t="s">
        <v>26</v>
      </c>
      <c r="D68" t="s">
        <v>12</v>
      </c>
      <c r="E68">
        <v>133586</v>
      </c>
      <c r="F68">
        <v>4261</v>
      </c>
      <c r="G68">
        <v>949.39</v>
      </c>
      <c r="H68">
        <v>103955</v>
      </c>
      <c r="I68">
        <v>154</v>
      </c>
      <c r="J68" t="s">
        <v>72</v>
      </c>
    </row>
    <row r="69" spans="1:10" x14ac:dyDescent="0.2">
      <c r="A69" s="1">
        <v>46033</v>
      </c>
      <c r="B69" t="s">
        <v>10</v>
      </c>
      <c r="C69" t="s">
        <v>73</v>
      </c>
      <c r="D69" t="s">
        <v>71</v>
      </c>
      <c r="E69">
        <v>107343</v>
      </c>
      <c r="F69">
        <v>3720</v>
      </c>
      <c r="G69">
        <v>804.23</v>
      </c>
      <c r="H69">
        <v>81628</v>
      </c>
      <c r="I69">
        <v>158</v>
      </c>
      <c r="J69" t="s">
        <v>72</v>
      </c>
    </row>
    <row r="70" spans="1:10" x14ac:dyDescent="0.2">
      <c r="A70" s="1">
        <v>46033</v>
      </c>
      <c r="B70" t="s">
        <v>15</v>
      </c>
      <c r="C70" t="s">
        <v>16</v>
      </c>
      <c r="D70" t="s">
        <v>74</v>
      </c>
      <c r="E70">
        <v>69042</v>
      </c>
      <c r="F70">
        <v>2675</v>
      </c>
      <c r="G70">
        <v>498.84</v>
      </c>
      <c r="H70">
        <v>51441</v>
      </c>
      <c r="I70">
        <v>114</v>
      </c>
      <c r="J70" t="s">
        <v>72</v>
      </c>
    </row>
    <row r="71" spans="1:10" x14ac:dyDescent="0.2">
      <c r="A71" s="1">
        <v>46033</v>
      </c>
      <c r="B71" t="s">
        <v>15</v>
      </c>
      <c r="C71" t="s">
        <v>76</v>
      </c>
      <c r="D71" t="s">
        <v>75</v>
      </c>
      <c r="E71">
        <v>47453</v>
      </c>
      <c r="F71">
        <v>1394</v>
      </c>
      <c r="G71">
        <v>255.34</v>
      </c>
      <c r="H71">
        <v>34489</v>
      </c>
      <c r="I71">
        <v>67</v>
      </c>
      <c r="J71" t="s">
        <v>72</v>
      </c>
    </row>
    <row r="72" spans="1:10" x14ac:dyDescent="0.2">
      <c r="A72" s="1">
        <v>46033</v>
      </c>
      <c r="B72" t="s">
        <v>19</v>
      </c>
      <c r="C72" t="s">
        <v>26</v>
      </c>
      <c r="D72" t="s">
        <v>12</v>
      </c>
      <c r="E72">
        <v>112212</v>
      </c>
      <c r="F72">
        <v>4091</v>
      </c>
      <c r="G72">
        <v>816.63</v>
      </c>
      <c r="H72">
        <v>84189</v>
      </c>
      <c r="I72">
        <v>191</v>
      </c>
      <c r="J72" t="s">
        <v>72</v>
      </c>
    </row>
    <row r="73" spans="1:10" x14ac:dyDescent="0.2">
      <c r="A73" s="1">
        <v>46033</v>
      </c>
      <c r="B73" t="s">
        <v>19</v>
      </c>
      <c r="C73" t="s">
        <v>73</v>
      </c>
      <c r="D73" t="s">
        <v>12</v>
      </c>
      <c r="E73">
        <v>137410</v>
      </c>
      <c r="F73">
        <v>5324</v>
      </c>
      <c r="G73">
        <v>1211.55</v>
      </c>
      <c r="H73">
        <v>101709</v>
      </c>
      <c r="I73">
        <v>254</v>
      </c>
      <c r="J73" t="s">
        <v>72</v>
      </c>
    </row>
    <row r="74" spans="1:10" x14ac:dyDescent="0.2">
      <c r="A74" s="1">
        <v>46033</v>
      </c>
      <c r="B74" t="s">
        <v>18</v>
      </c>
      <c r="C74" t="s">
        <v>26</v>
      </c>
      <c r="D74" t="s">
        <v>12</v>
      </c>
      <c r="E74">
        <v>134629</v>
      </c>
      <c r="F74">
        <v>4262</v>
      </c>
      <c r="G74">
        <v>855.03</v>
      </c>
      <c r="H74">
        <v>108506</v>
      </c>
      <c r="I74">
        <v>189</v>
      </c>
      <c r="J74" t="s">
        <v>72</v>
      </c>
    </row>
    <row r="75" spans="1:10" x14ac:dyDescent="0.2">
      <c r="A75" s="1">
        <v>46033</v>
      </c>
      <c r="B75" t="s">
        <v>18</v>
      </c>
      <c r="C75" t="s">
        <v>73</v>
      </c>
      <c r="D75" t="s">
        <v>74</v>
      </c>
      <c r="E75">
        <v>120979</v>
      </c>
      <c r="F75">
        <v>4878</v>
      </c>
      <c r="G75">
        <v>912.91</v>
      </c>
      <c r="H75">
        <v>92550</v>
      </c>
      <c r="I75">
        <v>261</v>
      </c>
      <c r="J75" t="s">
        <v>72</v>
      </c>
    </row>
    <row r="76" spans="1:10" x14ac:dyDescent="0.2">
      <c r="A76" s="1">
        <v>46034</v>
      </c>
      <c r="B76" t="s">
        <v>10</v>
      </c>
      <c r="C76" t="s">
        <v>26</v>
      </c>
      <c r="D76" t="s">
        <v>12</v>
      </c>
      <c r="E76">
        <v>90248</v>
      </c>
      <c r="F76">
        <v>2572</v>
      </c>
      <c r="G76">
        <v>490.25</v>
      </c>
      <c r="H76">
        <v>70929</v>
      </c>
      <c r="I76">
        <v>132</v>
      </c>
      <c r="J76" t="s">
        <v>72</v>
      </c>
    </row>
    <row r="77" spans="1:10" x14ac:dyDescent="0.2">
      <c r="A77" s="1">
        <v>46034</v>
      </c>
      <c r="B77" t="s">
        <v>10</v>
      </c>
      <c r="C77" t="s">
        <v>73</v>
      </c>
      <c r="D77" t="s">
        <v>74</v>
      </c>
      <c r="E77">
        <v>94419</v>
      </c>
      <c r="F77">
        <v>3213</v>
      </c>
      <c r="G77">
        <v>638.58000000000004</v>
      </c>
      <c r="H77">
        <v>71655</v>
      </c>
      <c r="I77">
        <v>163</v>
      </c>
      <c r="J77" t="s">
        <v>72</v>
      </c>
    </row>
    <row r="78" spans="1:10" x14ac:dyDescent="0.2">
      <c r="A78" s="1">
        <v>46034</v>
      </c>
      <c r="B78" t="s">
        <v>15</v>
      </c>
      <c r="C78" t="s">
        <v>16</v>
      </c>
      <c r="D78" t="s">
        <v>74</v>
      </c>
      <c r="E78">
        <v>102585</v>
      </c>
      <c r="F78">
        <v>3856</v>
      </c>
      <c r="G78">
        <v>826.47</v>
      </c>
      <c r="H78">
        <v>78743</v>
      </c>
      <c r="I78">
        <v>206</v>
      </c>
      <c r="J78" t="s">
        <v>72</v>
      </c>
    </row>
    <row r="79" spans="1:10" x14ac:dyDescent="0.2">
      <c r="A79" s="1">
        <v>46034</v>
      </c>
      <c r="B79" t="s">
        <v>15</v>
      </c>
      <c r="C79" t="s">
        <v>76</v>
      </c>
      <c r="D79" t="s">
        <v>75</v>
      </c>
      <c r="E79">
        <v>81299</v>
      </c>
      <c r="F79">
        <v>2576</v>
      </c>
      <c r="G79">
        <v>555.03</v>
      </c>
      <c r="H79">
        <v>61606</v>
      </c>
      <c r="I79">
        <v>124</v>
      </c>
      <c r="J79" t="s">
        <v>72</v>
      </c>
    </row>
    <row r="80" spans="1:10" x14ac:dyDescent="0.2">
      <c r="A80" s="1">
        <v>46034</v>
      </c>
      <c r="B80" t="s">
        <v>18</v>
      </c>
      <c r="C80" t="s">
        <v>26</v>
      </c>
      <c r="D80" t="s">
        <v>12</v>
      </c>
      <c r="E80">
        <v>72006</v>
      </c>
      <c r="F80">
        <v>2078</v>
      </c>
      <c r="G80">
        <v>447.66</v>
      </c>
      <c r="H80">
        <v>52767</v>
      </c>
      <c r="I80">
        <v>81</v>
      </c>
      <c r="J80" t="s">
        <v>72</v>
      </c>
    </row>
    <row r="81" spans="1:10" x14ac:dyDescent="0.2">
      <c r="A81" s="1">
        <v>46034</v>
      </c>
      <c r="B81" t="s">
        <v>18</v>
      </c>
      <c r="C81" t="s">
        <v>73</v>
      </c>
      <c r="D81" t="s">
        <v>74</v>
      </c>
      <c r="E81">
        <v>74729</v>
      </c>
      <c r="F81">
        <v>2490</v>
      </c>
      <c r="G81">
        <v>512.16999999999996</v>
      </c>
      <c r="H81">
        <v>61217</v>
      </c>
      <c r="I81">
        <v>100</v>
      </c>
      <c r="J81" t="s">
        <v>72</v>
      </c>
    </row>
    <row r="82" spans="1:10" x14ac:dyDescent="0.2">
      <c r="A82" s="1">
        <v>46035</v>
      </c>
      <c r="B82" t="s">
        <v>10</v>
      </c>
      <c r="C82" t="s">
        <v>26</v>
      </c>
      <c r="D82" t="s">
        <v>74</v>
      </c>
      <c r="E82">
        <v>62011</v>
      </c>
      <c r="F82">
        <v>1951</v>
      </c>
      <c r="G82">
        <v>427.04</v>
      </c>
      <c r="H82">
        <v>48322</v>
      </c>
      <c r="I82">
        <v>107</v>
      </c>
      <c r="J82" t="s">
        <v>72</v>
      </c>
    </row>
    <row r="83" spans="1:10" x14ac:dyDescent="0.2">
      <c r="A83" s="1">
        <v>46035</v>
      </c>
      <c r="B83" t="s">
        <v>10</v>
      </c>
      <c r="C83" t="s">
        <v>73</v>
      </c>
      <c r="D83" t="s">
        <v>74</v>
      </c>
      <c r="E83">
        <v>69965</v>
      </c>
      <c r="F83">
        <v>2071</v>
      </c>
      <c r="G83">
        <v>393.88</v>
      </c>
      <c r="H83">
        <v>54141</v>
      </c>
      <c r="I83">
        <v>60</v>
      </c>
      <c r="J83" t="s">
        <v>72</v>
      </c>
    </row>
    <row r="84" spans="1:10" x14ac:dyDescent="0.2">
      <c r="A84" s="1">
        <v>46035</v>
      </c>
      <c r="B84" t="s">
        <v>15</v>
      </c>
      <c r="C84" t="s">
        <v>16</v>
      </c>
      <c r="D84" t="s">
        <v>74</v>
      </c>
      <c r="E84">
        <v>104455</v>
      </c>
      <c r="F84">
        <v>3677</v>
      </c>
      <c r="G84">
        <v>754.78</v>
      </c>
      <c r="H84">
        <v>75420</v>
      </c>
      <c r="I84">
        <v>154</v>
      </c>
      <c r="J84" t="s">
        <v>72</v>
      </c>
    </row>
    <row r="85" spans="1:10" x14ac:dyDescent="0.2">
      <c r="A85" s="1">
        <v>46035</v>
      </c>
      <c r="B85" t="s">
        <v>15</v>
      </c>
      <c r="C85" t="s">
        <v>76</v>
      </c>
      <c r="D85" t="s">
        <v>75</v>
      </c>
      <c r="E85">
        <v>71486</v>
      </c>
      <c r="F85">
        <v>2379</v>
      </c>
      <c r="G85">
        <v>483.93</v>
      </c>
      <c r="H85">
        <v>55562</v>
      </c>
      <c r="I85">
        <v>124</v>
      </c>
      <c r="J85" t="s">
        <v>72</v>
      </c>
    </row>
    <row r="86" spans="1:10" x14ac:dyDescent="0.2">
      <c r="A86" s="1">
        <v>46035</v>
      </c>
      <c r="B86" t="s">
        <v>18</v>
      </c>
      <c r="C86" t="s">
        <v>26</v>
      </c>
      <c r="D86" t="s">
        <v>12</v>
      </c>
      <c r="E86">
        <v>56988</v>
      </c>
      <c r="F86">
        <v>1863</v>
      </c>
      <c r="G86">
        <v>391.54</v>
      </c>
      <c r="H86">
        <v>45390</v>
      </c>
      <c r="I86">
        <v>71</v>
      </c>
      <c r="J86" t="s">
        <v>72</v>
      </c>
    </row>
    <row r="87" spans="1:10" x14ac:dyDescent="0.2">
      <c r="A87" s="1">
        <v>46035</v>
      </c>
      <c r="B87" t="s">
        <v>18</v>
      </c>
      <c r="C87" t="s">
        <v>73</v>
      </c>
      <c r="D87" t="s">
        <v>74</v>
      </c>
      <c r="E87">
        <v>77622</v>
      </c>
      <c r="F87">
        <v>3226</v>
      </c>
      <c r="G87">
        <v>619.73</v>
      </c>
      <c r="H87">
        <v>60820</v>
      </c>
      <c r="I87">
        <v>184</v>
      </c>
      <c r="J87" t="s">
        <v>72</v>
      </c>
    </row>
    <row r="88" spans="1:10" x14ac:dyDescent="0.2">
      <c r="A88" s="1">
        <v>46036</v>
      </c>
      <c r="B88" t="s">
        <v>10</v>
      </c>
      <c r="C88" t="s">
        <v>26</v>
      </c>
      <c r="D88" t="s">
        <v>74</v>
      </c>
      <c r="E88">
        <v>100232</v>
      </c>
      <c r="F88">
        <v>3106</v>
      </c>
      <c r="G88">
        <v>608.49</v>
      </c>
      <c r="H88">
        <v>75147</v>
      </c>
      <c r="I88">
        <v>140</v>
      </c>
      <c r="J88" t="s">
        <v>72</v>
      </c>
    </row>
    <row r="89" spans="1:10" x14ac:dyDescent="0.2">
      <c r="A89" s="1">
        <v>46036</v>
      </c>
      <c r="B89" t="s">
        <v>10</v>
      </c>
      <c r="C89" t="s">
        <v>73</v>
      </c>
      <c r="D89" t="s">
        <v>74</v>
      </c>
      <c r="E89">
        <v>42053</v>
      </c>
      <c r="F89">
        <v>1600</v>
      </c>
      <c r="G89">
        <v>343.51</v>
      </c>
      <c r="H89">
        <v>32767</v>
      </c>
      <c r="I89">
        <v>57</v>
      </c>
      <c r="J89" t="s">
        <v>72</v>
      </c>
    </row>
    <row r="90" spans="1:10" x14ac:dyDescent="0.2">
      <c r="A90" s="1">
        <v>46036</v>
      </c>
      <c r="B90" t="s">
        <v>15</v>
      </c>
      <c r="C90" t="s">
        <v>16</v>
      </c>
      <c r="D90" t="s">
        <v>74</v>
      </c>
      <c r="E90">
        <v>85981</v>
      </c>
      <c r="F90">
        <v>2659</v>
      </c>
      <c r="G90">
        <v>605.55999999999995</v>
      </c>
      <c r="H90">
        <v>67508</v>
      </c>
      <c r="I90">
        <v>98</v>
      </c>
      <c r="J90" t="s">
        <v>72</v>
      </c>
    </row>
    <row r="91" spans="1:10" x14ac:dyDescent="0.2">
      <c r="A91" s="1">
        <v>46036</v>
      </c>
      <c r="B91" t="s">
        <v>15</v>
      </c>
      <c r="C91" t="s">
        <v>76</v>
      </c>
      <c r="D91" t="s">
        <v>74</v>
      </c>
      <c r="E91">
        <v>86742</v>
      </c>
      <c r="F91">
        <v>3234</v>
      </c>
      <c r="G91">
        <v>642.91999999999996</v>
      </c>
      <c r="H91">
        <v>66048</v>
      </c>
      <c r="I91">
        <v>114</v>
      </c>
      <c r="J91" t="s">
        <v>72</v>
      </c>
    </row>
    <row r="92" spans="1:10" x14ac:dyDescent="0.2">
      <c r="A92" s="1">
        <v>46036</v>
      </c>
      <c r="B92" t="s">
        <v>18</v>
      </c>
      <c r="C92" t="s">
        <v>26</v>
      </c>
      <c r="D92" t="s">
        <v>12</v>
      </c>
      <c r="E92">
        <v>101770</v>
      </c>
      <c r="F92">
        <v>3106</v>
      </c>
      <c r="G92">
        <v>562.54999999999995</v>
      </c>
      <c r="H92">
        <v>80432</v>
      </c>
      <c r="I92">
        <v>167</v>
      </c>
      <c r="J92" t="s">
        <v>72</v>
      </c>
    </row>
    <row r="93" spans="1:10" x14ac:dyDescent="0.2">
      <c r="A93" s="1">
        <v>46036</v>
      </c>
      <c r="B93" t="s">
        <v>18</v>
      </c>
      <c r="C93" t="s">
        <v>73</v>
      </c>
      <c r="D93" t="s">
        <v>74</v>
      </c>
      <c r="E93">
        <v>57912</v>
      </c>
      <c r="F93">
        <v>2157</v>
      </c>
      <c r="G93">
        <v>494.89</v>
      </c>
      <c r="H93">
        <v>47129</v>
      </c>
      <c r="I93">
        <v>77</v>
      </c>
      <c r="J93" t="s">
        <v>72</v>
      </c>
    </row>
    <row r="94" spans="1:10" x14ac:dyDescent="0.2">
      <c r="A94" s="1">
        <v>46037</v>
      </c>
      <c r="B94" t="s">
        <v>10</v>
      </c>
      <c r="C94" t="s">
        <v>26</v>
      </c>
      <c r="D94" t="s">
        <v>71</v>
      </c>
      <c r="E94">
        <v>99824</v>
      </c>
      <c r="F94">
        <v>3925</v>
      </c>
      <c r="G94">
        <v>907.33</v>
      </c>
      <c r="H94">
        <v>80925</v>
      </c>
      <c r="I94">
        <v>219</v>
      </c>
      <c r="J94" t="s">
        <v>72</v>
      </c>
    </row>
    <row r="95" spans="1:10" x14ac:dyDescent="0.2">
      <c r="A95" s="1">
        <v>46037</v>
      </c>
      <c r="B95" t="s">
        <v>10</v>
      </c>
      <c r="C95" t="s">
        <v>73</v>
      </c>
      <c r="D95" t="s">
        <v>74</v>
      </c>
      <c r="E95">
        <v>98454</v>
      </c>
      <c r="F95">
        <v>3033</v>
      </c>
      <c r="G95">
        <v>630.1</v>
      </c>
      <c r="H95">
        <v>73253</v>
      </c>
      <c r="I95">
        <v>152</v>
      </c>
      <c r="J95" t="s">
        <v>72</v>
      </c>
    </row>
    <row r="96" spans="1:10" x14ac:dyDescent="0.2">
      <c r="A96" s="1">
        <v>46037</v>
      </c>
      <c r="B96" t="s">
        <v>15</v>
      </c>
      <c r="C96" t="s">
        <v>16</v>
      </c>
      <c r="D96" t="s">
        <v>74</v>
      </c>
      <c r="E96">
        <v>87067</v>
      </c>
      <c r="F96">
        <v>2937</v>
      </c>
      <c r="G96">
        <v>680.24</v>
      </c>
      <c r="H96">
        <v>70621</v>
      </c>
      <c r="I96">
        <v>138</v>
      </c>
      <c r="J96" t="s">
        <v>72</v>
      </c>
    </row>
    <row r="97" spans="1:10" x14ac:dyDescent="0.2">
      <c r="A97" s="1">
        <v>46037</v>
      </c>
      <c r="B97" t="s">
        <v>15</v>
      </c>
      <c r="C97" t="s">
        <v>76</v>
      </c>
      <c r="D97" t="s">
        <v>74</v>
      </c>
      <c r="E97">
        <v>64987</v>
      </c>
      <c r="F97">
        <v>2569</v>
      </c>
      <c r="G97">
        <v>562</v>
      </c>
      <c r="H97">
        <v>48457</v>
      </c>
      <c r="I97">
        <v>118</v>
      </c>
      <c r="J97" t="s">
        <v>72</v>
      </c>
    </row>
    <row r="98" spans="1:10" x14ac:dyDescent="0.2">
      <c r="A98" s="1">
        <v>46037</v>
      </c>
      <c r="B98" t="s">
        <v>18</v>
      </c>
      <c r="C98" t="s">
        <v>26</v>
      </c>
      <c r="D98" t="s">
        <v>12</v>
      </c>
      <c r="E98">
        <v>61258</v>
      </c>
      <c r="F98">
        <v>1812</v>
      </c>
      <c r="G98">
        <v>347.03</v>
      </c>
      <c r="H98">
        <v>45610</v>
      </c>
      <c r="I98">
        <v>95</v>
      </c>
      <c r="J98" t="s">
        <v>72</v>
      </c>
    </row>
    <row r="99" spans="1:10" x14ac:dyDescent="0.2">
      <c r="A99" s="1">
        <v>46037</v>
      </c>
      <c r="B99" t="s">
        <v>18</v>
      </c>
      <c r="C99" t="s">
        <v>73</v>
      </c>
      <c r="D99" t="s">
        <v>74</v>
      </c>
      <c r="E99">
        <v>93620</v>
      </c>
      <c r="F99">
        <v>3355</v>
      </c>
      <c r="G99">
        <v>691.69</v>
      </c>
      <c r="H99">
        <v>73462</v>
      </c>
      <c r="I99">
        <v>97</v>
      </c>
      <c r="J99" t="s">
        <v>72</v>
      </c>
    </row>
    <row r="100" spans="1:10" x14ac:dyDescent="0.2">
      <c r="A100" s="1">
        <v>46038</v>
      </c>
      <c r="B100" t="s">
        <v>10</v>
      </c>
      <c r="C100" t="s">
        <v>26</v>
      </c>
      <c r="D100" t="s">
        <v>74</v>
      </c>
      <c r="E100">
        <v>65744</v>
      </c>
      <c r="F100">
        <v>1966</v>
      </c>
      <c r="G100">
        <v>384.36</v>
      </c>
      <c r="H100">
        <v>52618</v>
      </c>
      <c r="I100">
        <v>93</v>
      </c>
      <c r="J100" t="s">
        <v>72</v>
      </c>
    </row>
    <row r="101" spans="1:10" x14ac:dyDescent="0.2">
      <c r="A101" s="1">
        <v>46038</v>
      </c>
      <c r="B101" t="s">
        <v>10</v>
      </c>
      <c r="C101" t="s">
        <v>73</v>
      </c>
      <c r="D101" t="s">
        <v>74</v>
      </c>
      <c r="E101">
        <v>35535</v>
      </c>
      <c r="F101">
        <v>1474</v>
      </c>
      <c r="G101">
        <v>308.29000000000002</v>
      </c>
      <c r="H101">
        <v>25655</v>
      </c>
      <c r="I101">
        <v>79</v>
      </c>
      <c r="J101" t="s">
        <v>72</v>
      </c>
    </row>
    <row r="102" spans="1:10" x14ac:dyDescent="0.2">
      <c r="A102" s="1">
        <v>46038</v>
      </c>
      <c r="B102" t="s">
        <v>15</v>
      </c>
      <c r="C102" t="s">
        <v>16</v>
      </c>
      <c r="D102" t="s">
        <v>75</v>
      </c>
      <c r="E102">
        <v>71144</v>
      </c>
      <c r="F102">
        <v>2591</v>
      </c>
      <c r="G102">
        <v>601.19000000000005</v>
      </c>
      <c r="H102">
        <v>57630</v>
      </c>
      <c r="I102">
        <v>104</v>
      </c>
      <c r="J102" t="s">
        <v>72</v>
      </c>
    </row>
    <row r="103" spans="1:10" x14ac:dyDescent="0.2">
      <c r="A103" s="1">
        <v>46038</v>
      </c>
      <c r="B103" t="s">
        <v>15</v>
      </c>
      <c r="C103" t="s">
        <v>76</v>
      </c>
      <c r="D103" t="s">
        <v>74</v>
      </c>
      <c r="E103">
        <v>41836</v>
      </c>
      <c r="F103">
        <v>1403</v>
      </c>
      <c r="G103">
        <v>323.24</v>
      </c>
      <c r="H103">
        <v>33647</v>
      </c>
      <c r="I103">
        <v>49</v>
      </c>
      <c r="J103" t="s">
        <v>72</v>
      </c>
    </row>
    <row r="104" spans="1:10" x14ac:dyDescent="0.2">
      <c r="A104" s="1">
        <v>46038</v>
      </c>
      <c r="B104" t="s">
        <v>18</v>
      </c>
      <c r="C104" t="s">
        <v>26</v>
      </c>
      <c r="D104" t="s">
        <v>12</v>
      </c>
      <c r="E104">
        <v>98414</v>
      </c>
      <c r="F104">
        <v>3670</v>
      </c>
      <c r="G104">
        <v>788.41</v>
      </c>
      <c r="H104">
        <v>78486</v>
      </c>
      <c r="I104">
        <v>160</v>
      </c>
      <c r="J104" t="s">
        <v>72</v>
      </c>
    </row>
    <row r="105" spans="1:10" x14ac:dyDescent="0.2">
      <c r="A105" s="1">
        <v>46038</v>
      </c>
      <c r="B105" t="s">
        <v>18</v>
      </c>
      <c r="C105" t="s">
        <v>73</v>
      </c>
      <c r="D105" t="s">
        <v>74</v>
      </c>
      <c r="E105">
        <v>41829</v>
      </c>
      <c r="F105">
        <v>1310</v>
      </c>
      <c r="G105">
        <v>245.41</v>
      </c>
      <c r="H105">
        <v>33491</v>
      </c>
      <c r="I105">
        <v>49</v>
      </c>
      <c r="J105" t="s">
        <v>72</v>
      </c>
    </row>
    <row r="106" spans="1:10" x14ac:dyDescent="0.2">
      <c r="A106" s="1">
        <v>46039</v>
      </c>
      <c r="B106" t="s">
        <v>10</v>
      </c>
      <c r="C106" t="s">
        <v>26</v>
      </c>
      <c r="D106" t="s">
        <v>71</v>
      </c>
      <c r="E106">
        <v>113555</v>
      </c>
      <c r="F106">
        <v>4460</v>
      </c>
      <c r="G106">
        <v>1001.88</v>
      </c>
      <c r="H106">
        <v>92382</v>
      </c>
      <c r="I106">
        <v>154</v>
      </c>
      <c r="J106" t="s">
        <v>72</v>
      </c>
    </row>
    <row r="107" spans="1:10" x14ac:dyDescent="0.2">
      <c r="A107" s="1">
        <v>46039</v>
      </c>
      <c r="B107" t="s">
        <v>10</v>
      </c>
      <c r="C107" t="s">
        <v>73</v>
      </c>
      <c r="D107" t="s">
        <v>74</v>
      </c>
      <c r="E107">
        <v>74139</v>
      </c>
      <c r="F107">
        <v>2298</v>
      </c>
      <c r="G107">
        <v>451.49</v>
      </c>
      <c r="H107">
        <v>56407</v>
      </c>
      <c r="I107">
        <v>123</v>
      </c>
      <c r="J107" t="s">
        <v>72</v>
      </c>
    </row>
    <row r="108" spans="1:10" x14ac:dyDescent="0.2">
      <c r="A108" s="1">
        <v>46039</v>
      </c>
      <c r="B108" t="s">
        <v>15</v>
      </c>
      <c r="C108" t="s">
        <v>16</v>
      </c>
      <c r="D108" t="s">
        <v>75</v>
      </c>
      <c r="E108">
        <v>131980</v>
      </c>
      <c r="F108">
        <v>4681</v>
      </c>
      <c r="G108">
        <v>1039.07</v>
      </c>
      <c r="H108">
        <v>96516</v>
      </c>
      <c r="I108">
        <v>207</v>
      </c>
      <c r="J108" t="s">
        <v>72</v>
      </c>
    </row>
    <row r="109" spans="1:10" x14ac:dyDescent="0.2">
      <c r="A109" s="1">
        <v>46039</v>
      </c>
      <c r="B109" t="s">
        <v>15</v>
      </c>
      <c r="C109" t="s">
        <v>76</v>
      </c>
      <c r="D109" t="s">
        <v>74</v>
      </c>
      <c r="E109">
        <v>87204</v>
      </c>
      <c r="F109">
        <v>3617</v>
      </c>
      <c r="G109">
        <v>841.91</v>
      </c>
      <c r="H109">
        <v>70957</v>
      </c>
      <c r="I109">
        <v>140</v>
      </c>
      <c r="J109" t="s">
        <v>72</v>
      </c>
    </row>
    <row r="110" spans="1:10" x14ac:dyDescent="0.2">
      <c r="A110" s="1">
        <v>46039</v>
      </c>
      <c r="B110" t="s">
        <v>19</v>
      </c>
      <c r="C110" t="s">
        <v>26</v>
      </c>
      <c r="D110" t="s">
        <v>74</v>
      </c>
      <c r="E110">
        <v>98548</v>
      </c>
      <c r="F110">
        <v>2788</v>
      </c>
      <c r="G110">
        <v>663.57</v>
      </c>
      <c r="H110">
        <v>76924</v>
      </c>
      <c r="I110">
        <v>148</v>
      </c>
      <c r="J110" t="s">
        <v>72</v>
      </c>
    </row>
    <row r="111" spans="1:10" x14ac:dyDescent="0.2">
      <c r="A111" s="1">
        <v>46039</v>
      </c>
      <c r="B111" t="s">
        <v>19</v>
      </c>
      <c r="C111" t="s">
        <v>73</v>
      </c>
      <c r="D111" t="s">
        <v>12</v>
      </c>
      <c r="E111">
        <v>85979</v>
      </c>
      <c r="F111">
        <v>2711</v>
      </c>
      <c r="G111">
        <v>550.54999999999995</v>
      </c>
      <c r="H111">
        <v>67398</v>
      </c>
      <c r="I111">
        <v>132</v>
      </c>
      <c r="J111" t="s">
        <v>72</v>
      </c>
    </row>
    <row r="112" spans="1:10" x14ac:dyDescent="0.2">
      <c r="A112" s="1">
        <v>46039</v>
      </c>
      <c r="B112" t="s">
        <v>18</v>
      </c>
      <c r="C112" t="s">
        <v>26</v>
      </c>
      <c r="D112" t="s">
        <v>12</v>
      </c>
      <c r="E112">
        <v>140155</v>
      </c>
      <c r="F112">
        <v>5625</v>
      </c>
      <c r="G112">
        <v>1301.96</v>
      </c>
      <c r="H112">
        <v>106356</v>
      </c>
      <c r="I112">
        <v>311</v>
      </c>
      <c r="J112" t="s">
        <v>72</v>
      </c>
    </row>
    <row r="113" spans="1:10" x14ac:dyDescent="0.2">
      <c r="A113" s="1">
        <v>46039</v>
      </c>
      <c r="B113" t="s">
        <v>18</v>
      </c>
      <c r="C113" t="s">
        <v>73</v>
      </c>
      <c r="D113" t="s">
        <v>74</v>
      </c>
      <c r="E113">
        <v>88890</v>
      </c>
      <c r="F113">
        <v>2863</v>
      </c>
      <c r="G113">
        <v>676.18</v>
      </c>
      <c r="H113">
        <v>70726</v>
      </c>
      <c r="I113">
        <v>105</v>
      </c>
      <c r="J113" t="s">
        <v>72</v>
      </c>
    </row>
    <row r="114" spans="1:10" x14ac:dyDescent="0.2">
      <c r="A114" s="1">
        <v>46040</v>
      </c>
      <c r="B114" t="s">
        <v>10</v>
      </c>
      <c r="C114" t="s">
        <v>26</v>
      </c>
      <c r="D114" t="s">
        <v>74</v>
      </c>
      <c r="E114">
        <v>122527</v>
      </c>
      <c r="F114">
        <v>4513</v>
      </c>
      <c r="G114">
        <v>1050.48</v>
      </c>
      <c r="H114">
        <v>97614</v>
      </c>
      <c r="I114">
        <v>181</v>
      </c>
      <c r="J114" t="s">
        <v>72</v>
      </c>
    </row>
    <row r="115" spans="1:10" x14ac:dyDescent="0.2">
      <c r="A115" s="1">
        <v>46040</v>
      </c>
      <c r="B115" t="s">
        <v>10</v>
      </c>
      <c r="C115" t="s">
        <v>73</v>
      </c>
      <c r="D115" t="s">
        <v>74</v>
      </c>
      <c r="E115">
        <v>92285</v>
      </c>
      <c r="F115">
        <v>3703</v>
      </c>
      <c r="G115">
        <v>849.44</v>
      </c>
      <c r="H115">
        <v>75124</v>
      </c>
      <c r="I115">
        <v>156</v>
      </c>
      <c r="J115" t="s">
        <v>72</v>
      </c>
    </row>
    <row r="116" spans="1:10" x14ac:dyDescent="0.2">
      <c r="A116" s="1">
        <v>46040</v>
      </c>
      <c r="B116" t="s">
        <v>15</v>
      </c>
      <c r="C116" t="s">
        <v>16</v>
      </c>
      <c r="D116" t="s">
        <v>74</v>
      </c>
      <c r="E116">
        <v>103054</v>
      </c>
      <c r="F116">
        <v>3920</v>
      </c>
      <c r="G116">
        <v>911.81</v>
      </c>
      <c r="H116">
        <v>82651</v>
      </c>
      <c r="I116">
        <v>206</v>
      </c>
      <c r="J116" t="s">
        <v>72</v>
      </c>
    </row>
    <row r="117" spans="1:10" x14ac:dyDescent="0.2">
      <c r="A117" s="1">
        <v>46040</v>
      </c>
      <c r="B117" t="s">
        <v>15</v>
      </c>
      <c r="C117" t="s">
        <v>76</v>
      </c>
      <c r="D117" t="s">
        <v>74</v>
      </c>
      <c r="E117">
        <v>134912</v>
      </c>
      <c r="F117">
        <v>3902</v>
      </c>
      <c r="G117">
        <v>800.89</v>
      </c>
      <c r="H117">
        <v>106974</v>
      </c>
      <c r="I117">
        <v>173</v>
      </c>
      <c r="J117" t="s">
        <v>72</v>
      </c>
    </row>
    <row r="118" spans="1:10" x14ac:dyDescent="0.2">
      <c r="A118" s="1">
        <v>46040</v>
      </c>
      <c r="B118" t="s">
        <v>19</v>
      </c>
      <c r="C118" t="s">
        <v>26</v>
      </c>
      <c r="D118" t="s">
        <v>74</v>
      </c>
      <c r="E118">
        <v>125172</v>
      </c>
      <c r="F118">
        <v>4723</v>
      </c>
      <c r="G118">
        <v>1066.07</v>
      </c>
      <c r="H118">
        <v>98152</v>
      </c>
      <c r="I118">
        <v>158</v>
      </c>
      <c r="J118" t="s">
        <v>72</v>
      </c>
    </row>
    <row r="119" spans="1:10" x14ac:dyDescent="0.2">
      <c r="A119" s="1">
        <v>46040</v>
      </c>
      <c r="B119" t="s">
        <v>19</v>
      </c>
      <c r="C119" t="s">
        <v>73</v>
      </c>
      <c r="D119" t="s">
        <v>74</v>
      </c>
      <c r="E119">
        <v>66971</v>
      </c>
      <c r="F119">
        <v>1878</v>
      </c>
      <c r="G119">
        <v>360.58</v>
      </c>
      <c r="H119">
        <v>50265</v>
      </c>
      <c r="I119">
        <v>85</v>
      </c>
      <c r="J119" t="s">
        <v>72</v>
      </c>
    </row>
    <row r="120" spans="1:10" x14ac:dyDescent="0.2">
      <c r="A120" s="1">
        <v>46040</v>
      </c>
      <c r="B120" t="s">
        <v>18</v>
      </c>
      <c r="C120" t="s">
        <v>26</v>
      </c>
      <c r="D120" t="s">
        <v>12</v>
      </c>
      <c r="E120">
        <v>70960</v>
      </c>
      <c r="F120">
        <v>2234</v>
      </c>
      <c r="G120">
        <v>497.77</v>
      </c>
      <c r="H120">
        <v>56538</v>
      </c>
      <c r="I120">
        <v>106</v>
      </c>
      <c r="J120" t="s">
        <v>72</v>
      </c>
    </row>
    <row r="121" spans="1:10" x14ac:dyDescent="0.2">
      <c r="A121" s="1">
        <v>46040</v>
      </c>
      <c r="B121" t="s">
        <v>18</v>
      </c>
      <c r="C121" t="s">
        <v>73</v>
      </c>
      <c r="D121" t="s">
        <v>74</v>
      </c>
      <c r="E121">
        <v>151001</v>
      </c>
      <c r="F121">
        <v>5677</v>
      </c>
      <c r="G121">
        <v>1291.8499999999999</v>
      </c>
      <c r="H121">
        <v>113543</v>
      </c>
      <c r="I121">
        <v>240</v>
      </c>
      <c r="J121" t="s">
        <v>72</v>
      </c>
    </row>
    <row r="122" spans="1:10" x14ac:dyDescent="0.2">
      <c r="A122" s="1">
        <v>46041</v>
      </c>
      <c r="B122" t="s">
        <v>10</v>
      </c>
      <c r="C122" t="s">
        <v>26</v>
      </c>
      <c r="D122" t="s">
        <v>71</v>
      </c>
      <c r="E122">
        <v>47499</v>
      </c>
      <c r="F122">
        <v>1503</v>
      </c>
      <c r="G122">
        <v>332.54</v>
      </c>
      <c r="H122">
        <v>38126</v>
      </c>
      <c r="I122">
        <v>78</v>
      </c>
      <c r="J122" t="s">
        <v>72</v>
      </c>
    </row>
    <row r="123" spans="1:10" x14ac:dyDescent="0.2">
      <c r="A123" s="1">
        <v>46041</v>
      </c>
      <c r="B123" t="s">
        <v>10</v>
      </c>
      <c r="C123" t="s">
        <v>73</v>
      </c>
      <c r="D123" t="s">
        <v>74</v>
      </c>
      <c r="E123">
        <v>41062</v>
      </c>
      <c r="F123">
        <v>1388</v>
      </c>
      <c r="G123">
        <v>264.99</v>
      </c>
      <c r="H123">
        <v>33163</v>
      </c>
      <c r="I123">
        <v>78</v>
      </c>
      <c r="J123" t="s">
        <v>72</v>
      </c>
    </row>
    <row r="124" spans="1:10" x14ac:dyDescent="0.2">
      <c r="A124" s="1">
        <v>46041</v>
      </c>
      <c r="B124" t="s">
        <v>15</v>
      </c>
      <c r="C124" t="s">
        <v>16</v>
      </c>
      <c r="D124" t="s">
        <v>75</v>
      </c>
      <c r="E124">
        <v>32717</v>
      </c>
      <c r="F124">
        <v>1350</v>
      </c>
      <c r="G124">
        <v>317.77</v>
      </c>
      <c r="H124">
        <v>25673</v>
      </c>
      <c r="I124">
        <v>63</v>
      </c>
      <c r="J124" t="s">
        <v>72</v>
      </c>
    </row>
    <row r="125" spans="1:10" x14ac:dyDescent="0.2">
      <c r="A125" s="1">
        <v>46041</v>
      </c>
      <c r="B125" t="s">
        <v>15</v>
      </c>
      <c r="C125" t="s">
        <v>76</v>
      </c>
      <c r="D125" t="s">
        <v>75</v>
      </c>
      <c r="E125">
        <v>90610</v>
      </c>
      <c r="F125">
        <v>2788</v>
      </c>
      <c r="G125">
        <v>619.15</v>
      </c>
      <c r="H125">
        <v>66768</v>
      </c>
      <c r="I125">
        <v>111</v>
      </c>
      <c r="J125" t="s">
        <v>72</v>
      </c>
    </row>
    <row r="126" spans="1:10" x14ac:dyDescent="0.2">
      <c r="A126" s="1">
        <v>46041</v>
      </c>
      <c r="B126" t="s">
        <v>18</v>
      </c>
      <c r="C126" t="s">
        <v>26</v>
      </c>
      <c r="D126" t="s">
        <v>12</v>
      </c>
      <c r="E126">
        <v>108694</v>
      </c>
      <c r="F126">
        <v>3439</v>
      </c>
      <c r="G126">
        <v>637.4</v>
      </c>
      <c r="H126">
        <v>82258</v>
      </c>
      <c r="I126">
        <v>194</v>
      </c>
      <c r="J126" t="s">
        <v>72</v>
      </c>
    </row>
    <row r="127" spans="1:10" x14ac:dyDescent="0.2">
      <c r="A127" s="1">
        <v>46041</v>
      </c>
      <c r="B127" t="s">
        <v>18</v>
      </c>
      <c r="C127" t="s">
        <v>73</v>
      </c>
      <c r="D127" t="s">
        <v>74</v>
      </c>
      <c r="E127">
        <v>31850</v>
      </c>
      <c r="F127">
        <v>1212</v>
      </c>
      <c r="G127">
        <v>249.8</v>
      </c>
      <c r="H127">
        <v>25862</v>
      </c>
      <c r="I127">
        <v>50</v>
      </c>
      <c r="J127" t="s">
        <v>72</v>
      </c>
    </row>
    <row r="128" spans="1:10" x14ac:dyDescent="0.2">
      <c r="A128" s="1">
        <v>46042</v>
      </c>
      <c r="B128" t="s">
        <v>10</v>
      </c>
      <c r="C128" t="s">
        <v>26</v>
      </c>
      <c r="D128" t="s">
        <v>71</v>
      </c>
      <c r="E128">
        <v>94769</v>
      </c>
      <c r="F128">
        <v>2810</v>
      </c>
      <c r="G128">
        <v>626.11</v>
      </c>
      <c r="H128">
        <v>70039</v>
      </c>
      <c r="I128">
        <v>151</v>
      </c>
      <c r="J128" t="s">
        <v>72</v>
      </c>
    </row>
    <row r="129" spans="1:10" x14ac:dyDescent="0.2">
      <c r="A129" s="1">
        <v>46042</v>
      </c>
      <c r="B129" t="s">
        <v>10</v>
      </c>
      <c r="C129" t="s">
        <v>73</v>
      </c>
      <c r="D129" t="s">
        <v>71</v>
      </c>
      <c r="E129">
        <v>67743</v>
      </c>
      <c r="F129">
        <v>2604</v>
      </c>
      <c r="G129">
        <v>528.41999999999996</v>
      </c>
      <c r="H129">
        <v>51696</v>
      </c>
      <c r="I129">
        <v>89</v>
      </c>
      <c r="J129" t="s">
        <v>72</v>
      </c>
    </row>
    <row r="130" spans="1:10" x14ac:dyDescent="0.2">
      <c r="A130" s="1">
        <v>46042</v>
      </c>
      <c r="B130" t="s">
        <v>15</v>
      </c>
      <c r="C130" t="s">
        <v>16</v>
      </c>
      <c r="D130" t="s">
        <v>75</v>
      </c>
      <c r="E130">
        <v>67089</v>
      </c>
      <c r="F130">
        <v>2561</v>
      </c>
      <c r="G130">
        <v>490.08</v>
      </c>
      <c r="H130">
        <v>49514</v>
      </c>
      <c r="I130">
        <v>132</v>
      </c>
      <c r="J130" t="s">
        <v>72</v>
      </c>
    </row>
    <row r="131" spans="1:10" x14ac:dyDescent="0.2">
      <c r="A131" s="1">
        <v>46042</v>
      </c>
      <c r="B131" t="s">
        <v>15</v>
      </c>
      <c r="C131" t="s">
        <v>76</v>
      </c>
      <c r="D131" t="s">
        <v>75</v>
      </c>
      <c r="E131">
        <v>68036</v>
      </c>
      <c r="F131">
        <v>2834</v>
      </c>
      <c r="G131">
        <v>550.16</v>
      </c>
      <c r="H131">
        <v>52054</v>
      </c>
      <c r="I131">
        <v>100</v>
      </c>
      <c r="J131" t="s">
        <v>72</v>
      </c>
    </row>
    <row r="132" spans="1:10" x14ac:dyDescent="0.2">
      <c r="A132" s="1">
        <v>46042</v>
      </c>
      <c r="B132" t="s">
        <v>18</v>
      </c>
      <c r="C132" t="s">
        <v>26</v>
      </c>
      <c r="D132" t="s">
        <v>12</v>
      </c>
      <c r="E132">
        <v>41237</v>
      </c>
      <c r="F132">
        <v>1160</v>
      </c>
      <c r="G132">
        <v>218.07</v>
      </c>
      <c r="H132">
        <v>31023</v>
      </c>
      <c r="I132">
        <v>56</v>
      </c>
      <c r="J132" t="s">
        <v>72</v>
      </c>
    </row>
    <row r="133" spans="1:10" x14ac:dyDescent="0.2">
      <c r="A133" s="1">
        <v>46042</v>
      </c>
      <c r="B133" t="s">
        <v>18</v>
      </c>
      <c r="C133" t="s">
        <v>73</v>
      </c>
      <c r="D133" t="s">
        <v>74</v>
      </c>
      <c r="E133">
        <v>80265</v>
      </c>
      <c r="F133">
        <v>3043</v>
      </c>
      <c r="G133">
        <v>682.14</v>
      </c>
      <c r="H133">
        <v>59847</v>
      </c>
      <c r="I133">
        <v>93</v>
      </c>
      <c r="J133" t="s">
        <v>72</v>
      </c>
    </row>
    <row r="134" spans="1:10" x14ac:dyDescent="0.2">
      <c r="A134" s="1">
        <v>46043</v>
      </c>
      <c r="B134" t="s">
        <v>10</v>
      </c>
      <c r="C134" t="s">
        <v>26</v>
      </c>
      <c r="D134" t="s">
        <v>74</v>
      </c>
      <c r="E134">
        <v>36830</v>
      </c>
      <c r="F134">
        <v>1202</v>
      </c>
      <c r="G134">
        <v>233.3</v>
      </c>
      <c r="H134">
        <v>29862</v>
      </c>
      <c r="I134">
        <v>69</v>
      </c>
      <c r="J134" t="s">
        <v>72</v>
      </c>
    </row>
    <row r="135" spans="1:10" x14ac:dyDescent="0.2">
      <c r="A135" s="1">
        <v>46043</v>
      </c>
      <c r="B135" t="s">
        <v>10</v>
      </c>
      <c r="C135" t="s">
        <v>73</v>
      </c>
      <c r="D135" t="s">
        <v>74</v>
      </c>
      <c r="E135">
        <v>30702</v>
      </c>
      <c r="F135">
        <v>968</v>
      </c>
      <c r="G135">
        <v>210.23</v>
      </c>
      <c r="H135">
        <v>23034</v>
      </c>
      <c r="I135">
        <v>38</v>
      </c>
      <c r="J135" t="s">
        <v>72</v>
      </c>
    </row>
    <row r="136" spans="1:10" x14ac:dyDescent="0.2">
      <c r="A136" s="1">
        <v>46043</v>
      </c>
      <c r="B136" t="s">
        <v>15</v>
      </c>
      <c r="C136" t="s">
        <v>16</v>
      </c>
      <c r="D136" t="s">
        <v>74</v>
      </c>
      <c r="E136">
        <v>47332</v>
      </c>
      <c r="F136">
        <v>1966</v>
      </c>
      <c r="G136">
        <v>419.89</v>
      </c>
      <c r="H136">
        <v>36826</v>
      </c>
      <c r="I136">
        <v>70</v>
      </c>
      <c r="J136" t="s">
        <v>72</v>
      </c>
    </row>
    <row r="137" spans="1:10" x14ac:dyDescent="0.2">
      <c r="A137" s="1">
        <v>46043</v>
      </c>
      <c r="B137" t="s">
        <v>15</v>
      </c>
      <c r="C137" t="s">
        <v>76</v>
      </c>
      <c r="D137" t="s">
        <v>74</v>
      </c>
      <c r="E137">
        <v>74456</v>
      </c>
      <c r="F137">
        <v>2999</v>
      </c>
      <c r="G137">
        <v>563.55999999999995</v>
      </c>
      <c r="H137">
        <v>55970</v>
      </c>
      <c r="I137">
        <v>131</v>
      </c>
      <c r="J137" t="s">
        <v>72</v>
      </c>
    </row>
    <row r="138" spans="1:10" x14ac:dyDescent="0.2">
      <c r="A138" s="1">
        <v>46043</v>
      </c>
      <c r="B138" t="s">
        <v>18</v>
      </c>
      <c r="C138" t="s">
        <v>26</v>
      </c>
      <c r="D138" t="s">
        <v>12</v>
      </c>
      <c r="E138">
        <v>64131</v>
      </c>
      <c r="F138">
        <v>1900</v>
      </c>
      <c r="G138">
        <v>347.03</v>
      </c>
      <c r="H138">
        <v>46994</v>
      </c>
      <c r="I138">
        <v>102</v>
      </c>
      <c r="J138" t="s">
        <v>72</v>
      </c>
    </row>
    <row r="139" spans="1:10" x14ac:dyDescent="0.2">
      <c r="A139" s="1">
        <v>46043</v>
      </c>
      <c r="B139" t="s">
        <v>18</v>
      </c>
      <c r="C139" t="s">
        <v>73</v>
      </c>
      <c r="D139" t="s">
        <v>74</v>
      </c>
      <c r="E139">
        <v>77263</v>
      </c>
      <c r="F139">
        <v>3165</v>
      </c>
      <c r="G139">
        <v>623.42999999999995</v>
      </c>
      <c r="H139">
        <v>62404</v>
      </c>
      <c r="I139">
        <v>146</v>
      </c>
      <c r="J139" t="s">
        <v>72</v>
      </c>
    </row>
    <row r="140" spans="1:10" x14ac:dyDescent="0.2">
      <c r="A140" s="1">
        <v>46044</v>
      </c>
      <c r="B140" t="s">
        <v>10</v>
      </c>
      <c r="C140" t="s">
        <v>26</v>
      </c>
      <c r="D140" t="s">
        <v>12</v>
      </c>
      <c r="E140">
        <v>97760</v>
      </c>
      <c r="F140">
        <v>3165</v>
      </c>
      <c r="G140">
        <v>739.22</v>
      </c>
      <c r="H140">
        <v>73471</v>
      </c>
      <c r="I140">
        <v>183</v>
      </c>
      <c r="J140" t="s">
        <v>72</v>
      </c>
    </row>
    <row r="141" spans="1:10" x14ac:dyDescent="0.2">
      <c r="A141" s="1">
        <v>46044</v>
      </c>
      <c r="B141" t="s">
        <v>10</v>
      </c>
      <c r="C141" t="s">
        <v>73</v>
      </c>
      <c r="D141" t="s">
        <v>74</v>
      </c>
      <c r="E141">
        <v>102833</v>
      </c>
      <c r="F141">
        <v>4107</v>
      </c>
      <c r="G141">
        <v>901.26</v>
      </c>
      <c r="H141">
        <v>82248</v>
      </c>
      <c r="I141">
        <v>121</v>
      </c>
      <c r="J141" t="s">
        <v>72</v>
      </c>
    </row>
    <row r="142" spans="1:10" x14ac:dyDescent="0.2">
      <c r="A142" s="1">
        <v>46044</v>
      </c>
      <c r="B142" t="s">
        <v>15</v>
      </c>
      <c r="C142" t="s">
        <v>16</v>
      </c>
      <c r="D142" t="s">
        <v>75</v>
      </c>
      <c r="E142">
        <v>37152</v>
      </c>
      <c r="F142">
        <v>1159</v>
      </c>
      <c r="G142">
        <v>211.11</v>
      </c>
      <c r="H142">
        <v>27716</v>
      </c>
      <c r="I142">
        <v>56</v>
      </c>
      <c r="J142" t="s">
        <v>72</v>
      </c>
    </row>
    <row r="143" spans="1:10" x14ac:dyDescent="0.2">
      <c r="A143" s="1">
        <v>46044</v>
      </c>
      <c r="B143" t="s">
        <v>15</v>
      </c>
      <c r="C143" t="s">
        <v>76</v>
      </c>
      <c r="D143" t="s">
        <v>74</v>
      </c>
      <c r="E143">
        <v>45207</v>
      </c>
      <c r="F143">
        <v>1895</v>
      </c>
      <c r="G143">
        <v>446.52</v>
      </c>
      <c r="H143">
        <v>32733</v>
      </c>
      <c r="I143">
        <v>73</v>
      </c>
      <c r="J143" t="s">
        <v>72</v>
      </c>
    </row>
    <row r="144" spans="1:10" x14ac:dyDescent="0.2">
      <c r="A144" s="1">
        <v>46044</v>
      </c>
      <c r="B144" t="s">
        <v>18</v>
      </c>
      <c r="C144" t="s">
        <v>26</v>
      </c>
      <c r="D144" t="s">
        <v>12</v>
      </c>
      <c r="E144">
        <v>89999</v>
      </c>
      <c r="F144">
        <v>3141</v>
      </c>
      <c r="G144">
        <v>724.79</v>
      </c>
      <c r="H144">
        <v>72601</v>
      </c>
      <c r="I144">
        <v>99</v>
      </c>
      <c r="J144" t="s">
        <v>72</v>
      </c>
    </row>
    <row r="145" spans="1:10" x14ac:dyDescent="0.2">
      <c r="A145" s="1">
        <v>46044</v>
      </c>
      <c r="B145" t="s">
        <v>18</v>
      </c>
      <c r="C145" t="s">
        <v>73</v>
      </c>
      <c r="D145" t="s">
        <v>74</v>
      </c>
      <c r="E145">
        <v>56703</v>
      </c>
      <c r="F145">
        <v>2276</v>
      </c>
      <c r="G145">
        <v>434.35</v>
      </c>
      <c r="H145">
        <v>41780</v>
      </c>
      <c r="I145">
        <v>98</v>
      </c>
      <c r="J145" t="s">
        <v>72</v>
      </c>
    </row>
    <row r="146" spans="1:10" x14ac:dyDescent="0.2">
      <c r="A146" s="1">
        <v>46045</v>
      </c>
      <c r="B146" t="s">
        <v>10</v>
      </c>
      <c r="C146" t="s">
        <v>26</v>
      </c>
      <c r="D146" t="s">
        <v>12</v>
      </c>
      <c r="E146">
        <v>103825</v>
      </c>
      <c r="F146">
        <v>4202</v>
      </c>
      <c r="G146">
        <v>904.02</v>
      </c>
      <c r="H146">
        <v>80812</v>
      </c>
      <c r="I146">
        <v>240</v>
      </c>
      <c r="J146" t="s">
        <v>72</v>
      </c>
    </row>
    <row r="147" spans="1:10" x14ac:dyDescent="0.2">
      <c r="A147" s="1">
        <v>46045</v>
      </c>
      <c r="B147" t="s">
        <v>10</v>
      </c>
      <c r="C147" t="s">
        <v>73</v>
      </c>
      <c r="D147" t="s">
        <v>74</v>
      </c>
      <c r="E147">
        <v>84580</v>
      </c>
      <c r="F147">
        <v>3458</v>
      </c>
      <c r="G147">
        <v>673.51</v>
      </c>
      <c r="H147">
        <v>65110</v>
      </c>
      <c r="I147">
        <v>106</v>
      </c>
      <c r="J147" t="s">
        <v>72</v>
      </c>
    </row>
    <row r="148" spans="1:10" x14ac:dyDescent="0.2">
      <c r="A148" s="1">
        <v>46045</v>
      </c>
      <c r="B148" t="s">
        <v>15</v>
      </c>
      <c r="C148" t="s">
        <v>16</v>
      </c>
      <c r="D148" t="s">
        <v>74</v>
      </c>
      <c r="E148">
        <v>33402</v>
      </c>
      <c r="F148">
        <v>1068</v>
      </c>
      <c r="G148">
        <v>255.12</v>
      </c>
      <c r="H148">
        <v>24456</v>
      </c>
      <c r="I148">
        <v>41</v>
      </c>
      <c r="J148" t="s">
        <v>72</v>
      </c>
    </row>
    <row r="149" spans="1:10" x14ac:dyDescent="0.2">
      <c r="A149" s="1">
        <v>46045</v>
      </c>
      <c r="B149" t="s">
        <v>15</v>
      </c>
      <c r="C149" t="s">
        <v>76</v>
      </c>
      <c r="D149" t="s">
        <v>75</v>
      </c>
      <c r="E149">
        <v>72406</v>
      </c>
      <c r="F149">
        <v>2183</v>
      </c>
      <c r="G149">
        <v>403.56</v>
      </c>
      <c r="H149">
        <v>58147</v>
      </c>
      <c r="I149">
        <v>104</v>
      </c>
      <c r="J149" t="s">
        <v>72</v>
      </c>
    </row>
    <row r="150" spans="1:10" x14ac:dyDescent="0.2">
      <c r="A150" s="1">
        <v>46045</v>
      </c>
      <c r="B150" t="s">
        <v>18</v>
      </c>
      <c r="C150" t="s">
        <v>26</v>
      </c>
      <c r="D150" t="s">
        <v>12</v>
      </c>
      <c r="E150">
        <v>65300</v>
      </c>
      <c r="F150">
        <v>2371</v>
      </c>
      <c r="G150">
        <v>427.61</v>
      </c>
      <c r="H150">
        <v>53348</v>
      </c>
      <c r="I150">
        <v>113</v>
      </c>
      <c r="J150" t="s">
        <v>72</v>
      </c>
    </row>
    <row r="151" spans="1:10" x14ac:dyDescent="0.2">
      <c r="A151" s="1">
        <v>46045</v>
      </c>
      <c r="B151" t="s">
        <v>18</v>
      </c>
      <c r="C151" t="s">
        <v>73</v>
      </c>
      <c r="D151" t="s">
        <v>74</v>
      </c>
      <c r="E151">
        <v>72587</v>
      </c>
      <c r="F151">
        <v>2995</v>
      </c>
      <c r="G151">
        <v>718.77</v>
      </c>
      <c r="H151">
        <v>58845</v>
      </c>
      <c r="I151">
        <v>155</v>
      </c>
      <c r="J151" t="s">
        <v>72</v>
      </c>
    </row>
    <row r="152" spans="1:10" x14ac:dyDescent="0.2">
      <c r="A152" s="1">
        <v>46046</v>
      </c>
      <c r="B152" t="s">
        <v>10</v>
      </c>
      <c r="C152" t="s">
        <v>26</v>
      </c>
      <c r="D152" t="s">
        <v>74</v>
      </c>
      <c r="E152">
        <v>80785</v>
      </c>
      <c r="F152">
        <v>3238</v>
      </c>
      <c r="G152">
        <v>738.57</v>
      </c>
      <c r="H152">
        <v>60451</v>
      </c>
      <c r="I152">
        <v>168</v>
      </c>
      <c r="J152" t="s">
        <v>72</v>
      </c>
    </row>
    <row r="153" spans="1:10" x14ac:dyDescent="0.2">
      <c r="A153" s="1">
        <v>46046</v>
      </c>
      <c r="B153" t="s">
        <v>10</v>
      </c>
      <c r="C153" t="s">
        <v>73</v>
      </c>
      <c r="D153" t="s">
        <v>74</v>
      </c>
      <c r="E153">
        <v>142402</v>
      </c>
      <c r="F153">
        <v>5884</v>
      </c>
      <c r="G153">
        <v>1193.77</v>
      </c>
      <c r="H153">
        <v>108209</v>
      </c>
      <c r="I153">
        <v>196</v>
      </c>
      <c r="J153" t="s">
        <v>72</v>
      </c>
    </row>
    <row r="154" spans="1:10" x14ac:dyDescent="0.2">
      <c r="A154" s="1">
        <v>46046</v>
      </c>
      <c r="B154" t="s">
        <v>15</v>
      </c>
      <c r="C154" t="s">
        <v>16</v>
      </c>
      <c r="D154" t="s">
        <v>74</v>
      </c>
      <c r="E154">
        <v>58365</v>
      </c>
      <c r="F154">
        <v>1650</v>
      </c>
      <c r="G154">
        <v>317.61</v>
      </c>
      <c r="H154">
        <v>44290</v>
      </c>
      <c r="I154">
        <v>66</v>
      </c>
      <c r="J154" t="s">
        <v>72</v>
      </c>
    </row>
    <row r="155" spans="1:10" x14ac:dyDescent="0.2">
      <c r="A155" s="1">
        <v>46046</v>
      </c>
      <c r="B155" t="s">
        <v>15</v>
      </c>
      <c r="C155" t="s">
        <v>76</v>
      </c>
      <c r="D155" t="s">
        <v>75</v>
      </c>
      <c r="E155">
        <v>64129</v>
      </c>
      <c r="F155">
        <v>2063</v>
      </c>
      <c r="G155">
        <v>470.5</v>
      </c>
      <c r="H155">
        <v>50892</v>
      </c>
      <c r="I155">
        <v>114</v>
      </c>
      <c r="J155" t="s">
        <v>72</v>
      </c>
    </row>
    <row r="156" spans="1:10" x14ac:dyDescent="0.2">
      <c r="A156" s="1">
        <v>46046</v>
      </c>
      <c r="B156" t="s">
        <v>19</v>
      </c>
      <c r="C156" t="s">
        <v>26</v>
      </c>
      <c r="D156" t="s">
        <v>12</v>
      </c>
      <c r="E156">
        <v>107884</v>
      </c>
      <c r="F156">
        <v>4025</v>
      </c>
      <c r="G156">
        <v>925.44</v>
      </c>
      <c r="H156">
        <v>83207</v>
      </c>
      <c r="I156">
        <v>171</v>
      </c>
      <c r="J156" t="s">
        <v>72</v>
      </c>
    </row>
    <row r="157" spans="1:10" x14ac:dyDescent="0.2">
      <c r="A157" s="1">
        <v>46046</v>
      </c>
      <c r="B157" t="s">
        <v>19</v>
      </c>
      <c r="C157" t="s">
        <v>73</v>
      </c>
      <c r="D157" t="s">
        <v>74</v>
      </c>
      <c r="E157">
        <v>129425</v>
      </c>
      <c r="F157">
        <v>4110</v>
      </c>
      <c r="G157">
        <v>887.84</v>
      </c>
      <c r="H157">
        <v>94353</v>
      </c>
      <c r="I157">
        <v>167</v>
      </c>
      <c r="J157" t="s">
        <v>72</v>
      </c>
    </row>
    <row r="158" spans="1:10" x14ac:dyDescent="0.2">
      <c r="A158" s="1">
        <v>46046</v>
      </c>
      <c r="B158" t="s">
        <v>18</v>
      </c>
      <c r="C158" t="s">
        <v>26</v>
      </c>
      <c r="D158" t="s">
        <v>12</v>
      </c>
      <c r="E158">
        <v>76196</v>
      </c>
      <c r="F158">
        <v>2596</v>
      </c>
      <c r="G158">
        <v>533.64</v>
      </c>
      <c r="H158">
        <v>55169</v>
      </c>
      <c r="I158">
        <v>99</v>
      </c>
      <c r="J158" t="s">
        <v>72</v>
      </c>
    </row>
    <row r="159" spans="1:10" x14ac:dyDescent="0.2">
      <c r="A159" s="1">
        <v>46046</v>
      </c>
      <c r="B159" t="s">
        <v>18</v>
      </c>
      <c r="C159" t="s">
        <v>73</v>
      </c>
      <c r="D159" t="s">
        <v>74</v>
      </c>
      <c r="E159">
        <v>83146</v>
      </c>
      <c r="F159">
        <v>3081</v>
      </c>
      <c r="G159">
        <v>686.5</v>
      </c>
      <c r="H159">
        <v>67603</v>
      </c>
      <c r="I159">
        <v>135</v>
      </c>
      <c r="J159" t="s">
        <v>72</v>
      </c>
    </row>
    <row r="160" spans="1:10" x14ac:dyDescent="0.2">
      <c r="A160" s="1">
        <v>46047</v>
      </c>
      <c r="B160" t="s">
        <v>10</v>
      </c>
      <c r="C160" t="s">
        <v>26</v>
      </c>
      <c r="D160" t="s">
        <v>71</v>
      </c>
      <c r="E160">
        <v>138278</v>
      </c>
      <c r="F160">
        <v>4034</v>
      </c>
      <c r="G160">
        <v>839.45</v>
      </c>
      <c r="H160">
        <v>100655</v>
      </c>
      <c r="I160">
        <v>209</v>
      </c>
      <c r="J160" t="s">
        <v>72</v>
      </c>
    </row>
    <row r="161" spans="1:10" x14ac:dyDescent="0.2">
      <c r="A161" s="1">
        <v>46047</v>
      </c>
      <c r="B161" t="s">
        <v>10</v>
      </c>
      <c r="C161" t="s">
        <v>73</v>
      </c>
      <c r="D161" t="s">
        <v>71</v>
      </c>
      <c r="E161">
        <v>69269</v>
      </c>
      <c r="F161">
        <v>2893</v>
      </c>
      <c r="G161">
        <v>639.52</v>
      </c>
      <c r="H161">
        <v>51954</v>
      </c>
      <c r="I161">
        <v>102</v>
      </c>
      <c r="J161" t="s">
        <v>72</v>
      </c>
    </row>
    <row r="162" spans="1:10" x14ac:dyDescent="0.2">
      <c r="A162" s="1">
        <v>46047</v>
      </c>
      <c r="B162" t="s">
        <v>15</v>
      </c>
      <c r="C162" t="s">
        <v>16</v>
      </c>
      <c r="D162" t="s">
        <v>74</v>
      </c>
      <c r="E162">
        <v>96220</v>
      </c>
      <c r="F162">
        <v>3460</v>
      </c>
      <c r="G162">
        <v>737.19</v>
      </c>
      <c r="H162">
        <v>78104</v>
      </c>
      <c r="I162">
        <v>150</v>
      </c>
      <c r="J162" t="s">
        <v>72</v>
      </c>
    </row>
    <row r="163" spans="1:10" x14ac:dyDescent="0.2">
      <c r="A163" s="1">
        <v>46047</v>
      </c>
      <c r="B163" t="s">
        <v>15</v>
      </c>
      <c r="C163" t="s">
        <v>76</v>
      </c>
      <c r="D163" t="s">
        <v>74</v>
      </c>
      <c r="E163">
        <v>117788</v>
      </c>
      <c r="F163">
        <v>3453</v>
      </c>
      <c r="G163">
        <v>758.46</v>
      </c>
      <c r="H163">
        <v>91503</v>
      </c>
      <c r="I163">
        <v>122</v>
      </c>
      <c r="J163" t="s">
        <v>72</v>
      </c>
    </row>
    <row r="164" spans="1:10" x14ac:dyDescent="0.2">
      <c r="A164" s="1">
        <v>46047</v>
      </c>
      <c r="B164" t="s">
        <v>19</v>
      </c>
      <c r="C164" t="s">
        <v>26</v>
      </c>
      <c r="D164" t="s">
        <v>74</v>
      </c>
      <c r="E164">
        <v>149451</v>
      </c>
      <c r="F164">
        <v>4355</v>
      </c>
      <c r="G164">
        <v>915.45</v>
      </c>
      <c r="H164">
        <v>109307</v>
      </c>
      <c r="I164">
        <v>208</v>
      </c>
      <c r="J164" t="s">
        <v>72</v>
      </c>
    </row>
    <row r="165" spans="1:10" x14ac:dyDescent="0.2">
      <c r="A165" s="1">
        <v>46047</v>
      </c>
      <c r="B165" t="s">
        <v>19</v>
      </c>
      <c r="C165" t="s">
        <v>73</v>
      </c>
      <c r="D165" t="s">
        <v>12</v>
      </c>
      <c r="E165">
        <v>75434</v>
      </c>
      <c r="F165">
        <v>3002</v>
      </c>
      <c r="G165">
        <v>548.51</v>
      </c>
      <c r="H165">
        <v>57452</v>
      </c>
      <c r="I165">
        <v>147</v>
      </c>
      <c r="J165" t="s">
        <v>72</v>
      </c>
    </row>
    <row r="166" spans="1:10" x14ac:dyDescent="0.2">
      <c r="A166" s="1">
        <v>46047</v>
      </c>
      <c r="B166" t="s">
        <v>18</v>
      </c>
      <c r="C166" t="s">
        <v>26</v>
      </c>
      <c r="D166" t="s">
        <v>12</v>
      </c>
      <c r="E166">
        <v>149752</v>
      </c>
      <c r="F166">
        <v>5711</v>
      </c>
      <c r="G166">
        <v>1287.5</v>
      </c>
      <c r="H166">
        <v>114559</v>
      </c>
      <c r="I166">
        <v>298</v>
      </c>
      <c r="J166" t="s">
        <v>72</v>
      </c>
    </row>
    <row r="167" spans="1:10" x14ac:dyDescent="0.2">
      <c r="A167" s="1">
        <v>46047</v>
      </c>
      <c r="B167" t="s">
        <v>18</v>
      </c>
      <c r="C167" t="s">
        <v>73</v>
      </c>
      <c r="D167" t="s">
        <v>74</v>
      </c>
      <c r="E167">
        <v>76349</v>
      </c>
      <c r="F167">
        <v>2363</v>
      </c>
      <c r="G167">
        <v>436.43</v>
      </c>
      <c r="H167">
        <v>62470</v>
      </c>
      <c r="I167">
        <v>84</v>
      </c>
      <c r="J167" t="s">
        <v>72</v>
      </c>
    </row>
    <row r="168" spans="1:10" x14ac:dyDescent="0.2">
      <c r="A168" s="1">
        <v>46048</v>
      </c>
      <c r="B168" t="s">
        <v>10</v>
      </c>
      <c r="C168" t="s">
        <v>26</v>
      </c>
      <c r="D168" t="s">
        <v>71</v>
      </c>
      <c r="E168">
        <v>43936</v>
      </c>
      <c r="F168">
        <v>1497</v>
      </c>
      <c r="G168">
        <v>271.07</v>
      </c>
      <c r="H168">
        <v>33369</v>
      </c>
      <c r="I168">
        <v>42</v>
      </c>
      <c r="J168" t="s">
        <v>72</v>
      </c>
    </row>
    <row r="169" spans="1:10" x14ac:dyDescent="0.2">
      <c r="A169" s="1">
        <v>46048</v>
      </c>
      <c r="B169" t="s">
        <v>10</v>
      </c>
      <c r="C169" t="s">
        <v>73</v>
      </c>
      <c r="D169" t="s">
        <v>71</v>
      </c>
      <c r="E169">
        <v>90314</v>
      </c>
      <c r="F169">
        <v>3403</v>
      </c>
      <c r="G169">
        <v>789.93</v>
      </c>
      <c r="H169">
        <v>73748</v>
      </c>
      <c r="I169">
        <v>156</v>
      </c>
      <c r="J169" t="s">
        <v>72</v>
      </c>
    </row>
    <row r="170" spans="1:10" x14ac:dyDescent="0.2">
      <c r="A170" s="1">
        <v>46048</v>
      </c>
      <c r="B170" t="s">
        <v>15</v>
      </c>
      <c r="C170" t="s">
        <v>16</v>
      </c>
      <c r="D170" t="s">
        <v>74</v>
      </c>
      <c r="E170">
        <v>69688</v>
      </c>
      <c r="F170">
        <v>2554</v>
      </c>
      <c r="G170">
        <v>608.96</v>
      </c>
      <c r="H170">
        <v>52689</v>
      </c>
      <c r="I170">
        <v>123</v>
      </c>
      <c r="J170" t="s">
        <v>72</v>
      </c>
    </row>
    <row r="171" spans="1:10" x14ac:dyDescent="0.2">
      <c r="A171" s="1">
        <v>46048</v>
      </c>
      <c r="B171" t="s">
        <v>15</v>
      </c>
      <c r="C171" t="s">
        <v>76</v>
      </c>
      <c r="D171" t="s">
        <v>74</v>
      </c>
      <c r="E171">
        <v>69669</v>
      </c>
      <c r="F171">
        <v>2036</v>
      </c>
      <c r="G171">
        <v>382.99</v>
      </c>
      <c r="H171">
        <v>51490</v>
      </c>
      <c r="I171">
        <v>106</v>
      </c>
      <c r="J171" t="s">
        <v>72</v>
      </c>
    </row>
    <row r="172" spans="1:10" x14ac:dyDescent="0.2">
      <c r="A172" s="1">
        <v>46048</v>
      </c>
      <c r="B172" t="s">
        <v>18</v>
      </c>
      <c r="C172" t="s">
        <v>26</v>
      </c>
      <c r="D172" t="s">
        <v>12</v>
      </c>
      <c r="E172">
        <v>33514</v>
      </c>
      <c r="F172">
        <v>1036</v>
      </c>
      <c r="G172">
        <v>226.8</v>
      </c>
      <c r="H172">
        <v>26307</v>
      </c>
      <c r="I172">
        <v>42</v>
      </c>
      <c r="J172" t="s">
        <v>72</v>
      </c>
    </row>
    <row r="173" spans="1:10" x14ac:dyDescent="0.2">
      <c r="A173" s="1">
        <v>46048</v>
      </c>
      <c r="B173" t="s">
        <v>18</v>
      </c>
      <c r="C173" t="s">
        <v>73</v>
      </c>
      <c r="D173" t="s">
        <v>74</v>
      </c>
      <c r="E173">
        <v>41284</v>
      </c>
      <c r="F173">
        <v>1329</v>
      </c>
      <c r="G173">
        <v>276.17</v>
      </c>
      <c r="H173">
        <v>31681</v>
      </c>
      <c r="I173">
        <v>38</v>
      </c>
      <c r="J173" t="s">
        <v>72</v>
      </c>
    </row>
    <row r="174" spans="1:10" x14ac:dyDescent="0.2">
      <c r="A174" s="1">
        <v>46049</v>
      </c>
      <c r="B174" t="s">
        <v>10</v>
      </c>
      <c r="C174" t="s">
        <v>26</v>
      </c>
      <c r="D174" t="s">
        <v>74</v>
      </c>
      <c r="E174">
        <v>49978</v>
      </c>
      <c r="F174">
        <v>1916</v>
      </c>
      <c r="G174">
        <v>396.07</v>
      </c>
      <c r="H174">
        <v>38408</v>
      </c>
      <c r="I174">
        <v>54</v>
      </c>
      <c r="J174" t="s">
        <v>72</v>
      </c>
    </row>
    <row r="175" spans="1:10" x14ac:dyDescent="0.2">
      <c r="A175" s="1">
        <v>46049</v>
      </c>
      <c r="B175" t="s">
        <v>10</v>
      </c>
      <c r="C175" t="s">
        <v>73</v>
      </c>
      <c r="D175" t="s">
        <v>71</v>
      </c>
      <c r="E175">
        <v>106706</v>
      </c>
      <c r="F175">
        <v>3350</v>
      </c>
      <c r="G175">
        <v>662.26</v>
      </c>
      <c r="H175">
        <v>85679</v>
      </c>
      <c r="I175">
        <v>133</v>
      </c>
      <c r="J175" t="s">
        <v>72</v>
      </c>
    </row>
    <row r="176" spans="1:10" x14ac:dyDescent="0.2">
      <c r="A176" s="1">
        <v>46049</v>
      </c>
      <c r="B176" t="s">
        <v>15</v>
      </c>
      <c r="C176" t="s">
        <v>16</v>
      </c>
      <c r="D176" t="s">
        <v>74</v>
      </c>
      <c r="E176">
        <v>31032</v>
      </c>
      <c r="F176">
        <v>913</v>
      </c>
      <c r="G176">
        <v>210.77</v>
      </c>
      <c r="H176">
        <v>23682</v>
      </c>
      <c r="I176">
        <v>36</v>
      </c>
      <c r="J176" t="s">
        <v>72</v>
      </c>
    </row>
    <row r="177" spans="1:10" x14ac:dyDescent="0.2">
      <c r="A177" s="1">
        <v>46049</v>
      </c>
      <c r="B177" t="s">
        <v>15</v>
      </c>
      <c r="C177" t="s">
        <v>76</v>
      </c>
      <c r="D177" t="s">
        <v>74</v>
      </c>
      <c r="E177">
        <v>105846</v>
      </c>
      <c r="F177">
        <v>3846</v>
      </c>
      <c r="G177">
        <v>820.19</v>
      </c>
      <c r="H177">
        <v>79286</v>
      </c>
      <c r="I177">
        <v>163</v>
      </c>
      <c r="J177" t="s">
        <v>72</v>
      </c>
    </row>
    <row r="178" spans="1:10" x14ac:dyDescent="0.2">
      <c r="A178" s="1">
        <v>46049</v>
      </c>
      <c r="B178" t="s">
        <v>18</v>
      </c>
      <c r="C178" t="s">
        <v>26</v>
      </c>
      <c r="D178" t="s">
        <v>12</v>
      </c>
      <c r="E178">
        <v>97286</v>
      </c>
      <c r="F178">
        <v>3529</v>
      </c>
      <c r="G178">
        <v>764.7</v>
      </c>
      <c r="H178">
        <v>76648</v>
      </c>
      <c r="I178">
        <v>185</v>
      </c>
      <c r="J178" t="s">
        <v>72</v>
      </c>
    </row>
    <row r="179" spans="1:10" x14ac:dyDescent="0.2">
      <c r="A179" s="1">
        <v>46049</v>
      </c>
      <c r="B179" t="s">
        <v>18</v>
      </c>
      <c r="C179" t="s">
        <v>73</v>
      </c>
      <c r="D179" t="s">
        <v>74</v>
      </c>
      <c r="E179">
        <v>60396</v>
      </c>
      <c r="F179">
        <v>2295</v>
      </c>
      <c r="G179">
        <v>485.85</v>
      </c>
      <c r="H179">
        <v>46033</v>
      </c>
      <c r="I179">
        <v>86</v>
      </c>
      <c r="J179" t="s">
        <v>72</v>
      </c>
    </row>
    <row r="180" spans="1:10" x14ac:dyDescent="0.2">
      <c r="A180" s="1">
        <v>46050</v>
      </c>
      <c r="B180" t="s">
        <v>10</v>
      </c>
      <c r="C180" t="s">
        <v>26</v>
      </c>
      <c r="D180" t="s">
        <v>74</v>
      </c>
      <c r="E180">
        <v>65107</v>
      </c>
      <c r="F180">
        <v>2636</v>
      </c>
      <c r="G180">
        <v>540.45000000000005</v>
      </c>
      <c r="H180">
        <v>49958</v>
      </c>
      <c r="I180">
        <v>112</v>
      </c>
      <c r="J180" t="s">
        <v>72</v>
      </c>
    </row>
    <row r="181" spans="1:10" x14ac:dyDescent="0.2">
      <c r="A181" s="1">
        <v>46050</v>
      </c>
      <c r="B181" t="s">
        <v>10</v>
      </c>
      <c r="C181" t="s">
        <v>73</v>
      </c>
      <c r="D181" t="s">
        <v>71</v>
      </c>
      <c r="E181">
        <v>88762</v>
      </c>
      <c r="F181">
        <v>3352</v>
      </c>
      <c r="G181">
        <v>607.54</v>
      </c>
      <c r="H181">
        <v>66465</v>
      </c>
      <c r="I181">
        <v>113</v>
      </c>
      <c r="J181" t="s">
        <v>72</v>
      </c>
    </row>
    <row r="182" spans="1:10" x14ac:dyDescent="0.2">
      <c r="A182" s="1">
        <v>46050</v>
      </c>
      <c r="B182" t="s">
        <v>15</v>
      </c>
      <c r="C182" t="s">
        <v>16</v>
      </c>
      <c r="D182" t="s">
        <v>74</v>
      </c>
      <c r="E182">
        <v>87424</v>
      </c>
      <c r="F182">
        <v>2731</v>
      </c>
      <c r="G182">
        <v>527.58000000000004</v>
      </c>
      <c r="H182">
        <v>70892</v>
      </c>
      <c r="I182">
        <v>104</v>
      </c>
      <c r="J182" t="s">
        <v>72</v>
      </c>
    </row>
    <row r="183" spans="1:10" x14ac:dyDescent="0.2">
      <c r="A183" s="1">
        <v>46050</v>
      </c>
      <c r="B183" t="s">
        <v>15</v>
      </c>
      <c r="C183" t="s">
        <v>76</v>
      </c>
      <c r="D183" t="s">
        <v>74</v>
      </c>
      <c r="E183">
        <v>47191</v>
      </c>
      <c r="F183">
        <v>1904</v>
      </c>
      <c r="G183">
        <v>425.31</v>
      </c>
      <c r="H183">
        <v>35819</v>
      </c>
      <c r="I183">
        <v>77</v>
      </c>
      <c r="J183" t="s">
        <v>72</v>
      </c>
    </row>
    <row r="184" spans="1:10" x14ac:dyDescent="0.2">
      <c r="A184" s="1">
        <v>46050</v>
      </c>
      <c r="B184" t="s">
        <v>18</v>
      </c>
      <c r="C184" t="s">
        <v>26</v>
      </c>
      <c r="D184" t="s">
        <v>12</v>
      </c>
      <c r="E184">
        <v>91908</v>
      </c>
      <c r="F184">
        <v>3602</v>
      </c>
      <c r="G184">
        <v>830.88</v>
      </c>
      <c r="H184">
        <v>71888</v>
      </c>
      <c r="I184">
        <v>131</v>
      </c>
      <c r="J184" t="s">
        <v>72</v>
      </c>
    </row>
    <row r="185" spans="1:10" x14ac:dyDescent="0.2">
      <c r="A185" s="1">
        <v>46050</v>
      </c>
      <c r="B185" t="s">
        <v>18</v>
      </c>
      <c r="C185" t="s">
        <v>73</v>
      </c>
      <c r="D185" t="s">
        <v>74</v>
      </c>
      <c r="E185">
        <v>93293</v>
      </c>
      <c r="F185">
        <v>2780</v>
      </c>
      <c r="G185">
        <v>533.66999999999996</v>
      </c>
      <c r="H185">
        <v>72822</v>
      </c>
      <c r="I185">
        <v>86</v>
      </c>
      <c r="J185" t="s">
        <v>72</v>
      </c>
    </row>
    <row r="186" spans="1:10" x14ac:dyDescent="0.2">
      <c r="A186" s="1">
        <v>46051</v>
      </c>
      <c r="B186" t="s">
        <v>10</v>
      </c>
      <c r="C186" t="s">
        <v>26</v>
      </c>
      <c r="D186" t="s">
        <v>12</v>
      </c>
      <c r="E186">
        <v>94713</v>
      </c>
      <c r="F186">
        <v>3054</v>
      </c>
      <c r="G186">
        <v>588.1</v>
      </c>
      <c r="H186">
        <v>68638</v>
      </c>
      <c r="I186">
        <v>87</v>
      </c>
      <c r="J186" t="s">
        <v>72</v>
      </c>
    </row>
    <row r="187" spans="1:10" x14ac:dyDescent="0.2">
      <c r="A187" s="1">
        <v>46051</v>
      </c>
      <c r="B187" t="s">
        <v>10</v>
      </c>
      <c r="C187" t="s">
        <v>73</v>
      </c>
      <c r="D187" t="s">
        <v>71</v>
      </c>
      <c r="E187">
        <v>76798</v>
      </c>
      <c r="F187">
        <v>2878</v>
      </c>
      <c r="G187">
        <v>548.21</v>
      </c>
      <c r="H187">
        <v>61895</v>
      </c>
      <c r="I187">
        <v>124</v>
      </c>
      <c r="J187" t="s">
        <v>72</v>
      </c>
    </row>
    <row r="188" spans="1:10" x14ac:dyDescent="0.2">
      <c r="A188" s="1">
        <v>46051</v>
      </c>
      <c r="B188" t="s">
        <v>15</v>
      </c>
      <c r="C188" t="s">
        <v>16</v>
      </c>
      <c r="D188" t="s">
        <v>75</v>
      </c>
      <c r="E188">
        <v>74267</v>
      </c>
      <c r="F188">
        <v>2527</v>
      </c>
      <c r="G188">
        <v>548.49</v>
      </c>
      <c r="H188">
        <v>54368</v>
      </c>
      <c r="I188">
        <v>87</v>
      </c>
      <c r="J188" t="s">
        <v>72</v>
      </c>
    </row>
    <row r="189" spans="1:10" x14ac:dyDescent="0.2">
      <c r="A189" s="1">
        <v>46051</v>
      </c>
      <c r="B189" t="s">
        <v>15</v>
      </c>
      <c r="C189" t="s">
        <v>76</v>
      </c>
      <c r="D189" t="s">
        <v>74</v>
      </c>
      <c r="E189">
        <v>74606</v>
      </c>
      <c r="F189">
        <v>2908</v>
      </c>
      <c r="G189">
        <v>657.68</v>
      </c>
      <c r="H189">
        <v>59461</v>
      </c>
      <c r="I189">
        <v>130</v>
      </c>
      <c r="J189" t="s">
        <v>72</v>
      </c>
    </row>
    <row r="190" spans="1:10" x14ac:dyDescent="0.2">
      <c r="A190" s="1">
        <v>46051</v>
      </c>
      <c r="B190" t="s">
        <v>18</v>
      </c>
      <c r="C190" t="s">
        <v>26</v>
      </c>
      <c r="D190" t="s">
        <v>12</v>
      </c>
      <c r="E190">
        <v>97552</v>
      </c>
      <c r="F190">
        <v>3556</v>
      </c>
      <c r="G190">
        <v>662.3</v>
      </c>
      <c r="H190">
        <v>70729</v>
      </c>
      <c r="I190">
        <v>200</v>
      </c>
      <c r="J190" t="s">
        <v>72</v>
      </c>
    </row>
    <row r="191" spans="1:10" x14ac:dyDescent="0.2">
      <c r="A191" s="1">
        <v>46051</v>
      </c>
      <c r="B191" t="s">
        <v>18</v>
      </c>
      <c r="C191" t="s">
        <v>73</v>
      </c>
      <c r="D191" t="s">
        <v>74</v>
      </c>
      <c r="E191">
        <v>44539</v>
      </c>
      <c r="F191">
        <v>1854</v>
      </c>
      <c r="G191">
        <v>420.67</v>
      </c>
      <c r="H191">
        <v>34783</v>
      </c>
      <c r="I191">
        <v>99</v>
      </c>
      <c r="J191" t="s">
        <v>72</v>
      </c>
    </row>
    <row r="192" spans="1:10" x14ac:dyDescent="0.2">
      <c r="A192" s="1">
        <v>46052</v>
      </c>
      <c r="B192" t="s">
        <v>10</v>
      </c>
      <c r="C192" t="s">
        <v>26</v>
      </c>
      <c r="D192" t="s">
        <v>74</v>
      </c>
      <c r="E192">
        <v>103724</v>
      </c>
      <c r="F192">
        <v>2965</v>
      </c>
      <c r="G192">
        <v>552.45000000000005</v>
      </c>
      <c r="H192">
        <v>81215</v>
      </c>
      <c r="I192">
        <v>160</v>
      </c>
      <c r="J192" t="s">
        <v>72</v>
      </c>
    </row>
    <row r="193" spans="1:10" x14ac:dyDescent="0.2">
      <c r="A193" s="1">
        <v>46052</v>
      </c>
      <c r="B193" t="s">
        <v>10</v>
      </c>
      <c r="C193" t="s">
        <v>73</v>
      </c>
      <c r="D193" t="s">
        <v>71</v>
      </c>
      <c r="E193">
        <v>50582</v>
      </c>
      <c r="F193">
        <v>1932</v>
      </c>
      <c r="G193">
        <v>429.85</v>
      </c>
      <c r="H193">
        <v>40273</v>
      </c>
      <c r="I193">
        <v>82</v>
      </c>
      <c r="J193" t="s">
        <v>72</v>
      </c>
    </row>
    <row r="194" spans="1:10" x14ac:dyDescent="0.2">
      <c r="A194" s="1">
        <v>46052</v>
      </c>
      <c r="B194" t="s">
        <v>15</v>
      </c>
      <c r="C194" t="s">
        <v>16</v>
      </c>
      <c r="D194" t="s">
        <v>75</v>
      </c>
      <c r="E194">
        <v>50223</v>
      </c>
      <c r="F194">
        <v>1861</v>
      </c>
      <c r="G194">
        <v>372.34</v>
      </c>
      <c r="H194">
        <v>36852</v>
      </c>
      <c r="I194">
        <v>99</v>
      </c>
      <c r="J194" t="s">
        <v>72</v>
      </c>
    </row>
    <row r="195" spans="1:10" x14ac:dyDescent="0.2">
      <c r="A195" s="1">
        <v>46052</v>
      </c>
      <c r="B195" t="s">
        <v>15</v>
      </c>
      <c r="C195" t="s">
        <v>76</v>
      </c>
      <c r="D195" t="s">
        <v>74</v>
      </c>
      <c r="E195">
        <v>84493</v>
      </c>
      <c r="F195">
        <v>3275</v>
      </c>
      <c r="G195">
        <v>590.79</v>
      </c>
      <c r="H195">
        <v>67888</v>
      </c>
      <c r="I195">
        <v>138</v>
      </c>
      <c r="J195" t="s">
        <v>72</v>
      </c>
    </row>
    <row r="196" spans="1:10" x14ac:dyDescent="0.2">
      <c r="A196" s="1">
        <v>46052</v>
      </c>
      <c r="B196" t="s">
        <v>18</v>
      </c>
      <c r="C196" t="s">
        <v>26</v>
      </c>
      <c r="D196" t="s">
        <v>12</v>
      </c>
      <c r="E196">
        <v>96194</v>
      </c>
      <c r="F196">
        <v>2924</v>
      </c>
      <c r="G196">
        <v>572.99</v>
      </c>
      <c r="H196">
        <v>76139</v>
      </c>
      <c r="I196">
        <v>118</v>
      </c>
      <c r="J196" t="s">
        <v>72</v>
      </c>
    </row>
    <row r="197" spans="1:10" x14ac:dyDescent="0.2">
      <c r="A197" s="1">
        <v>46052</v>
      </c>
      <c r="B197" t="s">
        <v>18</v>
      </c>
      <c r="C197" t="s">
        <v>73</v>
      </c>
      <c r="D197" t="s">
        <v>74</v>
      </c>
      <c r="E197">
        <v>49871</v>
      </c>
      <c r="F197">
        <v>1922</v>
      </c>
      <c r="G197">
        <v>407.04</v>
      </c>
      <c r="H197">
        <v>39833</v>
      </c>
      <c r="I197">
        <v>61</v>
      </c>
      <c r="J197" t="s">
        <v>72</v>
      </c>
    </row>
    <row r="198" spans="1:10" x14ac:dyDescent="0.2">
      <c r="A198" s="1">
        <v>46053</v>
      </c>
      <c r="B198" t="s">
        <v>10</v>
      </c>
      <c r="C198" t="s">
        <v>26</v>
      </c>
      <c r="D198" t="s">
        <v>12</v>
      </c>
      <c r="E198">
        <v>117860</v>
      </c>
      <c r="F198">
        <v>4814</v>
      </c>
      <c r="G198">
        <v>1125.92</v>
      </c>
      <c r="H198">
        <v>96077</v>
      </c>
      <c r="I198">
        <v>209</v>
      </c>
      <c r="J198" t="s">
        <v>72</v>
      </c>
    </row>
    <row r="199" spans="1:10" x14ac:dyDescent="0.2">
      <c r="A199" s="1">
        <v>46053</v>
      </c>
      <c r="B199" t="s">
        <v>10</v>
      </c>
      <c r="C199" t="s">
        <v>73</v>
      </c>
      <c r="D199" t="s">
        <v>71</v>
      </c>
      <c r="E199">
        <v>47461</v>
      </c>
      <c r="F199">
        <v>1622</v>
      </c>
      <c r="G199">
        <v>366.91</v>
      </c>
      <c r="H199">
        <v>37577</v>
      </c>
      <c r="I199">
        <v>70</v>
      </c>
      <c r="J199" t="s">
        <v>72</v>
      </c>
    </row>
    <row r="200" spans="1:10" x14ac:dyDescent="0.2">
      <c r="A200" s="1">
        <v>46053</v>
      </c>
      <c r="B200" t="s">
        <v>15</v>
      </c>
      <c r="C200" t="s">
        <v>16</v>
      </c>
      <c r="D200" t="s">
        <v>75</v>
      </c>
      <c r="E200">
        <v>57556</v>
      </c>
      <c r="F200">
        <v>1884</v>
      </c>
      <c r="G200">
        <v>384.52</v>
      </c>
      <c r="H200">
        <v>45885</v>
      </c>
      <c r="I200">
        <v>77</v>
      </c>
      <c r="J200" t="s">
        <v>72</v>
      </c>
    </row>
    <row r="201" spans="1:10" x14ac:dyDescent="0.2">
      <c r="A201" s="1">
        <v>46053</v>
      </c>
      <c r="B201" t="s">
        <v>15</v>
      </c>
      <c r="C201" t="s">
        <v>76</v>
      </c>
      <c r="D201" t="s">
        <v>74</v>
      </c>
      <c r="E201">
        <v>48805</v>
      </c>
      <c r="F201">
        <v>1817</v>
      </c>
      <c r="G201">
        <v>396.99</v>
      </c>
      <c r="H201">
        <v>39544</v>
      </c>
      <c r="I201">
        <v>54</v>
      </c>
      <c r="J201" t="s">
        <v>72</v>
      </c>
    </row>
    <row r="202" spans="1:10" x14ac:dyDescent="0.2">
      <c r="A202" s="1">
        <v>46053</v>
      </c>
      <c r="B202" t="s">
        <v>19</v>
      </c>
      <c r="C202" t="s">
        <v>26</v>
      </c>
      <c r="D202" t="s">
        <v>74</v>
      </c>
      <c r="E202">
        <v>118942</v>
      </c>
      <c r="F202">
        <v>3999</v>
      </c>
      <c r="G202">
        <v>883.19</v>
      </c>
      <c r="H202">
        <v>92222</v>
      </c>
      <c r="I202">
        <v>148</v>
      </c>
      <c r="J202" t="s">
        <v>72</v>
      </c>
    </row>
    <row r="203" spans="1:10" x14ac:dyDescent="0.2">
      <c r="A203" s="1">
        <v>46053</v>
      </c>
      <c r="B203" t="s">
        <v>19</v>
      </c>
      <c r="C203" t="s">
        <v>73</v>
      </c>
      <c r="D203" t="s">
        <v>74</v>
      </c>
      <c r="E203">
        <v>105152</v>
      </c>
      <c r="F203">
        <v>2955</v>
      </c>
      <c r="G203">
        <v>581.51</v>
      </c>
      <c r="H203">
        <v>81259</v>
      </c>
      <c r="I203">
        <v>164</v>
      </c>
      <c r="J203" t="s">
        <v>72</v>
      </c>
    </row>
    <row r="204" spans="1:10" x14ac:dyDescent="0.2">
      <c r="A204" s="1">
        <v>46053</v>
      </c>
      <c r="B204" t="s">
        <v>18</v>
      </c>
      <c r="C204" t="s">
        <v>26</v>
      </c>
      <c r="D204" t="s">
        <v>12</v>
      </c>
      <c r="E204">
        <v>123874</v>
      </c>
      <c r="F204">
        <v>4585</v>
      </c>
      <c r="G204">
        <v>1069.47</v>
      </c>
      <c r="H204">
        <v>96923</v>
      </c>
      <c r="I204">
        <v>213</v>
      </c>
      <c r="J204" t="s">
        <v>72</v>
      </c>
    </row>
    <row r="205" spans="1:10" x14ac:dyDescent="0.2">
      <c r="A205" s="1">
        <v>46053</v>
      </c>
      <c r="B205" t="s">
        <v>18</v>
      </c>
      <c r="C205" t="s">
        <v>73</v>
      </c>
      <c r="D205" t="s">
        <v>74</v>
      </c>
      <c r="E205">
        <v>105352</v>
      </c>
      <c r="F205">
        <v>4259</v>
      </c>
      <c r="G205">
        <v>966.34</v>
      </c>
      <c r="H205">
        <v>80114</v>
      </c>
      <c r="I205">
        <v>144</v>
      </c>
      <c r="J205" t="s">
        <v>72</v>
      </c>
    </row>
    <row r="206" spans="1:10" x14ac:dyDescent="0.2">
      <c r="A206" s="1">
        <v>46054</v>
      </c>
      <c r="B206" t="s">
        <v>10</v>
      </c>
      <c r="C206" t="s">
        <v>26</v>
      </c>
      <c r="D206" t="s">
        <v>12</v>
      </c>
      <c r="E206">
        <v>57464</v>
      </c>
      <c r="F206">
        <v>1638</v>
      </c>
      <c r="G206">
        <v>327.71</v>
      </c>
      <c r="H206">
        <v>45540</v>
      </c>
      <c r="I206">
        <v>82</v>
      </c>
      <c r="J206" t="s">
        <v>72</v>
      </c>
    </row>
    <row r="207" spans="1:10" x14ac:dyDescent="0.2">
      <c r="A207" s="1">
        <v>46054</v>
      </c>
      <c r="B207" t="s">
        <v>10</v>
      </c>
      <c r="C207" t="s">
        <v>73</v>
      </c>
      <c r="D207" t="s">
        <v>74</v>
      </c>
      <c r="E207">
        <v>137506</v>
      </c>
      <c r="F207">
        <v>5759</v>
      </c>
      <c r="G207">
        <v>1134.73</v>
      </c>
      <c r="H207">
        <v>100280</v>
      </c>
      <c r="I207">
        <v>256</v>
      </c>
      <c r="J207" t="s">
        <v>72</v>
      </c>
    </row>
    <row r="208" spans="1:10" x14ac:dyDescent="0.2">
      <c r="A208" s="1">
        <v>46054</v>
      </c>
      <c r="B208" t="s">
        <v>15</v>
      </c>
      <c r="C208" t="s">
        <v>16</v>
      </c>
      <c r="D208" t="s">
        <v>74</v>
      </c>
      <c r="E208">
        <v>71365</v>
      </c>
      <c r="F208">
        <v>2021</v>
      </c>
      <c r="G208">
        <v>471.74</v>
      </c>
      <c r="H208">
        <v>55236</v>
      </c>
      <c r="I208">
        <v>72</v>
      </c>
      <c r="J208" t="s">
        <v>72</v>
      </c>
    </row>
    <row r="209" spans="1:10" x14ac:dyDescent="0.2">
      <c r="A209" s="1">
        <v>46054</v>
      </c>
      <c r="B209" t="s">
        <v>15</v>
      </c>
      <c r="C209" t="s">
        <v>76</v>
      </c>
      <c r="D209" t="s">
        <v>74</v>
      </c>
      <c r="E209">
        <v>119573</v>
      </c>
      <c r="F209">
        <v>5000</v>
      </c>
      <c r="G209">
        <v>933.13</v>
      </c>
      <c r="H209">
        <v>86809</v>
      </c>
      <c r="I209">
        <v>195</v>
      </c>
      <c r="J209" t="s">
        <v>72</v>
      </c>
    </row>
    <row r="210" spans="1:10" x14ac:dyDescent="0.2">
      <c r="A210" s="1">
        <v>46054</v>
      </c>
      <c r="B210" t="s">
        <v>19</v>
      </c>
      <c r="C210" t="s">
        <v>26</v>
      </c>
      <c r="D210" t="s">
        <v>74</v>
      </c>
      <c r="E210">
        <v>64719</v>
      </c>
      <c r="F210">
        <v>1855</v>
      </c>
      <c r="G210">
        <v>406.35</v>
      </c>
      <c r="H210">
        <v>47405</v>
      </c>
      <c r="I210">
        <v>68</v>
      </c>
      <c r="J210" t="s">
        <v>72</v>
      </c>
    </row>
    <row r="211" spans="1:10" x14ac:dyDescent="0.2">
      <c r="A211" s="1">
        <v>46054</v>
      </c>
      <c r="B211" t="s">
        <v>19</v>
      </c>
      <c r="C211" t="s">
        <v>73</v>
      </c>
      <c r="D211" t="s">
        <v>12</v>
      </c>
      <c r="E211">
        <v>125151</v>
      </c>
      <c r="F211">
        <v>4098</v>
      </c>
      <c r="G211">
        <v>795.69</v>
      </c>
      <c r="H211">
        <v>99441</v>
      </c>
      <c r="I211">
        <v>186</v>
      </c>
      <c r="J211" t="s">
        <v>72</v>
      </c>
    </row>
    <row r="212" spans="1:10" x14ac:dyDescent="0.2">
      <c r="A212" s="1">
        <v>46054</v>
      </c>
      <c r="B212" t="s">
        <v>20</v>
      </c>
      <c r="C212" t="s">
        <v>77</v>
      </c>
      <c r="D212" t="s">
        <v>12</v>
      </c>
      <c r="E212">
        <v>106286</v>
      </c>
      <c r="F212">
        <v>3421</v>
      </c>
      <c r="G212">
        <v>752.67</v>
      </c>
      <c r="H212">
        <v>85189</v>
      </c>
      <c r="I212">
        <v>154</v>
      </c>
      <c r="J212" t="s">
        <v>72</v>
      </c>
    </row>
    <row r="213" spans="1:10" x14ac:dyDescent="0.2">
      <c r="A213" s="1">
        <v>46054</v>
      </c>
      <c r="B213" t="s">
        <v>20</v>
      </c>
      <c r="C213" t="s">
        <v>73</v>
      </c>
      <c r="D213" t="s">
        <v>71</v>
      </c>
      <c r="E213">
        <v>111301</v>
      </c>
      <c r="F213">
        <v>3926</v>
      </c>
      <c r="G213">
        <v>765.01</v>
      </c>
      <c r="H213">
        <v>83785</v>
      </c>
      <c r="I213">
        <v>178</v>
      </c>
      <c r="J213" t="s">
        <v>72</v>
      </c>
    </row>
    <row r="214" spans="1:10" x14ac:dyDescent="0.2">
      <c r="A214" s="1">
        <v>46055</v>
      </c>
      <c r="B214" t="s">
        <v>10</v>
      </c>
      <c r="C214" t="s">
        <v>26</v>
      </c>
      <c r="D214" t="s">
        <v>12</v>
      </c>
      <c r="E214">
        <v>89547</v>
      </c>
      <c r="F214">
        <v>2630</v>
      </c>
      <c r="G214">
        <v>585.70000000000005</v>
      </c>
      <c r="H214">
        <v>71892</v>
      </c>
      <c r="I214">
        <v>80</v>
      </c>
      <c r="J214" t="s">
        <v>72</v>
      </c>
    </row>
    <row r="215" spans="1:10" x14ac:dyDescent="0.2">
      <c r="A215" s="1">
        <v>46055</v>
      </c>
      <c r="B215" t="s">
        <v>10</v>
      </c>
      <c r="C215" t="s">
        <v>73</v>
      </c>
      <c r="D215" t="s">
        <v>74</v>
      </c>
      <c r="E215">
        <v>85690</v>
      </c>
      <c r="F215">
        <v>3465</v>
      </c>
      <c r="G215">
        <v>722.71</v>
      </c>
      <c r="H215">
        <v>65519</v>
      </c>
      <c r="I215">
        <v>135</v>
      </c>
      <c r="J215" t="s">
        <v>72</v>
      </c>
    </row>
    <row r="216" spans="1:10" x14ac:dyDescent="0.2">
      <c r="A216" s="1">
        <v>46055</v>
      </c>
      <c r="B216" t="s">
        <v>15</v>
      </c>
      <c r="C216" t="s">
        <v>16</v>
      </c>
      <c r="D216" t="s">
        <v>74</v>
      </c>
      <c r="E216">
        <v>107101</v>
      </c>
      <c r="F216">
        <v>3836</v>
      </c>
      <c r="G216">
        <v>869.73</v>
      </c>
      <c r="H216">
        <v>86452</v>
      </c>
      <c r="I216">
        <v>174</v>
      </c>
      <c r="J216" t="s">
        <v>72</v>
      </c>
    </row>
    <row r="217" spans="1:10" x14ac:dyDescent="0.2">
      <c r="A217" s="1">
        <v>46055</v>
      </c>
      <c r="B217" t="s">
        <v>15</v>
      </c>
      <c r="C217" t="s">
        <v>76</v>
      </c>
      <c r="D217" t="s">
        <v>74</v>
      </c>
      <c r="E217">
        <v>87682</v>
      </c>
      <c r="F217">
        <v>3300</v>
      </c>
      <c r="G217">
        <v>781.67</v>
      </c>
      <c r="H217">
        <v>69546</v>
      </c>
      <c r="I217">
        <v>133</v>
      </c>
      <c r="J217" t="s">
        <v>72</v>
      </c>
    </row>
    <row r="218" spans="1:10" x14ac:dyDescent="0.2">
      <c r="A218" s="1">
        <v>46055</v>
      </c>
      <c r="B218" t="s">
        <v>20</v>
      </c>
      <c r="C218" t="s">
        <v>77</v>
      </c>
      <c r="D218" t="s">
        <v>12</v>
      </c>
      <c r="E218">
        <v>48919</v>
      </c>
      <c r="F218">
        <v>1716</v>
      </c>
      <c r="G218">
        <v>358.79</v>
      </c>
      <c r="H218">
        <v>37460</v>
      </c>
      <c r="I218">
        <v>97</v>
      </c>
      <c r="J218" t="s">
        <v>72</v>
      </c>
    </row>
    <row r="219" spans="1:10" x14ac:dyDescent="0.2">
      <c r="A219" s="1">
        <v>46055</v>
      </c>
      <c r="B219" t="s">
        <v>20</v>
      </c>
      <c r="C219" t="s">
        <v>73</v>
      </c>
      <c r="D219" t="s">
        <v>71</v>
      </c>
      <c r="E219">
        <v>57871</v>
      </c>
      <c r="F219">
        <v>1989</v>
      </c>
      <c r="G219">
        <v>361.91</v>
      </c>
      <c r="H219">
        <v>42574</v>
      </c>
      <c r="I219">
        <v>89</v>
      </c>
      <c r="J219" t="s">
        <v>72</v>
      </c>
    </row>
    <row r="220" spans="1:10" x14ac:dyDescent="0.2">
      <c r="A220" s="1">
        <v>46056</v>
      </c>
      <c r="B220" t="s">
        <v>10</v>
      </c>
      <c r="C220" t="s">
        <v>26</v>
      </c>
      <c r="D220" t="s">
        <v>74</v>
      </c>
      <c r="E220">
        <v>108852</v>
      </c>
      <c r="F220">
        <v>4346</v>
      </c>
      <c r="G220">
        <v>811.05</v>
      </c>
      <c r="H220">
        <v>82396</v>
      </c>
      <c r="I220">
        <v>159</v>
      </c>
      <c r="J220" t="s">
        <v>72</v>
      </c>
    </row>
    <row r="221" spans="1:10" x14ac:dyDescent="0.2">
      <c r="A221" s="1">
        <v>46056</v>
      </c>
      <c r="B221" t="s">
        <v>10</v>
      </c>
      <c r="C221" t="s">
        <v>73</v>
      </c>
      <c r="D221" t="s">
        <v>74</v>
      </c>
      <c r="E221">
        <v>45432</v>
      </c>
      <c r="F221">
        <v>1508</v>
      </c>
      <c r="G221">
        <v>361.11</v>
      </c>
      <c r="H221">
        <v>34088</v>
      </c>
      <c r="I221">
        <v>64</v>
      </c>
      <c r="J221" t="s">
        <v>72</v>
      </c>
    </row>
    <row r="222" spans="1:10" x14ac:dyDescent="0.2">
      <c r="A222" s="1">
        <v>46056</v>
      </c>
      <c r="B222" t="s">
        <v>15</v>
      </c>
      <c r="C222" t="s">
        <v>16</v>
      </c>
      <c r="D222" t="s">
        <v>75</v>
      </c>
      <c r="E222">
        <v>48630</v>
      </c>
      <c r="F222">
        <v>1895</v>
      </c>
      <c r="G222">
        <v>389.05</v>
      </c>
      <c r="H222">
        <v>39569</v>
      </c>
      <c r="I222">
        <v>70</v>
      </c>
      <c r="J222" t="s">
        <v>72</v>
      </c>
    </row>
    <row r="223" spans="1:10" x14ac:dyDescent="0.2">
      <c r="A223" s="1">
        <v>46056</v>
      </c>
      <c r="B223" t="s">
        <v>15</v>
      </c>
      <c r="C223" t="s">
        <v>76</v>
      </c>
      <c r="D223" t="s">
        <v>74</v>
      </c>
      <c r="E223">
        <v>58256</v>
      </c>
      <c r="F223">
        <v>1780</v>
      </c>
      <c r="G223">
        <v>399.4</v>
      </c>
      <c r="H223">
        <v>41956</v>
      </c>
      <c r="I223">
        <v>79</v>
      </c>
      <c r="J223" t="s">
        <v>72</v>
      </c>
    </row>
    <row r="224" spans="1:10" x14ac:dyDescent="0.2">
      <c r="A224" s="1">
        <v>46056</v>
      </c>
      <c r="B224" t="s">
        <v>20</v>
      </c>
      <c r="C224" t="s">
        <v>77</v>
      </c>
      <c r="D224" t="s">
        <v>12</v>
      </c>
      <c r="E224">
        <v>35856</v>
      </c>
      <c r="F224">
        <v>1213</v>
      </c>
      <c r="G224">
        <v>260.05</v>
      </c>
      <c r="H224">
        <v>27844</v>
      </c>
      <c r="I224">
        <v>66</v>
      </c>
      <c r="J224" t="s">
        <v>72</v>
      </c>
    </row>
    <row r="225" spans="1:10" x14ac:dyDescent="0.2">
      <c r="A225" s="1">
        <v>46056</v>
      </c>
      <c r="B225" t="s">
        <v>20</v>
      </c>
      <c r="C225" t="s">
        <v>73</v>
      </c>
      <c r="D225" t="s">
        <v>71</v>
      </c>
      <c r="E225">
        <v>92289</v>
      </c>
      <c r="F225">
        <v>3662</v>
      </c>
      <c r="G225">
        <v>842.34</v>
      </c>
      <c r="H225">
        <v>67673</v>
      </c>
      <c r="I225">
        <v>117</v>
      </c>
      <c r="J225" t="s">
        <v>72</v>
      </c>
    </row>
    <row r="226" spans="1:10" x14ac:dyDescent="0.2">
      <c r="A226" s="1">
        <v>46057</v>
      </c>
      <c r="B226" t="s">
        <v>10</v>
      </c>
      <c r="C226" t="s">
        <v>26</v>
      </c>
      <c r="D226" t="s">
        <v>71</v>
      </c>
      <c r="E226">
        <v>90415</v>
      </c>
      <c r="F226">
        <v>3495</v>
      </c>
      <c r="G226">
        <v>769.02</v>
      </c>
      <c r="H226">
        <v>66445</v>
      </c>
      <c r="I226">
        <v>174</v>
      </c>
      <c r="J226" t="s">
        <v>72</v>
      </c>
    </row>
    <row r="227" spans="1:10" x14ac:dyDescent="0.2">
      <c r="A227" s="1">
        <v>46057</v>
      </c>
      <c r="B227" t="s">
        <v>10</v>
      </c>
      <c r="C227" t="s">
        <v>73</v>
      </c>
      <c r="D227" t="s">
        <v>74</v>
      </c>
      <c r="E227">
        <v>83690</v>
      </c>
      <c r="F227">
        <v>2797</v>
      </c>
      <c r="G227">
        <v>654.54</v>
      </c>
      <c r="H227">
        <v>63093</v>
      </c>
      <c r="I227">
        <v>82</v>
      </c>
      <c r="J227" t="s">
        <v>72</v>
      </c>
    </row>
    <row r="228" spans="1:10" x14ac:dyDescent="0.2">
      <c r="A228" s="1">
        <v>46057</v>
      </c>
      <c r="B228" t="s">
        <v>15</v>
      </c>
      <c r="C228" t="s">
        <v>16</v>
      </c>
      <c r="D228" t="s">
        <v>74</v>
      </c>
      <c r="E228">
        <v>66356</v>
      </c>
      <c r="F228">
        <v>2458</v>
      </c>
      <c r="G228">
        <v>570.15</v>
      </c>
      <c r="H228">
        <v>52469</v>
      </c>
      <c r="I228">
        <v>111</v>
      </c>
      <c r="J228" t="s">
        <v>72</v>
      </c>
    </row>
    <row r="229" spans="1:10" x14ac:dyDescent="0.2">
      <c r="A229" s="1">
        <v>46057</v>
      </c>
      <c r="B229" t="s">
        <v>15</v>
      </c>
      <c r="C229" t="s">
        <v>76</v>
      </c>
      <c r="D229" t="s">
        <v>74</v>
      </c>
      <c r="E229">
        <v>103537</v>
      </c>
      <c r="F229">
        <v>3834</v>
      </c>
      <c r="G229">
        <v>838.25</v>
      </c>
      <c r="H229">
        <v>75428</v>
      </c>
      <c r="I229">
        <v>217</v>
      </c>
      <c r="J229" t="s">
        <v>72</v>
      </c>
    </row>
    <row r="230" spans="1:10" x14ac:dyDescent="0.2">
      <c r="A230" s="1">
        <v>46057</v>
      </c>
      <c r="B230" t="s">
        <v>20</v>
      </c>
      <c r="C230" t="s">
        <v>77</v>
      </c>
      <c r="D230" t="s">
        <v>12</v>
      </c>
      <c r="E230">
        <v>104743</v>
      </c>
      <c r="F230">
        <v>3697</v>
      </c>
      <c r="G230">
        <v>831.95</v>
      </c>
      <c r="H230">
        <v>80679</v>
      </c>
      <c r="I230">
        <v>105</v>
      </c>
      <c r="J230" t="s">
        <v>72</v>
      </c>
    </row>
    <row r="231" spans="1:10" x14ac:dyDescent="0.2">
      <c r="A231" s="1">
        <v>46057</v>
      </c>
      <c r="B231" t="s">
        <v>20</v>
      </c>
      <c r="C231" t="s">
        <v>73</v>
      </c>
      <c r="D231" t="s">
        <v>71</v>
      </c>
      <c r="E231">
        <v>32486</v>
      </c>
      <c r="F231">
        <v>1034</v>
      </c>
      <c r="G231">
        <v>198.89</v>
      </c>
      <c r="H231">
        <v>26085</v>
      </c>
      <c r="I231">
        <v>54</v>
      </c>
      <c r="J231" t="s">
        <v>72</v>
      </c>
    </row>
    <row r="232" spans="1:10" x14ac:dyDescent="0.2">
      <c r="A232" s="1">
        <v>46058</v>
      </c>
      <c r="B232" t="s">
        <v>10</v>
      </c>
      <c r="C232" t="s">
        <v>26</v>
      </c>
      <c r="D232" t="s">
        <v>71</v>
      </c>
      <c r="E232">
        <v>88226</v>
      </c>
      <c r="F232">
        <v>2574</v>
      </c>
      <c r="G232">
        <v>545.72</v>
      </c>
      <c r="H232">
        <v>66349</v>
      </c>
      <c r="I232">
        <v>117</v>
      </c>
      <c r="J232" t="s">
        <v>72</v>
      </c>
    </row>
    <row r="233" spans="1:10" x14ac:dyDescent="0.2">
      <c r="A233" s="1">
        <v>46058</v>
      </c>
      <c r="B233" t="s">
        <v>10</v>
      </c>
      <c r="C233" t="s">
        <v>73</v>
      </c>
      <c r="D233" t="s">
        <v>71</v>
      </c>
      <c r="E233">
        <v>33049</v>
      </c>
      <c r="F233">
        <v>1082</v>
      </c>
      <c r="G233">
        <v>206.48</v>
      </c>
      <c r="H233">
        <v>23874</v>
      </c>
      <c r="I233">
        <v>47</v>
      </c>
      <c r="J233" t="s">
        <v>72</v>
      </c>
    </row>
    <row r="234" spans="1:10" x14ac:dyDescent="0.2">
      <c r="A234" s="1">
        <v>46058</v>
      </c>
      <c r="B234" t="s">
        <v>15</v>
      </c>
      <c r="C234" t="s">
        <v>16</v>
      </c>
      <c r="D234" t="s">
        <v>74</v>
      </c>
      <c r="E234">
        <v>63708</v>
      </c>
      <c r="F234">
        <v>1865</v>
      </c>
      <c r="G234">
        <v>445.34</v>
      </c>
      <c r="H234">
        <v>49321</v>
      </c>
      <c r="I234">
        <v>68</v>
      </c>
      <c r="J234" t="s">
        <v>72</v>
      </c>
    </row>
    <row r="235" spans="1:10" x14ac:dyDescent="0.2">
      <c r="A235" s="1">
        <v>46058</v>
      </c>
      <c r="B235" t="s">
        <v>15</v>
      </c>
      <c r="C235" t="s">
        <v>76</v>
      </c>
      <c r="D235" t="s">
        <v>75</v>
      </c>
      <c r="E235">
        <v>63496</v>
      </c>
      <c r="F235">
        <v>2460</v>
      </c>
      <c r="G235">
        <v>465.56</v>
      </c>
      <c r="H235">
        <v>51762</v>
      </c>
      <c r="I235">
        <v>118</v>
      </c>
      <c r="J235" t="s">
        <v>72</v>
      </c>
    </row>
    <row r="236" spans="1:10" x14ac:dyDescent="0.2">
      <c r="A236" s="1">
        <v>46058</v>
      </c>
      <c r="B236" t="s">
        <v>20</v>
      </c>
      <c r="C236" t="s">
        <v>77</v>
      </c>
      <c r="D236" t="s">
        <v>12</v>
      </c>
      <c r="E236">
        <v>72636</v>
      </c>
      <c r="F236">
        <v>2218</v>
      </c>
      <c r="G236">
        <v>494.17</v>
      </c>
      <c r="H236">
        <v>54462</v>
      </c>
      <c r="I236">
        <v>68</v>
      </c>
      <c r="J236" t="s">
        <v>72</v>
      </c>
    </row>
    <row r="237" spans="1:10" x14ac:dyDescent="0.2">
      <c r="A237" s="1">
        <v>46058</v>
      </c>
      <c r="B237" t="s">
        <v>20</v>
      </c>
      <c r="C237" t="s">
        <v>73</v>
      </c>
      <c r="D237" t="s">
        <v>71</v>
      </c>
      <c r="E237">
        <v>84109</v>
      </c>
      <c r="F237">
        <v>3406</v>
      </c>
      <c r="G237">
        <v>665.79</v>
      </c>
      <c r="H237">
        <v>68477</v>
      </c>
      <c r="I237">
        <v>187</v>
      </c>
      <c r="J237" t="s">
        <v>72</v>
      </c>
    </row>
    <row r="238" spans="1:10" x14ac:dyDescent="0.2">
      <c r="A238" s="1">
        <v>46059</v>
      </c>
      <c r="B238" t="s">
        <v>10</v>
      </c>
      <c r="C238" t="s">
        <v>26</v>
      </c>
      <c r="D238" t="s">
        <v>74</v>
      </c>
      <c r="E238">
        <v>56549</v>
      </c>
      <c r="F238">
        <v>1773</v>
      </c>
      <c r="G238">
        <v>382.65</v>
      </c>
      <c r="H238">
        <v>42052</v>
      </c>
      <c r="I238">
        <v>76</v>
      </c>
      <c r="J238" t="s">
        <v>72</v>
      </c>
    </row>
    <row r="239" spans="1:10" x14ac:dyDescent="0.2">
      <c r="A239" s="1">
        <v>46059</v>
      </c>
      <c r="B239" t="s">
        <v>10</v>
      </c>
      <c r="C239" t="s">
        <v>73</v>
      </c>
      <c r="D239" t="s">
        <v>71</v>
      </c>
      <c r="E239">
        <v>45083</v>
      </c>
      <c r="F239">
        <v>1432</v>
      </c>
      <c r="G239">
        <v>285.11</v>
      </c>
      <c r="H239">
        <v>34953</v>
      </c>
      <c r="I239">
        <v>42</v>
      </c>
      <c r="J239" t="s">
        <v>72</v>
      </c>
    </row>
    <row r="240" spans="1:10" x14ac:dyDescent="0.2">
      <c r="A240" s="1">
        <v>46059</v>
      </c>
      <c r="B240" t="s">
        <v>15</v>
      </c>
      <c r="C240" t="s">
        <v>16</v>
      </c>
      <c r="D240" t="s">
        <v>75</v>
      </c>
      <c r="E240">
        <v>83411</v>
      </c>
      <c r="F240">
        <v>3075</v>
      </c>
      <c r="G240">
        <v>722.08</v>
      </c>
      <c r="H240">
        <v>60211</v>
      </c>
      <c r="I240">
        <v>137</v>
      </c>
      <c r="J240" t="s">
        <v>72</v>
      </c>
    </row>
    <row r="241" spans="1:10" x14ac:dyDescent="0.2">
      <c r="A241" s="1">
        <v>46059</v>
      </c>
      <c r="B241" t="s">
        <v>15</v>
      </c>
      <c r="C241" t="s">
        <v>76</v>
      </c>
      <c r="D241" t="s">
        <v>75</v>
      </c>
      <c r="E241">
        <v>62285</v>
      </c>
      <c r="F241">
        <v>2409</v>
      </c>
      <c r="G241">
        <v>527.79999999999995</v>
      </c>
      <c r="H241">
        <v>45627</v>
      </c>
      <c r="I241">
        <v>108</v>
      </c>
      <c r="J241" t="s">
        <v>72</v>
      </c>
    </row>
    <row r="242" spans="1:10" x14ac:dyDescent="0.2">
      <c r="A242" s="1">
        <v>46059</v>
      </c>
      <c r="B242" t="s">
        <v>20</v>
      </c>
      <c r="C242" t="s">
        <v>77</v>
      </c>
      <c r="D242" t="s">
        <v>74</v>
      </c>
      <c r="E242">
        <v>40998</v>
      </c>
      <c r="F242">
        <v>1633</v>
      </c>
      <c r="G242">
        <v>342.97</v>
      </c>
      <c r="H242">
        <v>32728</v>
      </c>
      <c r="I242">
        <v>52</v>
      </c>
      <c r="J242" t="s">
        <v>72</v>
      </c>
    </row>
    <row r="243" spans="1:10" x14ac:dyDescent="0.2">
      <c r="A243" s="1">
        <v>46059</v>
      </c>
      <c r="B243" t="s">
        <v>20</v>
      </c>
      <c r="C243" t="s">
        <v>73</v>
      </c>
      <c r="D243" t="s">
        <v>71</v>
      </c>
      <c r="E243">
        <v>62133</v>
      </c>
      <c r="F243">
        <v>2207</v>
      </c>
      <c r="G243">
        <v>453.37</v>
      </c>
      <c r="H243">
        <v>50399</v>
      </c>
      <c r="I243">
        <v>91</v>
      </c>
      <c r="J243" t="s">
        <v>72</v>
      </c>
    </row>
    <row r="244" spans="1:10" x14ac:dyDescent="0.2">
      <c r="A244" s="1">
        <v>46060</v>
      </c>
      <c r="B244" t="s">
        <v>10</v>
      </c>
      <c r="C244" t="s">
        <v>26</v>
      </c>
      <c r="D244" t="s">
        <v>74</v>
      </c>
      <c r="E244">
        <v>127262</v>
      </c>
      <c r="F244">
        <v>5275</v>
      </c>
      <c r="G244">
        <v>1145.96</v>
      </c>
      <c r="H244">
        <v>99939</v>
      </c>
      <c r="I244">
        <v>174</v>
      </c>
      <c r="J244" t="s">
        <v>72</v>
      </c>
    </row>
    <row r="245" spans="1:10" x14ac:dyDescent="0.2">
      <c r="A245" s="1">
        <v>46060</v>
      </c>
      <c r="B245" t="s">
        <v>10</v>
      </c>
      <c r="C245" t="s">
        <v>73</v>
      </c>
      <c r="D245" t="s">
        <v>74</v>
      </c>
      <c r="E245">
        <v>130481</v>
      </c>
      <c r="F245">
        <v>4152</v>
      </c>
      <c r="G245">
        <v>809.86</v>
      </c>
      <c r="H245">
        <v>102818</v>
      </c>
      <c r="I245">
        <v>240</v>
      </c>
      <c r="J245" t="s">
        <v>72</v>
      </c>
    </row>
    <row r="246" spans="1:10" x14ac:dyDescent="0.2">
      <c r="A246" s="1">
        <v>46060</v>
      </c>
      <c r="B246" t="s">
        <v>15</v>
      </c>
      <c r="C246" t="s">
        <v>16</v>
      </c>
      <c r="D246" t="s">
        <v>75</v>
      </c>
      <c r="E246">
        <v>149375</v>
      </c>
      <c r="F246">
        <v>5940</v>
      </c>
      <c r="G246">
        <v>1169.46</v>
      </c>
      <c r="H246">
        <v>109961</v>
      </c>
      <c r="I246">
        <v>261</v>
      </c>
      <c r="J246" t="s">
        <v>72</v>
      </c>
    </row>
    <row r="247" spans="1:10" x14ac:dyDescent="0.2">
      <c r="A247" s="1">
        <v>46060</v>
      </c>
      <c r="B247" t="s">
        <v>15</v>
      </c>
      <c r="C247" t="s">
        <v>76</v>
      </c>
      <c r="D247" t="s">
        <v>75</v>
      </c>
      <c r="E247">
        <v>97167</v>
      </c>
      <c r="F247">
        <v>2842</v>
      </c>
      <c r="G247">
        <v>630.66</v>
      </c>
      <c r="H247">
        <v>78029</v>
      </c>
      <c r="I247">
        <v>141</v>
      </c>
      <c r="J247" t="s">
        <v>72</v>
      </c>
    </row>
    <row r="248" spans="1:10" x14ac:dyDescent="0.2">
      <c r="A248" s="1">
        <v>46060</v>
      </c>
      <c r="B248" t="s">
        <v>19</v>
      </c>
      <c r="C248" t="s">
        <v>26</v>
      </c>
      <c r="D248" t="s">
        <v>74</v>
      </c>
      <c r="E248">
        <v>121265</v>
      </c>
      <c r="F248">
        <v>3753</v>
      </c>
      <c r="G248">
        <v>789.22</v>
      </c>
      <c r="H248">
        <v>97036</v>
      </c>
      <c r="I248">
        <v>204</v>
      </c>
      <c r="J248" t="s">
        <v>72</v>
      </c>
    </row>
    <row r="249" spans="1:10" x14ac:dyDescent="0.2">
      <c r="A249" s="1">
        <v>46060</v>
      </c>
      <c r="B249" t="s">
        <v>19</v>
      </c>
      <c r="C249" t="s">
        <v>73</v>
      </c>
      <c r="D249" t="s">
        <v>74</v>
      </c>
      <c r="E249">
        <v>89959</v>
      </c>
      <c r="F249">
        <v>3752</v>
      </c>
      <c r="G249">
        <v>834.69</v>
      </c>
      <c r="H249">
        <v>67226</v>
      </c>
      <c r="I249">
        <v>179</v>
      </c>
      <c r="J249" t="s">
        <v>72</v>
      </c>
    </row>
    <row r="250" spans="1:10" x14ac:dyDescent="0.2">
      <c r="A250" s="1">
        <v>46060</v>
      </c>
      <c r="B250" t="s">
        <v>20</v>
      </c>
      <c r="C250" t="s">
        <v>77</v>
      </c>
      <c r="D250" t="s">
        <v>74</v>
      </c>
      <c r="E250">
        <v>104689</v>
      </c>
      <c r="F250">
        <v>3239</v>
      </c>
      <c r="G250">
        <v>769.39</v>
      </c>
      <c r="H250">
        <v>78814</v>
      </c>
      <c r="I250">
        <v>179</v>
      </c>
      <c r="J250" t="s">
        <v>72</v>
      </c>
    </row>
    <row r="251" spans="1:10" x14ac:dyDescent="0.2">
      <c r="A251" s="1">
        <v>46060</v>
      </c>
      <c r="B251" t="s">
        <v>20</v>
      </c>
      <c r="C251" t="s">
        <v>73</v>
      </c>
      <c r="D251" t="s">
        <v>71</v>
      </c>
      <c r="E251">
        <v>42375</v>
      </c>
      <c r="F251">
        <v>1547</v>
      </c>
      <c r="G251">
        <v>278.86</v>
      </c>
      <c r="H251">
        <v>30550</v>
      </c>
      <c r="I251">
        <v>51</v>
      </c>
      <c r="J251" t="s">
        <v>72</v>
      </c>
    </row>
    <row r="252" spans="1:10" x14ac:dyDescent="0.2">
      <c r="A252" s="1">
        <v>46061</v>
      </c>
      <c r="B252" t="s">
        <v>10</v>
      </c>
      <c r="C252" t="s">
        <v>26</v>
      </c>
      <c r="D252" t="s">
        <v>71</v>
      </c>
      <c r="E252">
        <v>131727</v>
      </c>
      <c r="F252">
        <v>5094</v>
      </c>
      <c r="G252">
        <v>1081.3900000000001</v>
      </c>
      <c r="H252">
        <v>105214</v>
      </c>
      <c r="I252">
        <v>241</v>
      </c>
      <c r="J252" t="s">
        <v>72</v>
      </c>
    </row>
    <row r="253" spans="1:10" x14ac:dyDescent="0.2">
      <c r="A253" s="1">
        <v>46061</v>
      </c>
      <c r="B253" t="s">
        <v>10</v>
      </c>
      <c r="C253" t="s">
        <v>73</v>
      </c>
      <c r="D253" t="s">
        <v>74</v>
      </c>
      <c r="E253">
        <v>140841</v>
      </c>
      <c r="F253">
        <v>4004</v>
      </c>
      <c r="G253">
        <v>920.62</v>
      </c>
      <c r="H253">
        <v>110864</v>
      </c>
      <c r="I253">
        <v>192</v>
      </c>
      <c r="J253" t="s">
        <v>72</v>
      </c>
    </row>
    <row r="254" spans="1:10" x14ac:dyDescent="0.2">
      <c r="A254" s="1">
        <v>46061</v>
      </c>
      <c r="B254" t="s">
        <v>15</v>
      </c>
      <c r="C254" t="s">
        <v>16</v>
      </c>
      <c r="D254" t="s">
        <v>74</v>
      </c>
      <c r="E254">
        <v>111064</v>
      </c>
      <c r="F254">
        <v>4396</v>
      </c>
      <c r="G254">
        <v>885.7</v>
      </c>
      <c r="H254">
        <v>81933</v>
      </c>
      <c r="I254">
        <v>224</v>
      </c>
      <c r="J254" t="s">
        <v>72</v>
      </c>
    </row>
    <row r="255" spans="1:10" x14ac:dyDescent="0.2">
      <c r="A255" s="1">
        <v>46061</v>
      </c>
      <c r="B255" t="s">
        <v>15</v>
      </c>
      <c r="C255" t="s">
        <v>76</v>
      </c>
      <c r="D255" t="s">
        <v>75</v>
      </c>
      <c r="E255">
        <v>64894</v>
      </c>
      <c r="F255">
        <v>2237</v>
      </c>
      <c r="G255">
        <v>528.32000000000005</v>
      </c>
      <c r="H255">
        <v>49608</v>
      </c>
      <c r="I255">
        <v>77</v>
      </c>
      <c r="J255" t="s">
        <v>72</v>
      </c>
    </row>
    <row r="256" spans="1:10" x14ac:dyDescent="0.2">
      <c r="A256" s="1">
        <v>46061</v>
      </c>
      <c r="B256" t="s">
        <v>19</v>
      </c>
      <c r="C256" t="s">
        <v>26</v>
      </c>
      <c r="D256" t="s">
        <v>12</v>
      </c>
      <c r="E256">
        <v>93587</v>
      </c>
      <c r="F256">
        <v>3512</v>
      </c>
      <c r="G256">
        <v>781.6</v>
      </c>
      <c r="H256">
        <v>69174</v>
      </c>
      <c r="I256">
        <v>184</v>
      </c>
      <c r="J256" t="s">
        <v>72</v>
      </c>
    </row>
    <row r="257" spans="1:10" x14ac:dyDescent="0.2">
      <c r="A257" s="1">
        <v>46061</v>
      </c>
      <c r="B257" t="s">
        <v>19</v>
      </c>
      <c r="C257" t="s">
        <v>73</v>
      </c>
      <c r="D257" t="s">
        <v>74</v>
      </c>
      <c r="E257">
        <v>82580</v>
      </c>
      <c r="F257">
        <v>2583</v>
      </c>
      <c r="G257">
        <v>541.47</v>
      </c>
      <c r="H257">
        <v>62455</v>
      </c>
      <c r="I257">
        <v>94</v>
      </c>
      <c r="J257" t="s">
        <v>72</v>
      </c>
    </row>
    <row r="258" spans="1:10" x14ac:dyDescent="0.2">
      <c r="A258" s="1">
        <v>46061</v>
      </c>
      <c r="B258" t="s">
        <v>20</v>
      </c>
      <c r="C258" t="s">
        <v>77</v>
      </c>
      <c r="D258" t="s">
        <v>12</v>
      </c>
      <c r="E258">
        <v>43309</v>
      </c>
      <c r="F258">
        <v>1331</v>
      </c>
      <c r="G258">
        <v>305.14999999999998</v>
      </c>
      <c r="H258">
        <v>32897</v>
      </c>
      <c r="I258">
        <v>72</v>
      </c>
      <c r="J258" t="s">
        <v>72</v>
      </c>
    </row>
    <row r="259" spans="1:10" x14ac:dyDescent="0.2">
      <c r="A259" s="1">
        <v>46061</v>
      </c>
      <c r="B259" t="s">
        <v>20</v>
      </c>
      <c r="C259" t="s">
        <v>73</v>
      </c>
      <c r="D259" t="s">
        <v>71</v>
      </c>
      <c r="E259">
        <v>73281</v>
      </c>
      <c r="F259">
        <v>2617</v>
      </c>
      <c r="G259">
        <v>574.66999999999996</v>
      </c>
      <c r="H259">
        <v>56907</v>
      </c>
      <c r="I259">
        <v>126</v>
      </c>
      <c r="J259" t="s">
        <v>72</v>
      </c>
    </row>
    <row r="260" spans="1:10" x14ac:dyDescent="0.2">
      <c r="A260" s="1">
        <v>46062</v>
      </c>
      <c r="B260" t="s">
        <v>10</v>
      </c>
      <c r="C260" t="s">
        <v>26</v>
      </c>
      <c r="D260" t="s">
        <v>71</v>
      </c>
      <c r="E260">
        <v>84809</v>
      </c>
      <c r="F260">
        <v>2452</v>
      </c>
      <c r="G260">
        <v>460.23</v>
      </c>
      <c r="H260">
        <v>61614</v>
      </c>
      <c r="I260">
        <v>87</v>
      </c>
      <c r="J260" t="s">
        <v>72</v>
      </c>
    </row>
    <row r="261" spans="1:10" x14ac:dyDescent="0.2">
      <c r="A261" s="1">
        <v>46062</v>
      </c>
      <c r="B261" t="s">
        <v>10</v>
      </c>
      <c r="C261" t="s">
        <v>73</v>
      </c>
      <c r="D261" t="s">
        <v>74</v>
      </c>
      <c r="E261">
        <v>157697</v>
      </c>
      <c r="F261">
        <v>6024</v>
      </c>
      <c r="G261">
        <v>1183.47</v>
      </c>
      <c r="H261">
        <v>126909</v>
      </c>
      <c r="I261">
        <v>172</v>
      </c>
      <c r="J261" t="s">
        <v>72</v>
      </c>
    </row>
    <row r="262" spans="1:10" x14ac:dyDescent="0.2">
      <c r="A262" s="1">
        <v>46062</v>
      </c>
      <c r="B262" t="s">
        <v>15</v>
      </c>
      <c r="C262" t="s">
        <v>16</v>
      </c>
      <c r="D262" t="s">
        <v>74</v>
      </c>
      <c r="E262">
        <v>165464</v>
      </c>
      <c r="F262">
        <v>6678</v>
      </c>
      <c r="G262">
        <v>1202.82</v>
      </c>
      <c r="H262">
        <v>126201</v>
      </c>
      <c r="I262">
        <v>321</v>
      </c>
      <c r="J262" t="s">
        <v>72</v>
      </c>
    </row>
    <row r="263" spans="1:10" x14ac:dyDescent="0.2">
      <c r="A263" s="1">
        <v>46062</v>
      </c>
      <c r="B263" t="s">
        <v>15</v>
      </c>
      <c r="C263" t="s">
        <v>76</v>
      </c>
      <c r="D263" t="s">
        <v>75</v>
      </c>
      <c r="E263">
        <v>115737</v>
      </c>
      <c r="F263">
        <v>3941</v>
      </c>
      <c r="G263">
        <v>944.68</v>
      </c>
      <c r="H263">
        <v>86502</v>
      </c>
      <c r="I263">
        <v>190</v>
      </c>
      <c r="J263" t="s">
        <v>72</v>
      </c>
    </row>
    <row r="264" spans="1:10" x14ac:dyDescent="0.2">
      <c r="A264" s="1">
        <v>46062</v>
      </c>
      <c r="B264" t="s">
        <v>20</v>
      </c>
      <c r="C264" t="s">
        <v>77</v>
      </c>
      <c r="D264" t="s">
        <v>74</v>
      </c>
      <c r="E264">
        <v>151928</v>
      </c>
      <c r="F264">
        <v>5022</v>
      </c>
      <c r="G264">
        <v>1132.67</v>
      </c>
      <c r="H264">
        <v>122815</v>
      </c>
      <c r="I264">
        <v>174</v>
      </c>
      <c r="J264" t="s">
        <v>72</v>
      </c>
    </row>
    <row r="265" spans="1:10" x14ac:dyDescent="0.2">
      <c r="A265" s="1">
        <v>46062</v>
      </c>
      <c r="B265" t="s">
        <v>20</v>
      </c>
      <c r="C265" t="s">
        <v>73</v>
      </c>
      <c r="D265" t="s">
        <v>71</v>
      </c>
      <c r="E265">
        <v>136092</v>
      </c>
      <c r="F265">
        <v>4824</v>
      </c>
      <c r="G265">
        <v>959.85</v>
      </c>
      <c r="H265">
        <v>103319</v>
      </c>
      <c r="I265">
        <v>183</v>
      </c>
      <c r="J265" t="s">
        <v>72</v>
      </c>
    </row>
    <row r="266" spans="1:10" x14ac:dyDescent="0.2">
      <c r="A266" s="1">
        <v>46063</v>
      </c>
      <c r="B266" t="s">
        <v>10</v>
      </c>
      <c r="C266" t="s">
        <v>26</v>
      </c>
      <c r="D266" t="s">
        <v>71</v>
      </c>
      <c r="E266">
        <v>53320</v>
      </c>
      <c r="F266">
        <v>2232</v>
      </c>
      <c r="G266">
        <v>431.98</v>
      </c>
      <c r="H266">
        <v>42067</v>
      </c>
      <c r="I266">
        <v>126</v>
      </c>
      <c r="J266" t="s">
        <v>72</v>
      </c>
    </row>
    <row r="267" spans="1:10" x14ac:dyDescent="0.2">
      <c r="A267" s="1">
        <v>46063</v>
      </c>
      <c r="B267" t="s">
        <v>10</v>
      </c>
      <c r="C267" t="s">
        <v>73</v>
      </c>
      <c r="D267" t="s">
        <v>74</v>
      </c>
      <c r="E267">
        <v>89288</v>
      </c>
      <c r="F267">
        <v>2705</v>
      </c>
      <c r="G267">
        <v>537.34</v>
      </c>
      <c r="H267">
        <v>69876</v>
      </c>
      <c r="I267">
        <v>83</v>
      </c>
      <c r="J267" t="s">
        <v>72</v>
      </c>
    </row>
    <row r="268" spans="1:10" x14ac:dyDescent="0.2">
      <c r="A268" s="1">
        <v>46063</v>
      </c>
      <c r="B268" t="s">
        <v>15</v>
      </c>
      <c r="C268" t="s">
        <v>16</v>
      </c>
      <c r="D268" t="s">
        <v>74</v>
      </c>
      <c r="E268">
        <v>138585</v>
      </c>
      <c r="F268">
        <v>5448</v>
      </c>
      <c r="G268">
        <v>1174.33</v>
      </c>
      <c r="H268">
        <v>108460</v>
      </c>
      <c r="I268">
        <v>207</v>
      </c>
      <c r="J268" t="s">
        <v>72</v>
      </c>
    </row>
    <row r="269" spans="1:10" x14ac:dyDescent="0.2">
      <c r="A269" s="1">
        <v>46063</v>
      </c>
      <c r="B269" t="s">
        <v>15</v>
      </c>
      <c r="C269" t="s">
        <v>76</v>
      </c>
      <c r="D269" t="s">
        <v>74</v>
      </c>
      <c r="E269">
        <v>99830</v>
      </c>
      <c r="F269">
        <v>2945</v>
      </c>
      <c r="G269">
        <v>572.22</v>
      </c>
      <c r="H269">
        <v>75279</v>
      </c>
      <c r="I269">
        <v>87</v>
      </c>
      <c r="J269" t="s">
        <v>72</v>
      </c>
    </row>
    <row r="270" spans="1:10" x14ac:dyDescent="0.2">
      <c r="A270" s="1">
        <v>46063</v>
      </c>
      <c r="B270" t="s">
        <v>20</v>
      </c>
      <c r="C270" t="s">
        <v>77</v>
      </c>
      <c r="D270" t="s">
        <v>74</v>
      </c>
      <c r="E270">
        <v>156982</v>
      </c>
      <c r="F270">
        <v>6140</v>
      </c>
      <c r="G270">
        <v>1452.8</v>
      </c>
      <c r="H270">
        <v>125204</v>
      </c>
      <c r="I270">
        <v>286</v>
      </c>
      <c r="J270" t="s">
        <v>72</v>
      </c>
    </row>
    <row r="271" spans="1:10" x14ac:dyDescent="0.2">
      <c r="A271" s="1">
        <v>46063</v>
      </c>
      <c r="B271" t="s">
        <v>20</v>
      </c>
      <c r="C271" t="s">
        <v>73</v>
      </c>
      <c r="D271" t="s">
        <v>71</v>
      </c>
      <c r="E271">
        <v>141627</v>
      </c>
      <c r="F271">
        <v>5113</v>
      </c>
      <c r="G271">
        <v>946.58</v>
      </c>
      <c r="H271">
        <v>102830</v>
      </c>
      <c r="I271">
        <v>148</v>
      </c>
      <c r="J271" t="s">
        <v>72</v>
      </c>
    </row>
    <row r="272" spans="1:10" x14ac:dyDescent="0.2">
      <c r="A272" s="1">
        <v>46064</v>
      </c>
      <c r="B272" t="s">
        <v>10</v>
      </c>
      <c r="C272" t="s">
        <v>26</v>
      </c>
      <c r="D272" t="s">
        <v>12</v>
      </c>
      <c r="E272">
        <v>61636</v>
      </c>
      <c r="F272">
        <v>2401</v>
      </c>
      <c r="G272">
        <v>441.11</v>
      </c>
      <c r="H272">
        <v>49323</v>
      </c>
      <c r="I272">
        <v>71</v>
      </c>
      <c r="J272" t="s">
        <v>72</v>
      </c>
    </row>
    <row r="273" spans="1:10" x14ac:dyDescent="0.2">
      <c r="A273" s="1">
        <v>46064</v>
      </c>
      <c r="B273" t="s">
        <v>10</v>
      </c>
      <c r="C273" t="s">
        <v>73</v>
      </c>
      <c r="D273" t="s">
        <v>71</v>
      </c>
      <c r="E273">
        <v>61796</v>
      </c>
      <c r="F273">
        <v>1818</v>
      </c>
      <c r="G273">
        <v>333.33</v>
      </c>
      <c r="H273">
        <v>44815</v>
      </c>
      <c r="I273">
        <v>97</v>
      </c>
      <c r="J273" t="s">
        <v>72</v>
      </c>
    </row>
    <row r="274" spans="1:10" x14ac:dyDescent="0.2">
      <c r="A274" s="1">
        <v>46064</v>
      </c>
      <c r="B274" t="s">
        <v>15</v>
      </c>
      <c r="C274" t="s">
        <v>16</v>
      </c>
      <c r="D274" t="s">
        <v>74</v>
      </c>
      <c r="E274">
        <v>68096</v>
      </c>
      <c r="F274">
        <v>2495</v>
      </c>
      <c r="G274">
        <v>510.64</v>
      </c>
      <c r="H274">
        <v>54916</v>
      </c>
      <c r="I274">
        <v>128</v>
      </c>
      <c r="J274" t="s">
        <v>72</v>
      </c>
    </row>
    <row r="275" spans="1:10" x14ac:dyDescent="0.2">
      <c r="A275" s="1">
        <v>46064</v>
      </c>
      <c r="B275" t="s">
        <v>15</v>
      </c>
      <c r="C275" t="s">
        <v>76</v>
      </c>
      <c r="D275" t="s">
        <v>75</v>
      </c>
      <c r="E275">
        <v>143086</v>
      </c>
      <c r="F275">
        <v>4775</v>
      </c>
      <c r="G275">
        <v>1087.31</v>
      </c>
      <c r="H275">
        <v>115612</v>
      </c>
      <c r="I275">
        <v>222</v>
      </c>
      <c r="J275" t="s">
        <v>72</v>
      </c>
    </row>
    <row r="276" spans="1:10" x14ac:dyDescent="0.2">
      <c r="A276" s="1">
        <v>46064</v>
      </c>
      <c r="B276" t="s">
        <v>20</v>
      </c>
      <c r="C276" t="s">
        <v>77</v>
      </c>
      <c r="D276" t="s">
        <v>74</v>
      </c>
      <c r="E276">
        <v>53446</v>
      </c>
      <c r="F276">
        <v>1836</v>
      </c>
      <c r="G276">
        <v>366.63</v>
      </c>
      <c r="H276">
        <v>39509</v>
      </c>
      <c r="I276">
        <v>57</v>
      </c>
      <c r="J276" t="s">
        <v>72</v>
      </c>
    </row>
    <row r="277" spans="1:10" x14ac:dyDescent="0.2">
      <c r="A277" s="1">
        <v>46064</v>
      </c>
      <c r="B277" t="s">
        <v>20</v>
      </c>
      <c r="C277" t="s">
        <v>73</v>
      </c>
      <c r="D277" t="s">
        <v>71</v>
      </c>
      <c r="E277">
        <v>172336</v>
      </c>
      <c r="F277">
        <v>6730</v>
      </c>
      <c r="G277">
        <v>1289.58</v>
      </c>
      <c r="H277">
        <v>133960</v>
      </c>
      <c r="I277">
        <v>317</v>
      </c>
      <c r="J277" t="s">
        <v>72</v>
      </c>
    </row>
    <row r="278" spans="1:10" x14ac:dyDescent="0.2">
      <c r="A278" s="1">
        <v>46065</v>
      </c>
      <c r="B278" t="s">
        <v>10</v>
      </c>
      <c r="C278" t="s">
        <v>26</v>
      </c>
      <c r="D278" t="s">
        <v>12</v>
      </c>
      <c r="E278">
        <v>122529</v>
      </c>
      <c r="F278">
        <v>4153</v>
      </c>
      <c r="G278">
        <v>928.1</v>
      </c>
      <c r="H278">
        <v>93668</v>
      </c>
      <c r="I278">
        <v>146</v>
      </c>
      <c r="J278" t="s">
        <v>72</v>
      </c>
    </row>
    <row r="279" spans="1:10" x14ac:dyDescent="0.2">
      <c r="A279" s="1">
        <v>46065</v>
      </c>
      <c r="B279" t="s">
        <v>10</v>
      </c>
      <c r="C279" t="s">
        <v>73</v>
      </c>
      <c r="D279" t="s">
        <v>74</v>
      </c>
      <c r="E279">
        <v>60684</v>
      </c>
      <c r="F279">
        <v>1807</v>
      </c>
      <c r="G279">
        <v>388.63</v>
      </c>
      <c r="H279">
        <v>46806</v>
      </c>
      <c r="I279">
        <v>85</v>
      </c>
      <c r="J279" t="s">
        <v>72</v>
      </c>
    </row>
    <row r="280" spans="1:10" x14ac:dyDescent="0.2">
      <c r="A280" s="1">
        <v>46065</v>
      </c>
      <c r="B280" t="s">
        <v>15</v>
      </c>
      <c r="C280" t="s">
        <v>16</v>
      </c>
      <c r="D280" t="s">
        <v>74</v>
      </c>
      <c r="E280">
        <v>113260</v>
      </c>
      <c r="F280">
        <v>4096</v>
      </c>
      <c r="G280">
        <v>870.27</v>
      </c>
      <c r="H280">
        <v>83196</v>
      </c>
      <c r="I280">
        <v>172</v>
      </c>
      <c r="J280" t="s">
        <v>72</v>
      </c>
    </row>
    <row r="281" spans="1:10" x14ac:dyDescent="0.2">
      <c r="A281" s="1">
        <v>46065</v>
      </c>
      <c r="B281" t="s">
        <v>15</v>
      </c>
      <c r="C281" t="s">
        <v>76</v>
      </c>
      <c r="D281" t="s">
        <v>74</v>
      </c>
      <c r="E281">
        <v>109040</v>
      </c>
      <c r="F281">
        <v>3616</v>
      </c>
      <c r="G281">
        <v>652.63</v>
      </c>
      <c r="H281">
        <v>84903</v>
      </c>
      <c r="I281">
        <v>174</v>
      </c>
      <c r="J281" t="s">
        <v>72</v>
      </c>
    </row>
    <row r="282" spans="1:10" x14ac:dyDescent="0.2">
      <c r="A282" s="1">
        <v>46065</v>
      </c>
      <c r="B282" t="s">
        <v>20</v>
      </c>
      <c r="C282" t="s">
        <v>77</v>
      </c>
      <c r="D282" t="s">
        <v>12</v>
      </c>
      <c r="E282">
        <v>97782</v>
      </c>
      <c r="F282">
        <v>3432</v>
      </c>
      <c r="G282">
        <v>789.74</v>
      </c>
      <c r="H282">
        <v>78799</v>
      </c>
      <c r="I282">
        <v>139</v>
      </c>
      <c r="J282" t="s">
        <v>72</v>
      </c>
    </row>
    <row r="283" spans="1:10" x14ac:dyDescent="0.2">
      <c r="A283" s="1">
        <v>46065</v>
      </c>
      <c r="B283" t="s">
        <v>20</v>
      </c>
      <c r="C283" t="s">
        <v>73</v>
      </c>
      <c r="D283" t="s">
        <v>71</v>
      </c>
      <c r="E283">
        <v>90020</v>
      </c>
      <c r="F283">
        <v>3327</v>
      </c>
      <c r="G283">
        <v>639.04</v>
      </c>
      <c r="H283">
        <v>65430</v>
      </c>
      <c r="I283">
        <v>112</v>
      </c>
      <c r="J283" t="s">
        <v>72</v>
      </c>
    </row>
    <row r="284" spans="1:10" x14ac:dyDescent="0.2">
      <c r="A284" s="1">
        <v>46066</v>
      </c>
      <c r="B284" t="s">
        <v>10</v>
      </c>
      <c r="C284" t="s">
        <v>26</v>
      </c>
      <c r="D284" t="s">
        <v>12</v>
      </c>
      <c r="E284">
        <v>146020</v>
      </c>
      <c r="F284">
        <v>5314</v>
      </c>
      <c r="G284">
        <v>1062.0999999999999</v>
      </c>
      <c r="H284">
        <v>113580</v>
      </c>
      <c r="I284">
        <v>302</v>
      </c>
      <c r="J284" t="s">
        <v>72</v>
      </c>
    </row>
    <row r="285" spans="1:10" x14ac:dyDescent="0.2">
      <c r="A285" s="1">
        <v>46066</v>
      </c>
      <c r="B285" t="s">
        <v>10</v>
      </c>
      <c r="C285" t="s">
        <v>73</v>
      </c>
      <c r="D285" t="s">
        <v>71</v>
      </c>
      <c r="E285">
        <v>135806</v>
      </c>
      <c r="F285">
        <v>4427</v>
      </c>
      <c r="G285">
        <v>824.71</v>
      </c>
      <c r="H285">
        <v>109678</v>
      </c>
      <c r="I285">
        <v>244</v>
      </c>
      <c r="J285" t="s">
        <v>72</v>
      </c>
    </row>
    <row r="286" spans="1:10" x14ac:dyDescent="0.2">
      <c r="A286" s="1">
        <v>46066</v>
      </c>
      <c r="B286" t="s">
        <v>15</v>
      </c>
      <c r="C286" t="s">
        <v>16</v>
      </c>
      <c r="D286" t="s">
        <v>74</v>
      </c>
      <c r="E286">
        <v>94011</v>
      </c>
      <c r="F286">
        <v>3843</v>
      </c>
      <c r="G286">
        <v>839.03</v>
      </c>
      <c r="H286">
        <v>74204</v>
      </c>
      <c r="I286">
        <v>161</v>
      </c>
      <c r="J286" t="s">
        <v>72</v>
      </c>
    </row>
    <row r="287" spans="1:10" x14ac:dyDescent="0.2">
      <c r="A287" s="1">
        <v>46066</v>
      </c>
      <c r="B287" t="s">
        <v>15</v>
      </c>
      <c r="C287" t="s">
        <v>76</v>
      </c>
      <c r="D287" t="s">
        <v>75</v>
      </c>
      <c r="E287">
        <v>98124</v>
      </c>
      <c r="F287">
        <v>3407</v>
      </c>
      <c r="G287">
        <v>770.33</v>
      </c>
      <c r="H287">
        <v>78642</v>
      </c>
      <c r="I287">
        <v>177</v>
      </c>
      <c r="J287" t="s">
        <v>72</v>
      </c>
    </row>
    <row r="288" spans="1:10" x14ac:dyDescent="0.2">
      <c r="A288" s="1">
        <v>46066</v>
      </c>
      <c r="B288" t="s">
        <v>20</v>
      </c>
      <c r="C288" t="s">
        <v>77</v>
      </c>
      <c r="D288" t="s">
        <v>74</v>
      </c>
      <c r="E288">
        <v>91057</v>
      </c>
      <c r="F288">
        <v>3059</v>
      </c>
      <c r="G288">
        <v>702.24</v>
      </c>
      <c r="H288">
        <v>65622</v>
      </c>
      <c r="I288">
        <v>86</v>
      </c>
      <c r="J288" t="s">
        <v>72</v>
      </c>
    </row>
    <row r="289" spans="1:10" x14ac:dyDescent="0.2">
      <c r="A289" s="1">
        <v>46066</v>
      </c>
      <c r="B289" t="s">
        <v>20</v>
      </c>
      <c r="C289" t="s">
        <v>73</v>
      </c>
      <c r="D289" t="s">
        <v>71</v>
      </c>
      <c r="E289">
        <v>54294</v>
      </c>
      <c r="F289">
        <v>1941</v>
      </c>
      <c r="G289">
        <v>365.96</v>
      </c>
      <c r="H289">
        <v>41482</v>
      </c>
      <c r="I289">
        <v>91</v>
      </c>
      <c r="J289" t="s">
        <v>72</v>
      </c>
    </row>
    <row r="290" spans="1:10" x14ac:dyDescent="0.2">
      <c r="A290" s="1">
        <v>46067</v>
      </c>
      <c r="B290" t="s">
        <v>10</v>
      </c>
      <c r="C290" t="s">
        <v>26</v>
      </c>
      <c r="D290" t="s">
        <v>12</v>
      </c>
      <c r="E290">
        <v>57206</v>
      </c>
      <c r="F290">
        <v>2382</v>
      </c>
      <c r="G290">
        <v>457.22</v>
      </c>
      <c r="H290">
        <v>42813</v>
      </c>
      <c r="I290">
        <v>82</v>
      </c>
      <c r="J290" t="s">
        <v>72</v>
      </c>
    </row>
    <row r="291" spans="1:10" x14ac:dyDescent="0.2">
      <c r="A291" s="1">
        <v>46067</v>
      </c>
      <c r="B291" t="s">
        <v>10</v>
      </c>
      <c r="C291" t="s">
        <v>73</v>
      </c>
      <c r="D291" t="s">
        <v>71</v>
      </c>
      <c r="E291">
        <v>84548</v>
      </c>
      <c r="F291">
        <v>2769</v>
      </c>
      <c r="G291">
        <v>590.54999999999995</v>
      </c>
      <c r="H291">
        <v>62384</v>
      </c>
      <c r="I291">
        <v>79</v>
      </c>
      <c r="J291" t="s">
        <v>72</v>
      </c>
    </row>
    <row r="292" spans="1:10" x14ac:dyDescent="0.2">
      <c r="A292" s="1">
        <v>46067</v>
      </c>
      <c r="B292" t="s">
        <v>15</v>
      </c>
      <c r="C292" t="s">
        <v>16</v>
      </c>
      <c r="D292" t="s">
        <v>74</v>
      </c>
      <c r="E292">
        <v>69220</v>
      </c>
      <c r="F292">
        <v>1958</v>
      </c>
      <c r="G292">
        <v>432.03</v>
      </c>
      <c r="H292">
        <v>52461</v>
      </c>
      <c r="I292">
        <v>101</v>
      </c>
      <c r="J292" t="s">
        <v>72</v>
      </c>
    </row>
    <row r="293" spans="1:10" x14ac:dyDescent="0.2">
      <c r="A293" s="1">
        <v>46067</v>
      </c>
      <c r="B293" t="s">
        <v>15</v>
      </c>
      <c r="C293" t="s">
        <v>76</v>
      </c>
      <c r="D293" t="s">
        <v>75</v>
      </c>
      <c r="E293">
        <v>118963</v>
      </c>
      <c r="F293">
        <v>4890</v>
      </c>
      <c r="G293">
        <v>969.71</v>
      </c>
      <c r="H293">
        <v>88510</v>
      </c>
      <c r="I293">
        <v>255</v>
      </c>
      <c r="J293" t="s">
        <v>72</v>
      </c>
    </row>
    <row r="294" spans="1:10" x14ac:dyDescent="0.2">
      <c r="A294" s="1">
        <v>46067</v>
      </c>
      <c r="B294" t="s">
        <v>19</v>
      </c>
      <c r="C294" t="s">
        <v>26</v>
      </c>
      <c r="D294" t="s">
        <v>12</v>
      </c>
      <c r="E294">
        <v>158504</v>
      </c>
      <c r="F294">
        <v>6606</v>
      </c>
      <c r="G294">
        <v>1584.53</v>
      </c>
      <c r="H294">
        <v>128097</v>
      </c>
      <c r="I294">
        <v>359</v>
      </c>
      <c r="J294" t="s">
        <v>72</v>
      </c>
    </row>
    <row r="295" spans="1:10" x14ac:dyDescent="0.2">
      <c r="A295" s="1">
        <v>46067</v>
      </c>
      <c r="B295" t="s">
        <v>19</v>
      </c>
      <c r="C295" t="s">
        <v>73</v>
      </c>
      <c r="D295" t="s">
        <v>12</v>
      </c>
      <c r="E295">
        <v>72849</v>
      </c>
      <c r="F295">
        <v>2187</v>
      </c>
      <c r="G295">
        <v>514.92999999999995</v>
      </c>
      <c r="H295">
        <v>58242</v>
      </c>
      <c r="I295">
        <v>73</v>
      </c>
      <c r="J295" t="s">
        <v>72</v>
      </c>
    </row>
    <row r="296" spans="1:10" x14ac:dyDescent="0.2">
      <c r="A296" s="1">
        <v>46067</v>
      </c>
      <c r="B296" t="s">
        <v>20</v>
      </c>
      <c r="C296" t="s">
        <v>77</v>
      </c>
      <c r="D296" t="s">
        <v>74</v>
      </c>
      <c r="E296">
        <v>126486</v>
      </c>
      <c r="F296">
        <v>4104</v>
      </c>
      <c r="G296">
        <v>844.49</v>
      </c>
      <c r="H296">
        <v>99116</v>
      </c>
      <c r="I296">
        <v>228</v>
      </c>
      <c r="J296" t="s">
        <v>72</v>
      </c>
    </row>
    <row r="297" spans="1:10" x14ac:dyDescent="0.2">
      <c r="A297" s="1">
        <v>46067</v>
      </c>
      <c r="B297" t="s">
        <v>20</v>
      </c>
      <c r="C297" t="s">
        <v>73</v>
      </c>
      <c r="D297" t="s">
        <v>71</v>
      </c>
      <c r="E297">
        <v>160294</v>
      </c>
      <c r="F297">
        <v>5148</v>
      </c>
      <c r="G297">
        <v>972.53</v>
      </c>
      <c r="H297">
        <v>119373</v>
      </c>
      <c r="I297">
        <v>241</v>
      </c>
      <c r="J297" t="s">
        <v>72</v>
      </c>
    </row>
    <row r="298" spans="1:10" x14ac:dyDescent="0.2">
      <c r="A298" s="1">
        <v>46068</v>
      </c>
      <c r="B298" t="s">
        <v>10</v>
      </c>
      <c r="C298" t="s">
        <v>26</v>
      </c>
      <c r="D298" t="s">
        <v>12</v>
      </c>
      <c r="E298">
        <v>74520</v>
      </c>
      <c r="F298">
        <v>2974</v>
      </c>
      <c r="G298">
        <v>708.12</v>
      </c>
      <c r="H298">
        <v>60255</v>
      </c>
      <c r="I298">
        <v>101</v>
      </c>
      <c r="J298" t="s">
        <v>72</v>
      </c>
    </row>
    <row r="299" spans="1:10" x14ac:dyDescent="0.2">
      <c r="A299" s="1">
        <v>46068</v>
      </c>
      <c r="B299" t="s">
        <v>10</v>
      </c>
      <c r="C299" t="s">
        <v>73</v>
      </c>
      <c r="D299" t="s">
        <v>74</v>
      </c>
      <c r="E299">
        <v>146705</v>
      </c>
      <c r="F299">
        <v>5732</v>
      </c>
      <c r="G299">
        <v>1243.23</v>
      </c>
      <c r="H299">
        <v>108083</v>
      </c>
      <c r="I299">
        <v>227</v>
      </c>
      <c r="J299" t="s">
        <v>72</v>
      </c>
    </row>
    <row r="300" spans="1:10" x14ac:dyDescent="0.2">
      <c r="A300" s="1">
        <v>46068</v>
      </c>
      <c r="B300" t="s">
        <v>15</v>
      </c>
      <c r="C300" t="s">
        <v>16</v>
      </c>
      <c r="D300" t="s">
        <v>74</v>
      </c>
      <c r="E300">
        <v>152560</v>
      </c>
      <c r="F300">
        <v>5379</v>
      </c>
      <c r="G300">
        <v>1025.99</v>
      </c>
      <c r="H300">
        <v>120712</v>
      </c>
      <c r="I300">
        <v>235</v>
      </c>
      <c r="J300" t="s">
        <v>72</v>
      </c>
    </row>
    <row r="301" spans="1:10" x14ac:dyDescent="0.2">
      <c r="A301" s="1">
        <v>46068</v>
      </c>
      <c r="B301" t="s">
        <v>15</v>
      </c>
      <c r="C301" t="s">
        <v>76</v>
      </c>
      <c r="D301" t="s">
        <v>74</v>
      </c>
      <c r="E301">
        <v>151764</v>
      </c>
      <c r="F301">
        <v>5255</v>
      </c>
      <c r="G301">
        <v>1129.1500000000001</v>
      </c>
      <c r="H301">
        <v>118954</v>
      </c>
      <c r="I301">
        <v>271</v>
      </c>
      <c r="J301" t="s">
        <v>72</v>
      </c>
    </row>
    <row r="302" spans="1:10" x14ac:dyDescent="0.2">
      <c r="A302" s="1">
        <v>46068</v>
      </c>
      <c r="B302" t="s">
        <v>19</v>
      </c>
      <c r="C302" t="s">
        <v>26</v>
      </c>
      <c r="D302" t="s">
        <v>12</v>
      </c>
      <c r="E302">
        <v>91452</v>
      </c>
      <c r="F302">
        <v>2841</v>
      </c>
      <c r="G302">
        <v>545.98</v>
      </c>
      <c r="H302">
        <v>73739</v>
      </c>
      <c r="I302">
        <v>113</v>
      </c>
      <c r="J302" t="s">
        <v>72</v>
      </c>
    </row>
    <row r="303" spans="1:10" x14ac:dyDescent="0.2">
      <c r="A303" s="1">
        <v>46068</v>
      </c>
      <c r="B303" t="s">
        <v>19</v>
      </c>
      <c r="C303" t="s">
        <v>73</v>
      </c>
      <c r="D303" t="s">
        <v>74</v>
      </c>
      <c r="E303">
        <v>137132</v>
      </c>
      <c r="F303">
        <v>5545</v>
      </c>
      <c r="G303">
        <v>1188.19</v>
      </c>
      <c r="H303">
        <v>111563</v>
      </c>
      <c r="I303">
        <v>217</v>
      </c>
      <c r="J303" t="s">
        <v>72</v>
      </c>
    </row>
    <row r="304" spans="1:10" x14ac:dyDescent="0.2">
      <c r="A304" s="1">
        <v>46068</v>
      </c>
      <c r="B304" t="s">
        <v>20</v>
      </c>
      <c r="C304" t="s">
        <v>77</v>
      </c>
      <c r="D304" t="s">
        <v>12</v>
      </c>
      <c r="E304">
        <v>76169</v>
      </c>
      <c r="F304">
        <v>2934</v>
      </c>
      <c r="G304">
        <v>580.05999999999995</v>
      </c>
      <c r="H304">
        <v>58793</v>
      </c>
      <c r="I304">
        <v>102</v>
      </c>
      <c r="J304" t="s">
        <v>72</v>
      </c>
    </row>
    <row r="305" spans="1:10" x14ac:dyDescent="0.2">
      <c r="A305" s="1">
        <v>46068</v>
      </c>
      <c r="B305" t="s">
        <v>20</v>
      </c>
      <c r="C305" t="s">
        <v>73</v>
      </c>
      <c r="D305" t="s">
        <v>71</v>
      </c>
      <c r="E305">
        <v>145569</v>
      </c>
      <c r="F305">
        <v>5119</v>
      </c>
      <c r="G305">
        <v>1024.73</v>
      </c>
      <c r="H305">
        <v>111377</v>
      </c>
      <c r="I305">
        <v>209</v>
      </c>
      <c r="J305" t="s">
        <v>72</v>
      </c>
    </row>
    <row r="306" spans="1:10" x14ac:dyDescent="0.2">
      <c r="A306" s="1">
        <v>46069</v>
      </c>
      <c r="B306" t="s">
        <v>10</v>
      </c>
      <c r="C306" t="s">
        <v>26</v>
      </c>
      <c r="D306" t="s">
        <v>12</v>
      </c>
      <c r="E306">
        <v>152340</v>
      </c>
      <c r="F306">
        <v>4941</v>
      </c>
      <c r="G306">
        <v>1002.74</v>
      </c>
      <c r="H306">
        <v>112420</v>
      </c>
      <c r="I306">
        <v>173</v>
      </c>
      <c r="J306" t="s">
        <v>72</v>
      </c>
    </row>
    <row r="307" spans="1:10" x14ac:dyDescent="0.2">
      <c r="A307" s="1">
        <v>46069</v>
      </c>
      <c r="B307" t="s">
        <v>10</v>
      </c>
      <c r="C307" t="s">
        <v>73</v>
      </c>
      <c r="D307" t="s">
        <v>74</v>
      </c>
      <c r="E307">
        <v>123307</v>
      </c>
      <c r="F307">
        <v>5008</v>
      </c>
      <c r="G307">
        <v>989.94</v>
      </c>
      <c r="H307">
        <v>94968</v>
      </c>
      <c r="I307">
        <v>222</v>
      </c>
      <c r="J307" t="s">
        <v>72</v>
      </c>
    </row>
    <row r="308" spans="1:10" x14ac:dyDescent="0.2">
      <c r="A308" s="1">
        <v>46069</v>
      </c>
      <c r="B308" t="s">
        <v>15</v>
      </c>
      <c r="C308" t="s">
        <v>16</v>
      </c>
      <c r="D308" t="s">
        <v>75</v>
      </c>
      <c r="E308">
        <v>105969</v>
      </c>
      <c r="F308">
        <v>4341</v>
      </c>
      <c r="G308">
        <v>807.01</v>
      </c>
      <c r="H308">
        <v>77053</v>
      </c>
      <c r="I308">
        <v>126</v>
      </c>
      <c r="J308" t="s">
        <v>72</v>
      </c>
    </row>
    <row r="309" spans="1:10" x14ac:dyDescent="0.2">
      <c r="A309" s="1">
        <v>46069</v>
      </c>
      <c r="B309" t="s">
        <v>15</v>
      </c>
      <c r="C309" t="s">
        <v>76</v>
      </c>
      <c r="D309" t="s">
        <v>75</v>
      </c>
      <c r="E309">
        <v>117993</v>
      </c>
      <c r="F309">
        <v>3628</v>
      </c>
      <c r="G309">
        <v>724.71</v>
      </c>
      <c r="H309">
        <v>88526</v>
      </c>
      <c r="I309">
        <v>190</v>
      </c>
      <c r="J309" t="s">
        <v>72</v>
      </c>
    </row>
    <row r="310" spans="1:10" x14ac:dyDescent="0.2">
      <c r="A310" s="1">
        <v>46069</v>
      </c>
      <c r="B310" t="s">
        <v>20</v>
      </c>
      <c r="C310" t="s">
        <v>77</v>
      </c>
      <c r="D310" t="s">
        <v>74</v>
      </c>
      <c r="E310">
        <v>87979</v>
      </c>
      <c r="F310">
        <v>3332</v>
      </c>
      <c r="G310">
        <v>799.28</v>
      </c>
      <c r="H310">
        <v>72128</v>
      </c>
      <c r="I310">
        <v>168</v>
      </c>
      <c r="J310" t="s">
        <v>72</v>
      </c>
    </row>
    <row r="311" spans="1:10" x14ac:dyDescent="0.2">
      <c r="A311" s="1">
        <v>46069</v>
      </c>
      <c r="B311" t="s">
        <v>20</v>
      </c>
      <c r="C311" t="s">
        <v>73</v>
      </c>
      <c r="D311" t="s">
        <v>71</v>
      </c>
      <c r="E311">
        <v>49788</v>
      </c>
      <c r="F311">
        <v>1930</v>
      </c>
      <c r="G311">
        <v>380.04</v>
      </c>
      <c r="H311">
        <v>37573</v>
      </c>
      <c r="I311">
        <v>111</v>
      </c>
      <c r="J311" t="s">
        <v>72</v>
      </c>
    </row>
    <row r="312" spans="1:10" x14ac:dyDescent="0.2">
      <c r="A312" s="1">
        <v>46070</v>
      </c>
      <c r="B312" t="s">
        <v>10</v>
      </c>
      <c r="C312" t="s">
        <v>26</v>
      </c>
      <c r="D312" t="s">
        <v>12</v>
      </c>
      <c r="E312">
        <v>106015</v>
      </c>
      <c r="F312">
        <v>4093</v>
      </c>
      <c r="G312">
        <v>739.66</v>
      </c>
      <c r="H312">
        <v>83265</v>
      </c>
      <c r="I312">
        <v>236</v>
      </c>
      <c r="J312" t="s">
        <v>72</v>
      </c>
    </row>
    <row r="313" spans="1:10" x14ac:dyDescent="0.2">
      <c r="A313" s="1">
        <v>46070</v>
      </c>
      <c r="B313" t="s">
        <v>10</v>
      </c>
      <c r="C313" t="s">
        <v>73</v>
      </c>
      <c r="D313" t="s">
        <v>74</v>
      </c>
      <c r="E313">
        <v>82101</v>
      </c>
      <c r="F313">
        <v>2560</v>
      </c>
      <c r="G313">
        <v>571.9</v>
      </c>
      <c r="H313">
        <v>60835</v>
      </c>
      <c r="I313">
        <v>89</v>
      </c>
      <c r="J313" t="s">
        <v>72</v>
      </c>
    </row>
    <row r="314" spans="1:10" x14ac:dyDescent="0.2">
      <c r="A314" s="1">
        <v>46070</v>
      </c>
      <c r="B314" t="s">
        <v>15</v>
      </c>
      <c r="C314" t="s">
        <v>16</v>
      </c>
      <c r="D314" t="s">
        <v>74</v>
      </c>
      <c r="E314">
        <v>90476</v>
      </c>
      <c r="F314">
        <v>2964</v>
      </c>
      <c r="G314">
        <v>548.79</v>
      </c>
      <c r="H314">
        <v>72795</v>
      </c>
      <c r="I314">
        <v>121</v>
      </c>
      <c r="J314" t="s">
        <v>72</v>
      </c>
    </row>
    <row r="315" spans="1:10" x14ac:dyDescent="0.2">
      <c r="A315" s="1">
        <v>46070</v>
      </c>
      <c r="B315" t="s">
        <v>15</v>
      </c>
      <c r="C315" t="s">
        <v>76</v>
      </c>
      <c r="D315" t="s">
        <v>74</v>
      </c>
      <c r="E315">
        <v>57470</v>
      </c>
      <c r="F315">
        <v>1962</v>
      </c>
      <c r="G315">
        <v>453.57</v>
      </c>
      <c r="H315">
        <v>41551</v>
      </c>
      <c r="I315">
        <v>63</v>
      </c>
      <c r="J315" t="s">
        <v>72</v>
      </c>
    </row>
    <row r="316" spans="1:10" x14ac:dyDescent="0.2">
      <c r="A316" s="1">
        <v>46071</v>
      </c>
      <c r="B316" t="s">
        <v>10</v>
      </c>
      <c r="C316" t="s">
        <v>26</v>
      </c>
      <c r="D316" t="s">
        <v>74</v>
      </c>
      <c r="E316">
        <v>70051</v>
      </c>
      <c r="F316">
        <v>2886</v>
      </c>
      <c r="G316">
        <v>521.16</v>
      </c>
      <c r="H316">
        <v>56113</v>
      </c>
      <c r="I316">
        <v>153</v>
      </c>
      <c r="J316" t="s">
        <v>72</v>
      </c>
    </row>
    <row r="317" spans="1:10" x14ac:dyDescent="0.2">
      <c r="A317" s="1">
        <v>46071</v>
      </c>
      <c r="B317" t="s">
        <v>10</v>
      </c>
      <c r="C317" t="s">
        <v>73</v>
      </c>
      <c r="D317" t="s">
        <v>71</v>
      </c>
      <c r="E317">
        <v>59555</v>
      </c>
      <c r="F317">
        <v>2017</v>
      </c>
      <c r="G317">
        <v>446.05</v>
      </c>
      <c r="H317">
        <v>45281</v>
      </c>
      <c r="I317">
        <v>103</v>
      </c>
      <c r="J317" t="s">
        <v>72</v>
      </c>
    </row>
    <row r="318" spans="1:10" x14ac:dyDescent="0.2">
      <c r="A318" s="1">
        <v>46071</v>
      </c>
      <c r="B318" t="s">
        <v>15</v>
      </c>
      <c r="C318" t="s">
        <v>16</v>
      </c>
      <c r="D318" t="s">
        <v>74</v>
      </c>
      <c r="E318">
        <v>72739</v>
      </c>
      <c r="F318">
        <v>2634</v>
      </c>
      <c r="G318">
        <v>563.82000000000005</v>
      </c>
      <c r="H318">
        <v>52606</v>
      </c>
      <c r="I318">
        <v>84</v>
      </c>
      <c r="J318" t="s">
        <v>72</v>
      </c>
    </row>
    <row r="319" spans="1:10" x14ac:dyDescent="0.2">
      <c r="A319" s="1">
        <v>46071</v>
      </c>
      <c r="B319" t="s">
        <v>15</v>
      </c>
      <c r="C319" t="s">
        <v>76</v>
      </c>
      <c r="D319" t="s">
        <v>74</v>
      </c>
      <c r="E319">
        <v>104473</v>
      </c>
      <c r="F319">
        <v>3846</v>
      </c>
      <c r="G319">
        <v>831.43</v>
      </c>
      <c r="H319">
        <v>81570</v>
      </c>
      <c r="I319">
        <v>207</v>
      </c>
      <c r="J319" t="s">
        <v>72</v>
      </c>
    </row>
    <row r="320" spans="1:10" x14ac:dyDescent="0.2">
      <c r="A320" s="1">
        <v>46072</v>
      </c>
      <c r="B320" t="s">
        <v>10</v>
      </c>
      <c r="C320" t="s">
        <v>26</v>
      </c>
      <c r="D320" t="s">
        <v>12</v>
      </c>
      <c r="E320">
        <v>56765</v>
      </c>
      <c r="F320">
        <v>2343</v>
      </c>
      <c r="G320">
        <v>430.7</v>
      </c>
      <c r="H320">
        <v>43064</v>
      </c>
      <c r="I320">
        <v>98</v>
      </c>
      <c r="J320" t="s">
        <v>72</v>
      </c>
    </row>
    <row r="321" spans="1:10" x14ac:dyDescent="0.2">
      <c r="A321" s="1">
        <v>46072</v>
      </c>
      <c r="B321" t="s">
        <v>10</v>
      </c>
      <c r="C321" t="s">
        <v>73</v>
      </c>
      <c r="D321" t="s">
        <v>71</v>
      </c>
      <c r="E321">
        <v>104647</v>
      </c>
      <c r="F321">
        <v>4339</v>
      </c>
      <c r="G321">
        <v>947.38</v>
      </c>
      <c r="H321">
        <v>78533</v>
      </c>
      <c r="I321">
        <v>143</v>
      </c>
      <c r="J321" t="s">
        <v>72</v>
      </c>
    </row>
    <row r="322" spans="1:10" x14ac:dyDescent="0.2">
      <c r="A322" s="1">
        <v>46072</v>
      </c>
      <c r="B322" t="s">
        <v>15</v>
      </c>
      <c r="C322" t="s">
        <v>16</v>
      </c>
      <c r="D322" t="s">
        <v>75</v>
      </c>
      <c r="E322">
        <v>34202</v>
      </c>
      <c r="F322">
        <v>1353</v>
      </c>
      <c r="G322">
        <v>292.52</v>
      </c>
      <c r="H322">
        <v>24717</v>
      </c>
      <c r="I322">
        <v>45</v>
      </c>
      <c r="J322" t="s">
        <v>72</v>
      </c>
    </row>
    <row r="323" spans="1:10" x14ac:dyDescent="0.2">
      <c r="A323" s="1">
        <v>46072</v>
      </c>
      <c r="B323" t="s">
        <v>15</v>
      </c>
      <c r="C323" t="s">
        <v>76</v>
      </c>
      <c r="D323" t="s">
        <v>74</v>
      </c>
      <c r="E323">
        <v>67200</v>
      </c>
      <c r="F323">
        <v>2075</v>
      </c>
      <c r="G323">
        <v>409.74</v>
      </c>
      <c r="H323">
        <v>51907</v>
      </c>
      <c r="I323">
        <v>86</v>
      </c>
      <c r="J323" t="s">
        <v>72</v>
      </c>
    </row>
    <row r="324" spans="1:10" x14ac:dyDescent="0.2">
      <c r="A324" s="1">
        <v>46073</v>
      </c>
      <c r="B324" t="s">
        <v>10</v>
      </c>
      <c r="C324" t="s">
        <v>26</v>
      </c>
      <c r="D324" t="s">
        <v>12</v>
      </c>
      <c r="E324">
        <v>97964</v>
      </c>
      <c r="F324">
        <v>2758</v>
      </c>
      <c r="G324">
        <v>550.51</v>
      </c>
      <c r="H324">
        <v>79446</v>
      </c>
      <c r="I324">
        <v>109</v>
      </c>
      <c r="J324" t="s">
        <v>72</v>
      </c>
    </row>
    <row r="325" spans="1:10" x14ac:dyDescent="0.2">
      <c r="A325" s="1">
        <v>46073</v>
      </c>
      <c r="B325" t="s">
        <v>10</v>
      </c>
      <c r="C325" t="s">
        <v>73</v>
      </c>
      <c r="D325" t="s">
        <v>74</v>
      </c>
      <c r="E325">
        <v>46926</v>
      </c>
      <c r="F325">
        <v>1666</v>
      </c>
      <c r="G325">
        <v>347.69</v>
      </c>
      <c r="H325">
        <v>34109</v>
      </c>
      <c r="I325">
        <v>94</v>
      </c>
      <c r="J325" t="s">
        <v>72</v>
      </c>
    </row>
    <row r="326" spans="1:10" x14ac:dyDescent="0.2">
      <c r="A326" s="1">
        <v>46073</v>
      </c>
      <c r="B326" t="s">
        <v>15</v>
      </c>
      <c r="C326" t="s">
        <v>16</v>
      </c>
      <c r="D326" t="s">
        <v>75</v>
      </c>
      <c r="E326">
        <v>47030</v>
      </c>
      <c r="F326">
        <v>1889</v>
      </c>
      <c r="G326">
        <v>375.13</v>
      </c>
      <c r="H326">
        <v>37708</v>
      </c>
      <c r="I326">
        <v>90</v>
      </c>
      <c r="J326" t="s">
        <v>72</v>
      </c>
    </row>
    <row r="327" spans="1:10" x14ac:dyDescent="0.2">
      <c r="A327" s="1">
        <v>46073</v>
      </c>
      <c r="B327" t="s">
        <v>15</v>
      </c>
      <c r="C327" t="s">
        <v>76</v>
      </c>
      <c r="D327" t="s">
        <v>75</v>
      </c>
      <c r="E327">
        <v>109129</v>
      </c>
      <c r="F327">
        <v>3934</v>
      </c>
      <c r="G327">
        <v>781.37</v>
      </c>
      <c r="H327">
        <v>80787</v>
      </c>
      <c r="I327">
        <v>194</v>
      </c>
      <c r="J327" t="s">
        <v>72</v>
      </c>
    </row>
    <row r="328" spans="1:10" x14ac:dyDescent="0.2">
      <c r="A328" s="1">
        <v>46074</v>
      </c>
      <c r="B328" t="s">
        <v>10</v>
      </c>
      <c r="C328" t="s">
        <v>26</v>
      </c>
      <c r="D328" t="s">
        <v>12</v>
      </c>
      <c r="E328">
        <v>92542</v>
      </c>
      <c r="F328">
        <v>2852</v>
      </c>
      <c r="G328">
        <v>682.95</v>
      </c>
      <c r="H328">
        <v>70755</v>
      </c>
      <c r="I328">
        <v>150</v>
      </c>
      <c r="J328" t="s">
        <v>72</v>
      </c>
    </row>
    <row r="329" spans="1:10" x14ac:dyDescent="0.2">
      <c r="A329" s="1">
        <v>46074</v>
      </c>
      <c r="B329" t="s">
        <v>10</v>
      </c>
      <c r="C329" t="s">
        <v>73</v>
      </c>
      <c r="D329" t="s">
        <v>74</v>
      </c>
      <c r="E329">
        <v>138495</v>
      </c>
      <c r="F329">
        <v>4515</v>
      </c>
      <c r="G329">
        <v>966.9</v>
      </c>
      <c r="H329">
        <v>106515</v>
      </c>
      <c r="I329">
        <v>189</v>
      </c>
      <c r="J329" t="s">
        <v>72</v>
      </c>
    </row>
    <row r="330" spans="1:10" x14ac:dyDescent="0.2">
      <c r="A330" s="1">
        <v>46074</v>
      </c>
      <c r="B330" t="s">
        <v>15</v>
      </c>
      <c r="C330" t="s">
        <v>16</v>
      </c>
      <c r="D330" t="s">
        <v>75</v>
      </c>
      <c r="E330">
        <v>58717</v>
      </c>
      <c r="F330">
        <v>1880</v>
      </c>
      <c r="G330">
        <v>437.78</v>
      </c>
      <c r="H330">
        <v>44955</v>
      </c>
      <c r="I330">
        <v>92</v>
      </c>
      <c r="J330" t="s">
        <v>72</v>
      </c>
    </row>
    <row r="331" spans="1:10" x14ac:dyDescent="0.2">
      <c r="A331" s="1">
        <v>46074</v>
      </c>
      <c r="B331" t="s">
        <v>15</v>
      </c>
      <c r="C331" t="s">
        <v>76</v>
      </c>
      <c r="D331" t="s">
        <v>74</v>
      </c>
      <c r="E331">
        <v>113764</v>
      </c>
      <c r="F331">
        <v>4161</v>
      </c>
      <c r="G331">
        <v>951.2</v>
      </c>
      <c r="H331">
        <v>83902</v>
      </c>
      <c r="I331">
        <v>147</v>
      </c>
      <c r="J331" t="s">
        <v>72</v>
      </c>
    </row>
    <row r="332" spans="1:10" x14ac:dyDescent="0.2">
      <c r="A332" s="1">
        <v>46074</v>
      </c>
      <c r="B332" t="s">
        <v>19</v>
      </c>
      <c r="C332" t="s">
        <v>26</v>
      </c>
      <c r="D332" t="s">
        <v>74</v>
      </c>
      <c r="E332">
        <v>126011</v>
      </c>
      <c r="F332">
        <v>4206</v>
      </c>
      <c r="G332">
        <v>923.41</v>
      </c>
      <c r="H332">
        <v>99530</v>
      </c>
      <c r="I332">
        <v>129</v>
      </c>
      <c r="J332" t="s">
        <v>72</v>
      </c>
    </row>
    <row r="333" spans="1:10" x14ac:dyDescent="0.2">
      <c r="A333" s="1">
        <v>46074</v>
      </c>
      <c r="B333" t="s">
        <v>19</v>
      </c>
      <c r="C333" t="s">
        <v>73</v>
      </c>
      <c r="D333" t="s">
        <v>12</v>
      </c>
      <c r="E333">
        <v>85983</v>
      </c>
      <c r="F333">
        <v>3473</v>
      </c>
      <c r="G333">
        <v>658.05</v>
      </c>
      <c r="H333">
        <v>69496</v>
      </c>
      <c r="I333">
        <v>153</v>
      </c>
      <c r="J333" t="s">
        <v>72</v>
      </c>
    </row>
    <row r="334" spans="1:10" x14ac:dyDescent="0.2">
      <c r="A334" s="1">
        <v>46075</v>
      </c>
      <c r="B334" t="s">
        <v>10</v>
      </c>
      <c r="C334" t="s">
        <v>26</v>
      </c>
      <c r="D334" t="s">
        <v>71</v>
      </c>
      <c r="E334">
        <v>54247</v>
      </c>
      <c r="F334">
        <v>2049</v>
      </c>
      <c r="G334">
        <v>457.63</v>
      </c>
      <c r="H334">
        <v>40236</v>
      </c>
      <c r="I334">
        <v>87</v>
      </c>
      <c r="J334" t="s">
        <v>72</v>
      </c>
    </row>
    <row r="335" spans="1:10" x14ac:dyDescent="0.2">
      <c r="A335" s="1">
        <v>46075</v>
      </c>
      <c r="B335" t="s">
        <v>10</v>
      </c>
      <c r="C335" t="s">
        <v>73</v>
      </c>
      <c r="D335" t="s">
        <v>74</v>
      </c>
      <c r="E335">
        <v>109662</v>
      </c>
      <c r="F335">
        <v>3188</v>
      </c>
      <c r="G335">
        <v>593.97</v>
      </c>
      <c r="H335">
        <v>87362</v>
      </c>
      <c r="I335">
        <v>120</v>
      </c>
      <c r="J335" t="s">
        <v>72</v>
      </c>
    </row>
    <row r="336" spans="1:10" x14ac:dyDescent="0.2">
      <c r="A336" s="1">
        <v>46075</v>
      </c>
      <c r="B336" t="s">
        <v>15</v>
      </c>
      <c r="C336" t="s">
        <v>16</v>
      </c>
      <c r="D336" t="s">
        <v>74</v>
      </c>
      <c r="E336">
        <v>72247</v>
      </c>
      <c r="F336">
        <v>2278</v>
      </c>
      <c r="G336">
        <v>479.21</v>
      </c>
      <c r="H336">
        <v>55356</v>
      </c>
      <c r="I336">
        <v>68</v>
      </c>
      <c r="J336" t="s">
        <v>72</v>
      </c>
    </row>
    <row r="337" spans="1:10" x14ac:dyDescent="0.2">
      <c r="A337" s="1">
        <v>46075</v>
      </c>
      <c r="B337" t="s">
        <v>15</v>
      </c>
      <c r="C337" t="s">
        <v>76</v>
      </c>
      <c r="D337" t="s">
        <v>74</v>
      </c>
      <c r="E337">
        <v>111941</v>
      </c>
      <c r="F337">
        <v>3672</v>
      </c>
      <c r="G337">
        <v>748.94</v>
      </c>
      <c r="H337">
        <v>82773</v>
      </c>
      <c r="I337">
        <v>106</v>
      </c>
      <c r="J337" t="s">
        <v>72</v>
      </c>
    </row>
    <row r="338" spans="1:10" x14ac:dyDescent="0.2">
      <c r="A338" s="1">
        <v>46075</v>
      </c>
      <c r="B338" t="s">
        <v>19</v>
      </c>
      <c r="C338" t="s">
        <v>26</v>
      </c>
      <c r="D338" t="s">
        <v>74</v>
      </c>
      <c r="E338">
        <v>63043</v>
      </c>
      <c r="F338">
        <v>2391</v>
      </c>
      <c r="G338">
        <v>449.96</v>
      </c>
      <c r="H338">
        <v>49616</v>
      </c>
      <c r="I338">
        <v>100</v>
      </c>
      <c r="J338" t="s">
        <v>72</v>
      </c>
    </row>
    <row r="339" spans="1:10" x14ac:dyDescent="0.2">
      <c r="A339" s="1">
        <v>46075</v>
      </c>
      <c r="B339" t="s">
        <v>19</v>
      </c>
      <c r="C339" t="s">
        <v>73</v>
      </c>
      <c r="D339" t="s">
        <v>74</v>
      </c>
      <c r="E339">
        <v>54520</v>
      </c>
      <c r="F339">
        <v>1589</v>
      </c>
      <c r="G339">
        <v>348.66</v>
      </c>
      <c r="H339">
        <v>43144</v>
      </c>
      <c r="I339">
        <v>65</v>
      </c>
      <c r="J339" t="s">
        <v>72</v>
      </c>
    </row>
    <row r="340" spans="1:10" x14ac:dyDescent="0.2">
      <c r="A340" s="1">
        <v>46076</v>
      </c>
      <c r="B340" t="s">
        <v>10</v>
      </c>
      <c r="C340" t="s">
        <v>26</v>
      </c>
      <c r="D340" t="s">
        <v>12</v>
      </c>
      <c r="E340">
        <v>66587</v>
      </c>
      <c r="F340">
        <v>2648</v>
      </c>
      <c r="G340">
        <v>503.74</v>
      </c>
      <c r="H340">
        <v>48062</v>
      </c>
      <c r="I340">
        <v>82</v>
      </c>
      <c r="J340" t="s">
        <v>72</v>
      </c>
    </row>
    <row r="341" spans="1:10" x14ac:dyDescent="0.2">
      <c r="A341" s="1">
        <v>46076</v>
      </c>
      <c r="B341" t="s">
        <v>10</v>
      </c>
      <c r="C341" t="s">
        <v>73</v>
      </c>
      <c r="D341" t="s">
        <v>71</v>
      </c>
      <c r="E341">
        <v>46272</v>
      </c>
      <c r="F341">
        <v>1641</v>
      </c>
      <c r="G341">
        <v>333.86</v>
      </c>
      <c r="H341">
        <v>33674</v>
      </c>
      <c r="I341">
        <v>83</v>
      </c>
      <c r="J341" t="s">
        <v>72</v>
      </c>
    </row>
    <row r="342" spans="1:10" x14ac:dyDescent="0.2">
      <c r="A342" s="1">
        <v>46076</v>
      </c>
      <c r="B342" t="s">
        <v>15</v>
      </c>
      <c r="C342" t="s">
        <v>16</v>
      </c>
      <c r="D342" t="s">
        <v>74</v>
      </c>
      <c r="E342">
        <v>50119</v>
      </c>
      <c r="F342">
        <v>1712</v>
      </c>
      <c r="G342">
        <v>326.44</v>
      </c>
      <c r="H342">
        <v>39666</v>
      </c>
      <c r="I342">
        <v>93</v>
      </c>
      <c r="J342" t="s">
        <v>72</v>
      </c>
    </row>
    <row r="343" spans="1:10" x14ac:dyDescent="0.2">
      <c r="A343" s="1">
        <v>46076</v>
      </c>
      <c r="B343" t="s">
        <v>15</v>
      </c>
      <c r="C343" t="s">
        <v>76</v>
      </c>
      <c r="D343" t="s">
        <v>75</v>
      </c>
      <c r="E343">
        <v>87941</v>
      </c>
      <c r="F343">
        <v>3320</v>
      </c>
      <c r="G343">
        <v>764.23</v>
      </c>
      <c r="H343">
        <v>70454</v>
      </c>
      <c r="I343">
        <v>156</v>
      </c>
      <c r="J343" t="s">
        <v>72</v>
      </c>
    </row>
    <row r="344" spans="1:10" x14ac:dyDescent="0.2">
      <c r="A344" s="1">
        <v>46077</v>
      </c>
      <c r="B344" t="s">
        <v>10</v>
      </c>
      <c r="C344" t="s">
        <v>26</v>
      </c>
      <c r="D344" t="s">
        <v>71</v>
      </c>
      <c r="E344">
        <v>43473</v>
      </c>
      <c r="F344">
        <v>1454</v>
      </c>
      <c r="G344">
        <v>288.62</v>
      </c>
      <c r="H344">
        <v>31528</v>
      </c>
      <c r="I344">
        <v>40</v>
      </c>
      <c r="J344" t="s">
        <v>72</v>
      </c>
    </row>
    <row r="345" spans="1:10" x14ac:dyDescent="0.2">
      <c r="A345" s="1">
        <v>46077</v>
      </c>
      <c r="B345" t="s">
        <v>10</v>
      </c>
      <c r="C345" t="s">
        <v>73</v>
      </c>
      <c r="D345" t="s">
        <v>71</v>
      </c>
      <c r="E345">
        <v>56442</v>
      </c>
      <c r="F345">
        <v>2314</v>
      </c>
      <c r="G345">
        <v>468.54</v>
      </c>
      <c r="H345">
        <v>41984</v>
      </c>
      <c r="I345">
        <v>71</v>
      </c>
      <c r="J345" t="s">
        <v>72</v>
      </c>
    </row>
    <row r="346" spans="1:10" x14ac:dyDescent="0.2">
      <c r="A346" s="1">
        <v>46077</v>
      </c>
      <c r="B346" t="s">
        <v>15</v>
      </c>
      <c r="C346" t="s">
        <v>16</v>
      </c>
      <c r="D346" t="s">
        <v>74</v>
      </c>
      <c r="E346">
        <v>33662</v>
      </c>
      <c r="F346">
        <v>1408</v>
      </c>
      <c r="G346">
        <v>281.92</v>
      </c>
      <c r="H346">
        <v>24883</v>
      </c>
      <c r="I346">
        <v>67</v>
      </c>
      <c r="J346" t="s">
        <v>72</v>
      </c>
    </row>
    <row r="347" spans="1:10" x14ac:dyDescent="0.2">
      <c r="A347" s="1">
        <v>46077</v>
      </c>
      <c r="B347" t="s">
        <v>15</v>
      </c>
      <c r="C347" t="s">
        <v>76</v>
      </c>
      <c r="D347" t="s">
        <v>75</v>
      </c>
      <c r="E347">
        <v>42661</v>
      </c>
      <c r="F347">
        <v>1670</v>
      </c>
      <c r="G347">
        <v>383.81</v>
      </c>
      <c r="H347">
        <v>31432</v>
      </c>
      <c r="I347">
        <v>55</v>
      </c>
      <c r="J347" t="s">
        <v>72</v>
      </c>
    </row>
    <row r="348" spans="1:10" x14ac:dyDescent="0.2">
      <c r="A348" s="1">
        <v>46078</v>
      </c>
      <c r="B348" t="s">
        <v>10</v>
      </c>
      <c r="C348" t="s">
        <v>26</v>
      </c>
      <c r="D348" t="s">
        <v>12</v>
      </c>
      <c r="E348">
        <v>97174</v>
      </c>
      <c r="F348">
        <v>2867</v>
      </c>
      <c r="G348">
        <v>572.33000000000004</v>
      </c>
      <c r="H348">
        <v>75426</v>
      </c>
      <c r="I348">
        <v>96</v>
      </c>
      <c r="J348" t="s">
        <v>72</v>
      </c>
    </row>
    <row r="349" spans="1:10" x14ac:dyDescent="0.2">
      <c r="A349" s="1">
        <v>46078</v>
      </c>
      <c r="B349" t="s">
        <v>10</v>
      </c>
      <c r="C349" t="s">
        <v>73</v>
      </c>
      <c r="D349" t="s">
        <v>74</v>
      </c>
      <c r="E349">
        <v>101002</v>
      </c>
      <c r="F349">
        <v>3386</v>
      </c>
      <c r="G349">
        <v>696.41</v>
      </c>
      <c r="H349">
        <v>75068</v>
      </c>
      <c r="I349">
        <v>105</v>
      </c>
      <c r="J349" t="s">
        <v>72</v>
      </c>
    </row>
    <row r="350" spans="1:10" x14ac:dyDescent="0.2">
      <c r="A350" s="1">
        <v>46078</v>
      </c>
      <c r="B350" t="s">
        <v>15</v>
      </c>
      <c r="C350" t="s">
        <v>16</v>
      </c>
      <c r="D350" t="s">
        <v>74</v>
      </c>
      <c r="E350">
        <v>52756</v>
      </c>
      <c r="F350">
        <v>1488</v>
      </c>
      <c r="G350">
        <v>326.23</v>
      </c>
      <c r="H350">
        <v>38047</v>
      </c>
      <c r="I350">
        <v>51</v>
      </c>
      <c r="J350" t="s">
        <v>72</v>
      </c>
    </row>
    <row r="351" spans="1:10" x14ac:dyDescent="0.2">
      <c r="A351" s="1">
        <v>46078</v>
      </c>
      <c r="B351" t="s">
        <v>15</v>
      </c>
      <c r="C351" t="s">
        <v>76</v>
      </c>
      <c r="D351" t="s">
        <v>75</v>
      </c>
      <c r="E351">
        <v>38652</v>
      </c>
      <c r="F351">
        <v>1438</v>
      </c>
      <c r="G351">
        <v>282.87</v>
      </c>
      <c r="H351">
        <v>30240</v>
      </c>
      <c r="I351">
        <v>42</v>
      </c>
      <c r="J351" t="s">
        <v>72</v>
      </c>
    </row>
    <row r="352" spans="1:10" x14ac:dyDescent="0.2">
      <c r="A352" s="1">
        <v>46079</v>
      </c>
      <c r="B352" t="s">
        <v>10</v>
      </c>
      <c r="C352" t="s">
        <v>26</v>
      </c>
      <c r="D352" t="s">
        <v>74</v>
      </c>
      <c r="E352">
        <v>83883</v>
      </c>
      <c r="F352">
        <v>2702</v>
      </c>
      <c r="G352">
        <v>583.45000000000005</v>
      </c>
      <c r="H352">
        <v>68642</v>
      </c>
      <c r="I352">
        <v>83</v>
      </c>
      <c r="J352" t="s">
        <v>72</v>
      </c>
    </row>
    <row r="353" spans="1:10" x14ac:dyDescent="0.2">
      <c r="A353" s="1">
        <v>46079</v>
      </c>
      <c r="B353" t="s">
        <v>10</v>
      </c>
      <c r="C353" t="s">
        <v>73</v>
      </c>
      <c r="D353" t="s">
        <v>74</v>
      </c>
      <c r="E353">
        <v>63022</v>
      </c>
      <c r="F353">
        <v>2610</v>
      </c>
      <c r="G353">
        <v>563.74</v>
      </c>
      <c r="H353">
        <v>51560</v>
      </c>
      <c r="I353">
        <v>127</v>
      </c>
      <c r="J353" t="s">
        <v>72</v>
      </c>
    </row>
    <row r="354" spans="1:10" x14ac:dyDescent="0.2">
      <c r="A354" s="1">
        <v>46079</v>
      </c>
      <c r="B354" t="s">
        <v>15</v>
      </c>
      <c r="C354" t="s">
        <v>16</v>
      </c>
      <c r="D354" t="s">
        <v>75</v>
      </c>
      <c r="E354">
        <v>73522</v>
      </c>
      <c r="F354">
        <v>2239</v>
      </c>
      <c r="G354">
        <v>505.35</v>
      </c>
      <c r="H354">
        <v>57991</v>
      </c>
      <c r="I354">
        <v>128</v>
      </c>
      <c r="J354" t="s">
        <v>72</v>
      </c>
    </row>
    <row r="355" spans="1:10" x14ac:dyDescent="0.2">
      <c r="A355" s="1">
        <v>46079</v>
      </c>
      <c r="B355" t="s">
        <v>15</v>
      </c>
      <c r="C355" t="s">
        <v>76</v>
      </c>
      <c r="D355" t="s">
        <v>74</v>
      </c>
      <c r="E355">
        <v>38849</v>
      </c>
      <c r="F355">
        <v>1270</v>
      </c>
      <c r="G355">
        <v>274.97000000000003</v>
      </c>
      <c r="H355">
        <v>30244</v>
      </c>
      <c r="I355">
        <v>50</v>
      </c>
      <c r="J355" t="s">
        <v>72</v>
      </c>
    </row>
    <row r="356" spans="1:10" x14ac:dyDescent="0.2">
      <c r="A356" s="1">
        <v>46080</v>
      </c>
      <c r="B356" t="s">
        <v>10</v>
      </c>
      <c r="C356" t="s">
        <v>26</v>
      </c>
      <c r="D356" t="s">
        <v>71</v>
      </c>
      <c r="E356">
        <v>60464</v>
      </c>
      <c r="F356">
        <v>2119</v>
      </c>
      <c r="G356">
        <v>471.01</v>
      </c>
      <c r="H356">
        <v>43614</v>
      </c>
      <c r="I356">
        <v>60</v>
      </c>
      <c r="J356" t="s">
        <v>72</v>
      </c>
    </row>
    <row r="357" spans="1:10" x14ac:dyDescent="0.2">
      <c r="A357" s="1">
        <v>46080</v>
      </c>
      <c r="B357" t="s">
        <v>10</v>
      </c>
      <c r="C357" t="s">
        <v>73</v>
      </c>
      <c r="D357" t="s">
        <v>74</v>
      </c>
      <c r="E357">
        <v>70481</v>
      </c>
      <c r="F357">
        <v>2206</v>
      </c>
      <c r="G357">
        <v>453.8</v>
      </c>
      <c r="H357">
        <v>52462</v>
      </c>
      <c r="I357">
        <v>67</v>
      </c>
      <c r="J357" t="s">
        <v>72</v>
      </c>
    </row>
    <row r="358" spans="1:10" x14ac:dyDescent="0.2">
      <c r="A358" s="1">
        <v>46080</v>
      </c>
      <c r="B358" t="s">
        <v>15</v>
      </c>
      <c r="C358" t="s">
        <v>16</v>
      </c>
      <c r="D358" t="s">
        <v>75</v>
      </c>
      <c r="E358">
        <v>79089</v>
      </c>
      <c r="F358">
        <v>2766</v>
      </c>
      <c r="G358">
        <v>531.41</v>
      </c>
      <c r="H358">
        <v>59915</v>
      </c>
      <c r="I358">
        <v>130</v>
      </c>
      <c r="J358" t="s">
        <v>72</v>
      </c>
    </row>
    <row r="359" spans="1:10" x14ac:dyDescent="0.2">
      <c r="A359" s="1">
        <v>46080</v>
      </c>
      <c r="B359" t="s">
        <v>15</v>
      </c>
      <c r="C359" t="s">
        <v>76</v>
      </c>
      <c r="D359" t="s">
        <v>75</v>
      </c>
      <c r="E359">
        <v>108390</v>
      </c>
      <c r="F359">
        <v>4535</v>
      </c>
      <c r="G359">
        <v>937.04</v>
      </c>
      <c r="H359">
        <v>87550</v>
      </c>
      <c r="I359">
        <v>145</v>
      </c>
      <c r="J359" t="s">
        <v>72</v>
      </c>
    </row>
    <row r="360" spans="1:10" x14ac:dyDescent="0.2">
      <c r="A360" s="1">
        <v>46081</v>
      </c>
      <c r="B360" t="s">
        <v>10</v>
      </c>
      <c r="C360" t="s">
        <v>26</v>
      </c>
      <c r="D360" t="s">
        <v>12</v>
      </c>
      <c r="E360">
        <v>49267</v>
      </c>
      <c r="F360">
        <v>1738</v>
      </c>
      <c r="G360">
        <v>414.78</v>
      </c>
      <c r="H360">
        <v>38664</v>
      </c>
      <c r="I360">
        <v>63</v>
      </c>
      <c r="J360" t="s">
        <v>72</v>
      </c>
    </row>
    <row r="361" spans="1:10" x14ac:dyDescent="0.2">
      <c r="A361" s="1">
        <v>46081</v>
      </c>
      <c r="B361" t="s">
        <v>10</v>
      </c>
      <c r="C361" t="s">
        <v>73</v>
      </c>
      <c r="D361" t="s">
        <v>74</v>
      </c>
      <c r="E361">
        <v>84022</v>
      </c>
      <c r="F361">
        <v>3348</v>
      </c>
      <c r="G361">
        <v>669.19</v>
      </c>
      <c r="H361">
        <v>62531</v>
      </c>
      <c r="I361">
        <v>147</v>
      </c>
      <c r="J361" t="s">
        <v>72</v>
      </c>
    </row>
    <row r="362" spans="1:10" x14ac:dyDescent="0.2">
      <c r="A362" s="1">
        <v>46081</v>
      </c>
      <c r="B362" t="s">
        <v>15</v>
      </c>
      <c r="C362" t="s">
        <v>16</v>
      </c>
      <c r="D362" t="s">
        <v>75</v>
      </c>
      <c r="E362">
        <v>82818</v>
      </c>
      <c r="F362">
        <v>3023</v>
      </c>
      <c r="G362">
        <v>613.33000000000004</v>
      </c>
      <c r="H362">
        <v>62292</v>
      </c>
      <c r="I362">
        <v>124</v>
      </c>
      <c r="J362" t="s">
        <v>72</v>
      </c>
    </row>
    <row r="363" spans="1:10" x14ac:dyDescent="0.2">
      <c r="A363" s="1">
        <v>46081</v>
      </c>
      <c r="B363" t="s">
        <v>15</v>
      </c>
      <c r="C363" t="s">
        <v>76</v>
      </c>
      <c r="D363" t="s">
        <v>75</v>
      </c>
      <c r="E363">
        <v>53856</v>
      </c>
      <c r="F363">
        <v>2163</v>
      </c>
      <c r="G363">
        <v>398.42</v>
      </c>
      <c r="H363">
        <v>39812</v>
      </c>
      <c r="I363">
        <v>101</v>
      </c>
      <c r="J363" t="s">
        <v>72</v>
      </c>
    </row>
    <row r="364" spans="1:10" x14ac:dyDescent="0.2">
      <c r="A364" s="1">
        <v>46081</v>
      </c>
      <c r="B364" t="s">
        <v>19</v>
      </c>
      <c r="C364" t="s">
        <v>26</v>
      </c>
      <c r="D364" t="s">
        <v>12</v>
      </c>
      <c r="E364">
        <v>79473</v>
      </c>
      <c r="F364">
        <v>2364</v>
      </c>
      <c r="G364">
        <v>450.15</v>
      </c>
      <c r="H364">
        <v>61582</v>
      </c>
      <c r="I364">
        <v>122</v>
      </c>
      <c r="J364" t="s">
        <v>72</v>
      </c>
    </row>
    <row r="365" spans="1:10" x14ac:dyDescent="0.2">
      <c r="A365" s="1">
        <v>46081</v>
      </c>
      <c r="B365" t="s">
        <v>19</v>
      </c>
      <c r="C365" t="s">
        <v>73</v>
      </c>
      <c r="D365" t="s">
        <v>12</v>
      </c>
      <c r="E365">
        <v>85362</v>
      </c>
      <c r="F365">
        <v>2996</v>
      </c>
      <c r="G365">
        <v>615.9</v>
      </c>
      <c r="H365">
        <v>65447</v>
      </c>
      <c r="I365">
        <v>98</v>
      </c>
      <c r="J365" t="s">
        <v>72</v>
      </c>
    </row>
    <row r="366" spans="1:10" x14ac:dyDescent="0.2">
      <c r="A366" s="1">
        <v>46082</v>
      </c>
      <c r="B366" t="s">
        <v>10</v>
      </c>
      <c r="C366" t="s">
        <v>26</v>
      </c>
      <c r="D366" t="s">
        <v>74</v>
      </c>
      <c r="E366">
        <v>80732</v>
      </c>
      <c r="F366">
        <v>2739</v>
      </c>
      <c r="G366">
        <v>592.59</v>
      </c>
      <c r="H366">
        <v>60574</v>
      </c>
      <c r="I366">
        <v>124</v>
      </c>
      <c r="J366" t="s">
        <v>72</v>
      </c>
    </row>
    <row r="367" spans="1:10" x14ac:dyDescent="0.2">
      <c r="A367" s="1">
        <v>46082</v>
      </c>
      <c r="B367" t="s">
        <v>10</v>
      </c>
      <c r="C367" t="s">
        <v>73</v>
      </c>
      <c r="D367" t="s">
        <v>74</v>
      </c>
      <c r="E367">
        <v>85322</v>
      </c>
      <c r="F367">
        <v>3419</v>
      </c>
      <c r="G367">
        <v>714.13</v>
      </c>
      <c r="H367">
        <v>69546</v>
      </c>
      <c r="I367">
        <v>132</v>
      </c>
      <c r="J367" t="s">
        <v>72</v>
      </c>
    </row>
    <row r="368" spans="1:10" x14ac:dyDescent="0.2">
      <c r="A368" s="1">
        <v>46082</v>
      </c>
      <c r="B368" t="s">
        <v>15</v>
      </c>
      <c r="C368" t="s">
        <v>16</v>
      </c>
      <c r="D368" t="s">
        <v>74</v>
      </c>
      <c r="E368">
        <v>67585</v>
      </c>
      <c r="F368">
        <v>2337</v>
      </c>
      <c r="G368">
        <v>479.93</v>
      </c>
      <c r="H368">
        <v>52779</v>
      </c>
      <c r="I368">
        <v>95</v>
      </c>
      <c r="J368" t="s">
        <v>72</v>
      </c>
    </row>
    <row r="369" spans="1:10" x14ac:dyDescent="0.2">
      <c r="A369" s="1">
        <v>46082</v>
      </c>
      <c r="B369" t="s">
        <v>15</v>
      </c>
      <c r="C369" t="s">
        <v>76</v>
      </c>
      <c r="D369" t="s">
        <v>75</v>
      </c>
      <c r="E369">
        <v>121128</v>
      </c>
      <c r="F369">
        <v>3425</v>
      </c>
      <c r="G369">
        <v>694.88</v>
      </c>
      <c r="H369">
        <v>97557</v>
      </c>
      <c r="I369">
        <v>173</v>
      </c>
      <c r="J369" t="s">
        <v>72</v>
      </c>
    </row>
    <row r="370" spans="1:10" x14ac:dyDescent="0.2">
      <c r="A370" s="1">
        <v>46082</v>
      </c>
      <c r="B370" t="s">
        <v>19</v>
      </c>
      <c r="C370" t="s">
        <v>26</v>
      </c>
      <c r="D370" t="s">
        <v>74</v>
      </c>
      <c r="E370">
        <v>140414</v>
      </c>
      <c r="F370">
        <v>4987</v>
      </c>
      <c r="G370">
        <v>1063.08</v>
      </c>
      <c r="H370">
        <v>103565</v>
      </c>
      <c r="I370">
        <v>196</v>
      </c>
      <c r="J370" t="s">
        <v>72</v>
      </c>
    </row>
    <row r="371" spans="1:10" x14ac:dyDescent="0.2">
      <c r="A371" s="1">
        <v>46082</v>
      </c>
      <c r="B371" t="s">
        <v>19</v>
      </c>
      <c r="C371" t="s">
        <v>73</v>
      </c>
      <c r="D371" t="s">
        <v>74</v>
      </c>
      <c r="E371">
        <v>116290</v>
      </c>
      <c r="F371">
        <v>3717</v>
      </c>
      <c r="G371">
        <v>794.43</v>
      </c>
      <c r="H371">
        <v>89320</v>
      </c>
      <c r="I371">
        <v>141</v>
      </c>
      <c r="J371" t="s">
        <v>72</v>
      </c>
    </row>
    <row r="372" spans="1:10" x14ac:dyDescent="0.2">
      <c r="A372" s="1">
        <v>46083</v>
      </c>
      <c r="B372" t="s">
        <v>10</v>
      </c>
      <c r="C372" t="s">
        <v>26</v>
      </c>
      <c r="D372" t="s">
        <v>71</v>
      </c>
      <c r="E372">
        <v>118957</v>
      </c>
      <c r="F372">
        <v>3656</v>
      </c>
      <c r="G372">
        <v>859.04</v>
      </c>
      <c r="H372">
        <v>85698</v>
      </c>
      <c r="I372">
        <v>196</v>
      </c>
      <c r="J372" t="s">
        <v>72</v>
      </c>
    </row>
    <row r="373" spans="1:10" x14ac:dyDescent="0.2">
      <c r="A373" s="1">
        <v>46083</v>
      </c>
      <c r="B373" t="s">
        <v>10</v>
      </c>
      <c r="C373" t="s">
        <v>73</v>
      </c>
      <c r="D373" t="s">
        <v>71</v>
      </c>
      <c r="E373">
        <v>122739</v>
      </c>
      <c r="F373">
        <v>4131</v>
      </c>
      <c r="G373">
        <v>846.65</v>
      </c>
      <c r="H373">
        <v>93215</v>
      </c>
      <c r="I373">
        <v>207</v>
      </c>
      <c r="J373" t="s">
        <v>72</v>
      </c>
    </row>
    <row r="374" spans="1:10" x14ac:dyDescent="0.2">
      <c r="A374" s="1">
        <v>46083</v>
      </c>
      <c r="B374" t="s">
        <v>15</v>
      </c>
      <c r="C374" t="s">
        <v>16</v>
      </c>
      <c r="D374" t="s">
        <v>74</v>
      </c>
      <c r="E374">
        <v>122415</v>
      </c>
      <c r="F374">
        <v>3955</v>
      </c>
      <c r="G374">
        <v>946.24</v>
      </c>
      <c r="H374">
        <v>89010</v>
      </c>
      <c r="I374">
        <v>215</v>
      </c>
      <c r="J374" t="s">
        <v>72</v>
      </c>
    </row>
    <row r="375" spans="1:10" x14ac:dyDescent="0.2">
      <c r="A375" s="1">
        <v>46083</v>
      </c>
      <c r="B375" t="s">
        <v>15</v>
      </c>
      <c r="C375" t="s">
        <v>76</v>
      </c>
      <c r="D375" t="s">
        <v>75</v>
      </c>
      <c r="E375">
        <v>104570</v>
      </c>
      <c r="F375">
        <v>4292</v>
      </c>
      <c r="G375">
        <v>814.37</v>
      </c>
      <c r="H375">
        <v>83268</v>
      </c>
      <c r="I375">
        <v>243</v>
      </c>
      <c r="J375" t="s">
        <v>72</v>
      </c>
    </row>
    <row r="376" spans="1:10" x14ac:dyDescent="0.2">
      <c r="A376" s="1">
        <v>46084</v>
      </c>
      <c r="B376" t="s">
        <v>10</v>
      </c>
      <c r="C376" t="s">
        <v>26</v>
      </c>
      <c r="D376" t="s">
        <v>71</v>
      </c>
      <c r="E376">
        <v>98394</v>
      </c>
      <c r="F376">
        <v>3457</v>
      </c>
      <c r="G376">
        <v>723.61</v>
      </c>
      <c r="H376">
        <v>77618</v>
      </c>
      <c r="I376">
        <v>169</v>
      </c>
      <c r="J376" t="s">
        <v>72</v>
      </c>
    </row>
    <row r="377" spans="1:10" x14ac:dyDescent="0.2">
      <c r="A377" s="1">
        <v>46084</v>
      </c>
      <c r="B377" t="s">
        <v>10</v>
      </c>
      <c r="C377" t="s">
        <v>73</v>
      </c>
      <c r="D377" t="s">
        <v>71</v>
      </c>
      <c r="E377">
        <v>111252</v>
      </c>
      <c r="F377">
        <v>4260</v>
      </c>
      <c r="G377">
        <v>828.75</v>
      </c>
      <c r="H377">
        <v>80485</v>
      </c>
      <c r="I377">
        <v>223</v>
      </c>
      <c r="J377" t="s">
        <v>72</v>
      </c>
    </row>
    <row r="378" spans="1:10" x14ac:dyDescent="0.2">
      <c r="A378" s="1">
        <v>46084</v>
      </c>
      <c r="B378" t="s">
        <v>15</v>
      </c>
      <c r="C378" t="s">
        <v>16</v>
      </c>
      <c r="D378" t="s">
        <v>75</v>
      </c>
      <c r="E378">
        <v>64197</v>
      </c>
      <c r="F378">
        <v>2032</v>
      </c>
      <c r="G378">
        <v>421.29</v>
      </c>
      <c r="H378">
        <v>50594</v>
      </c>
      <c r="I378">
        <v>72</v>
      </c>
      <c r="J378" t="s">
        <v>72</v>
      </c>
    </row>
    <row r="379" spans="1:10" x14ac:dyDescent="0.2">
      <c r="A379" s="1">
        <v>46084</v>
      </c>
      <c r="B379" t="s">
        <v>15</v>
      </c>
      <c r="C379" t="s">
        <v>76</v>
      </c>
      <c r="D379" t="s">
        <v>75</v>
      </c>
      <c r="E379">
        <v>41102</v>
      </c>
      <c r="F379">
        <v>1218</v>
      </c>
      <c r="G379">
        <v>225.99</v>
      </c>
      <c r="H379">
        <v>32518</v>
      </c>
      <c r="I379">
        <v>48</v>
      </c>
      <c r="J379" t="s">
        <v>72</v>
      </c>
    </row>
    <row r="380" spans="1:10" x14ac:dyDescent="0.2">
      <c r="A380" s="1">
        <v>46085</v>
      </c>
      <c r="B380" t="s">
        <v>10</v>
      </c>
      <c r="C380" t="s">
        <v>26</v>
      </c>
      <c r="D380" t="s">
        <v>71</v>
      </c>
      <c r="E380">
        <v>138877</v>
      </c>
      <c r="F380">
        <v>5782</v>
      </c>
      <c r="G380">
        <v>1068.6300000000001</v>
      </c>
      <c r="H380">
        <v>112628</v>
      </c>
      <c r="I380">
        <v>313</v>
      </c>
      <c r="J380" t="s">
        <v>72</v>
      </c>
    </row>
    <row r="381" spans="1:10" x14ac:dyDescent="0.2">
      <c r="A381" s="1">
        <v>46085</v>
      </c>
      <c r="B381" t="s">
        <v>10</v>
      </c>
      <c r="C381" t="s">
        <v>73</v>
      </c>
      <c r="D381" t="s">
        <v>74</v>
      </c>
      <c r="E381">
        <v>111735</v>
      </c>
      <c r="F381">
        <v>3524</v>
      </c>
      <c r="G381">
        <v>698.22</v>
      </c>
      <c r="H381">
        <v>91261</v>
      </c>
      <c r="I381">
        <v>168</v>
      </c>
      <c r="J381" t="s">
        <v>72</v>
      </c>
    </row>
    <row r="382" spans="1:10" x14ac:dyDescent="0.2">
      <c r="A382" s="1">
        <v>46085</v>
      </c>
      <c r="B382" t="s">
        <v>15</v>
      </c>
      <c r="C382" t="s">
        <v>16</v>
      </c>
      <c r="D382" t="s">
        <v>74</v>
      </c>
      <c r="E382">
        <v>138863</v>
      </c>
      <c r="F382">
        <v>4486</v>
      </c>
      <c r="G382">
        <v>918.27</v>
      </c>
      <c r="H382">
        <v>112151</v>
      </c>
      <c r="I382">
        <v>223</v>
      </c>
      <c r="J382" t="s">
        <v>72</v>
      </c>
    </row>
    <row r="383" spans="1:10" x14ac:dyDescent="0.2">
      <c r="A383" s="1">
        <v>46085</v>
      </c>
      <c r="B383" t="s">
        <v>15</v>
      </c>
      <c r="C383" t="s">
        <v>76</v>
      </c>
      <c r="D383" t="s">
        <v>75</v>
      </c>
      <c r="E383">
        <v>57618</v>
      </c>
      <c r="F383">
        <v>2126</v>
      </c>
      <c r="G383">
        <v>481.75</v>
      </c>
      <c r="H383">
        <v>43469</v>
      </c>
      <c r="I383">
        <v>68</v>
      </c>
      <c r="J383" t="s">
        <v>72</v>
      </c>
    </row>
    <row r="384" spans="1:10" x14ac:dyDescent="0.2">
      <c r="A384" s="1">
        <v>46086</v>
      </c>
      <c r="B384" t="s">
        <v>10</v>
      </c>
      <c r="C384" t="s">
        <v>26</v>
      </c>
      <c r="D384" t="s">
        <v>71</v>
      </c>
      <c r="E384">
        <v>74700</v>
      </c>
      <c r="F384">
        <v>3064</v>
      </c>
      <c r="G384">
        <v>624.67999999999995</v>
      </c>
      <c r="H384">
        <v>56085</v>
      </c>
      <c r="I384">
        <v>176</v>
      </c>
      <c r="J384" t="s">
        <v>72</v>
      </c>
    </row>
    <row r="385" spans="1:10" x14ac:dyDescent="0.2">
      <c r="A385" s="1">
        <v>46086</v>
      </c>
      <c r="B385" t="s">
        <v>10</v>
      </c>
      <c r="C385" t="s">
        <v>73</v>
      </c>
      <c r="D385" t="s">
        <v>71</v>
      </c>
      <c r="E385">
        <v>39267</v>
      </c>
      <c r="F385">
        <v>1152</v>
      </c>
      <c r="G385">
        <v>260.83999999999997</v>
      </c>
      <c r="H385">
        <v>29912</v>
      </c>
      <c r="I385">
        <v>46</v>
      </c>
      <c r="J385" t="s">
        <v>72</v>
      </c>
    </row>
    <row r="386" spans="1:10" x14ac:dyDescent="0.2">
      <c r="A386" s="1">
        <v>46086</v>
      </c>
      <c r="B386" t="s">
        <v>15</v>
      </c>
      <c r="C386" t="s">
        <v>16</v>
      </c>
      <c r="D386" t="s">
        <v>74</v>
      </c>
      <c r="E386">
        <v>112430</v>
      </c>
      <c r="F386">
        <v>3416</v>
      </c>
      <c r="G386">
        <v>691.67</v>
      </c>
      <c r="H386">
        <v>88865</v>
      </c>
      <c r="I386">
        <v>115</v>
      </c>
      <c r="J386" t="s">
        <v>72</v>
      </c>
    </row>
    <row r="387" spans="1:10" x14ac:dyDescent="0.2">
      <c r="A387" s="1">
        <v>46086</v>
      </c>
      <c r="B387" t="s">
        <v>15</v>
      </c>
      <c r="C387" t="s">
        <v>76</v>
      </c>
      <c r="D387" t="s">
        <v>75</v>
      </c>
      <c r="E387">
        <v>124641</v>
      </c>
      <c r="F387">
        <v>5145</v>
      </c>
      <c r="G387">
        <v>1065.22</v>
      </c>
      <c r="H387">
        <v>99891</v>
      </c>
      <c r="I387">
        <v>172</v>
      </c>
      <c r="J387" t="s">
        <v>72</v>
      </c>
    </row>
    <row r="388" spans="1:10" x14ac:dyDescent="0.2">
      <c r="A388" s="1">
        <v>46087</v>
      </c>
      <c r="B388" t="s">
        <v>10</v>
      </c>
      <c r="C388" t="s">
        <v>26</v>
      </c>
      <c r="D388" t="s">
        <v>74</v>
      </c>
      <c r="E388">
        <v>70135</v>
      </c>
      <c r="F388">
        <v>2758</v>
      </c>
      <c r="G388">
        <v>528.19000000000005</v>
      </c>
      <c r="H388">
        <v>57391</v>
      </c>
      <c r="I388">
        <v>149</v>
      </c>
      <c r="J388" t="s">
        <v>72</v>
      </c>
    </row>
    <row r="389" spans="1:10" x14ac:dyDescent="0.2">
      <c r="A389" s="1">
        <v>46087</v>
      </c>
      <c r="B389" t="s">
        <v>10</v>
      </c>
      <c r="C389" t="s">
        <v>73</v>
      </c>
      <c r="D389" t="s">
        <v>71</v>
      </c>
      <c r="E389">
        <v>57605</v>
      </c>
      <c r="F389">
        <v>2313</v>
      </c>
      <c r="G389">
        <v>439.39</v>
      </c>
      <c r="H389">
        <v>43164</v>
      </c>
      <c r="I389">
        <v>90</v>
      </c>
      <c r="J389" t="s">
        <v>72</v>
      </c>
    </row>
    <row r="390" spans="1:10" x14ac:dyDescent="0.2">
      <c r="A390" s="1">
        <v>46087</v>
      </c>
      <c r="B390" t="s">
        <v>15</v>
      </c>
      <c r="C390" t="s">
        <v>16</v>
      </c>
      <c r="D390" t="s">
        <v>74</v>
      </c>
      <c r="E390">
        <v>49949</v>
      </c>
      <c r="F390">
        <v>1637</v>
      </c>
      <c r="G390">
        <v>352.18</v>
      </c>
      <c r="H390">
        <v>38350</v>
      </c>
      <c r="I390">
        <v>78</v>
      </c>
      <c r="J390" t="s">
        <v>72</v>
      </c>
    </row>
    <row r="391" spans="1:10" x14ac:dyDescent="0.2">
      <c r="A391" s="1">
        <v>46087</v>
      </c>
      <c r="B391" t="s">
        <v>15</v>
      </c>
      <c r="C391" t="s">
        <v>76</v>
      </c>
      <c r="D391" t="s">
        <v>75</v>
      </c>
      <c r="E391">
        <v>40619</v>
      </c>
      <c r="F391">
        <v>1172</v>
      </c>
      <c r="G391">
        <v>263.83</v>
      </c>
      <c r="H391">
        <v>29275</v>
      </c>
      <c r="I391">
        <v>53</v>
      </c>
      <c r="J391" t="s">
        <v>72</v>
      </c>
    </row>
    <row r="392" spans="1:10" x14ac:dyDescent="0.2">
      <c r="A392" s="1">
        <v>46088</v>
      </c>
      <c r="B392" t="s">
        <v>10</v>
      </c>
      <c r="C392" t="s">
        <v>26</v>
      </c>
      <c r="D392" t="s">
        <v>74</v>
      </c>
      <c r="E392">
        <v>55500</v>
      </c>
      <c r="F392">
        <v>1718</v>
      </c>
      <c r="G392">
        <v>390.86</v>
      </c>
      <c r="H392">
        <v>42044</v>
      </c>
      <c r="I392">
        <v>74</v>
      </c>
      <c r="J392" t="s">
        <v>72</v>
      </c>
    </row>
    <row r="393" spans="1:10" x14ac:dyDescent="0.2">
      <c r="A393" s="1">
        <v>46088</v>
      </c>
      <c r="B393" t="s">
        <v>10</v>
      </c>
      <c r="C393" t="s">
        <v>73</v>
      </c>
      <c r="D393" t="s">
        <v>71</v>
      </c>
      <c r="E393">
        <v>121798</v>
      </c>
      <c r="F393">
        <v>4217</v>
      </c>
      <c r="G393">
        <v>844.34</v>
      </c>
      <c r="H393">
        <v>92925</v>
      </c>
      <c r="I393">
        <v>164</v>
      </c>
      <c r="J393" t="s">
        <v>72</v>
      </c>
    </row>
    <row r="394" spans="1:10" x14ac:dyDescent="0.2">
      <c r="A394" s="1">
        <v>46088</v>
      </c>
      <c r="B394" t="s">
        <v>15</v>
      </c>
      <c r="C394" t="s">
        <v>16</v>
      </c>
      <c r="D394" t="s">
        <v>74</v>
      </c>
      <c r="E394">
        <v>92712</v>
      </c>
      <c r="F394">
        <v>3656</v>
      </c>
      <c r="G394">
        <v>864.5</v>
      </c>
      <c r="H394">
        <v>72918</v>
      </c>
      <c r="I394">
        <v>143</v>
      </c>
      <c r="J394" t="s">
        <v>72</v>
      </c>
    </row>
    <row r="395" spans="1:10" x14ac:dyDescent="0.2">
      <c r="A395" s="1">
        <v>46088</v>
      </c>
      <c r="B395" t="s">
        <v>15</v>
      </c>
      <c r="C395" t="s">
        <v>76</v>
      </c>
      <c r="D395" t="s">
        <v>75</v>
      </c>
      <c r="E395">
        <v>99664</v>
      </c>
      <c r="F395">
        <v>4008</v>
      </c>
      <c r="G395">
        <v>915.33</v>
      </c>
      <c r="H395">
        <v>71788</v>
      </c>
      <c r="I395">
        <v>216</v>
      </c>
      <c r="J395" t="s">
        <v>72</v>
      </c>
    </row>
    <row r="396" spans="1:10" x14ac:dyDescent="0.2">
      <c r="A396" s="1">
        <v>46088</v>
      </c>
      <c r="B396" t="s">
        <v>19</v>
      </c>
      <c r="C396" t="s">
        <v>26</v>
      </c>
      <c r="D396" t="s">
        <v>74</v>
      </c>
      <c r="E396">
        <v>62661</v>
      </c>
      <c r="F396">
        <v>1777</v>
      </c>
      <c r="G396">
        <v>332.96</v>
      </c>
      <c r="H396">
        <v>48440</v>
      </c>
      <c r="I396">
        <v>100</v>
      </c>
      <c r="J396" t="s">
        <v>72</v>
      </c>
    </row>
    <row r="397" spans="1:10" x14ac:dyDescent="0.2">
      <c r="A397" s="1">
        <v>46088</v>
      </c>
      <c r="B397" t="s">
        <v>19</v>
      </c>
      <c r="C397" t="s">
        <v>73</v>
      </c>
      <c r="D397" t="s">
        <v>12</v>
      </c>
      <c r="E397">
        <v>101777</v>
      </c>
      <c r="F397">
        <v>3493</v>
      </c>
      <c r="G397">
        <v>772.55</v>
      </c>
      <c r="H397">
        <v>82132</v>
      </c>
      <c r="I397">
        <v>151</v>
      </c>
      <c r="J397" t="s">
        <v>72</v>
      </c>
    </row>
    <row r="398" spans="1:10" x14ac:dyDescent="0.2">
      <c r="A398" s="1">
        <v>46089</v>
      </c>
      <c r="B398" t="s">
        <v>10</v>
      </c>
      <c r="C398" t="s">
        <v>26</v>
      </c>
      <c r="D398" t="s">
        <v>71</v>
      </c>
      <c r="E398">
        <v>71022</v>
      </c>
      <c r="F398">
        <v>1991</v>
      </c>
      <c r="G398">
        <v>434.6</v>
      </c>
      <c r="H398">
        <v>57825</v>
      </c>
      <c r="I398">
        <v>74</v>
      </c>
      <c r="J398" t="s">
        <v>72</v>
      </c>
    </row>
    <row r="399" spans="1:10" x14ac:dyDescent="0.2">
      <c r="A399" s="1">
        <v>46089</v>
      </c>
      <c r="B399" t="s">
        <v>10</v>
      </c>
      <c r="C399" t="s">
        <v>73</v>
      </c>
      <c r="D399" t="s">
        <v>71</v>
      </c>
      <c r="E399">
        <v>46796</v>
      </c>
      <c r="F399">
        <v>1945</v>
      </c>
      <c r="G399">
        <v>435.97</v>
      </c>
      <c r="H399">
        <v>36865</v>
      </c>
      <c r="I399">
        <v>68</v>
      </c>
      <c r="J399" t="s">
        <v>72</v>
      </c>
    </row>
    <row r="400" spans="1:10" x14ac:dyDescent="0.2">
      <c r="A400" s="1">
        <v>46089</v>
      </c>
      <c r="B400" t="s">
        <v>15</v>
      </c>
      <c r="C400" t="s">
        <v>16</v>
      </c>
      <c r="D400" t="s">
        <v>74</v>
      </c>
      <c r="E400">
        <v>107185</v>
      </c>
      <c r="F400">
        <v>4110</v>
      </c>
      <c r="G400">
        <v>935.59</v>
      </c>
      <c r="H400">
        <v>80906</v>
      </c>
      <c r="I400">
        <v>230</v>
      </c>
      <c r="J400" t="s">
        <v>72</v>
      </c>
    </row>
    <row r="401" spans="1:10" x14ac:dyDescent="0.2">
      <c r="A401" s="1">
        <v>46089</v>
      </c>
      <c r="B401" t="s">
        <v>15</v>
      </c>
      <c r="C401" t="s">
        <v>76</v>
      </c>
      <c r="D401" t="s">
        <v>74</v>
      </c>
      <c r="E401">
        <v>56115</v>
      </c>
      <c r="F401">
        <v>2148</v>
      </c>
      <c r="G401">
        <v>424.51</v>
      </c>
      <c r="H401">
        <v>41497</v>
      </c>
      <c r="I401">
        <v>69</v>
      </c>
      <c r="J401" t="s">
        <v>72</v>
      </c>
    </row>
    <row r="402" spans="1:10" x14ac:dyDescent="0.2">
      <c r="A402" s="1">
        <v>46089</v>
      </c>
      <c r="B402" t="s">
        <v>19</v>
      </c>
      <c r="C402" t="s">
        <v>26</v>
      </c>
      <c r="D402" t="s">
        <v>12</v>
      </c>
      <c r="E402">
        <v>60786</v>
      </c>
      <c r="F402">
        <v>2125</v>
      </c>
      <c r="G402">
        <v>393.6</v>
      </c>
      <c r="H402">
        <v>48825</v>
      </c>
      <c r="I402">
        <v>123</v>
      </c>
      <c r="J402" t="s">
        <v>72</v>
      </c>
    </row>
    <row r="403" spans="1:10" x14ac:dyDescent="0.2">
      <c r="A403" s="1">
        <v>46089</v>
      </c>
      <c r="B403" t="s">
        <v>19</v>
      </c>
      <c r="C403" t="s">
        <v>73</v>
      </c>
      <c r="D403" t="s">
        <v>74</v>
      </c>
      <c r="E403">
        <v>67635</v>
      </c>
      <c r="F403">
        <v>2742</v>
      </c>
      <c r="G403">
        <v>650.69000000000005</v>
      </c>
      <c r="H403">
        <v>51958</v>
      </c>
      <c r="I403">
        <v>121</v>
      </c>
      <c r="J403" t="s">
        <v>72</v>
      </c>
    </row>
    <row r="404" spans="1:10" x14ac:dyDescent="0.2">
      <c r="A404" s="1">
        <v>46090</v>
      </c>
      <c r="B404" t="s">
        <v>10</v>
      </c>
      <c r="C404" t="s">
        <v>26</v>
      </c>
      <c r="D404" t="s">
        <v>74</v>
      </c>
      <c r="E404">
        <v>75062</v>
      </c>
      <c r="F404">
        <v>2280</v>
      </c>
      <c r="G404">
        <v>539.57000000000005</v>
      </c>
      <c r="H404">
        <v>59298</v>
      </c>
      <c r="I404">
        <v>71</v>
      </c>
      <c r="J404" t="s">
        <v>72</v>
      </c>
    </row>
    <row r="405" spans="1:10" x14ac:dyDescent="0.2">
      <c r="A405" s="1">
        <v>46090</v>
      </c>
      <c r="B405" t="s">
        <v>10</v>
      </c>
      <c r="C405" t="s">
        <v>73</v>
      </c>
      <c r="D405" t="s">
        <v>74</v>
      </c>
      <c r="E405">
        <v>66302</v>
      </c>
      <c r="F405">
        <v>2718</v>
      </c>
      <c r="G405">
        <v>542.49</v>
      </c>
      <c r="H405">
        <v>50280</v>
      </c>
      <c r="I405">
        <v>98</v>
      </c>
      <c r="J405" t="s">
        <v>72</v>
      </c>
    </row>
    <row r="406" spans="1:10" x14ac:dyDescent="0.2">
      <c r="A406" s="1">
        <v>46090</v>
      </c>
      <c r="B406" t="s">
        <v>15</v>
      </c>
      <c r="C406" t="s">
        <v>16</v>
      </c>
      <c r="D406" t="s">
        <v>74</v>
      </c>
      <c r="E406">
        <v>120157</v>
      </c>
      <c r="F406">
        <v>4965</v>
      </c>
      <c r="G406">
        <v>1093.47</v>
      </c>
      <c r="H406">
        <v>94509</v>
      </c>
      <c r="I406">
        <v>276</v>
      </c>
      <c r="J406" t="s">
        <v>72</v>
      </c>
    </row>
    <row r="407" spans="1:10" x14ac:dyDescent="0.2">
      <c r="A407" s="1">
        <v>46090</v>
      </c>
      <c r="B407" t="s">
        <v>15</v>
      </c>
      <c r="C407" t="s">
        <v>76</v>
      </c>
      <c r="D407" t="s">
        <v>74</v>
      </c>
      <c r="E407">
        <v>54410</v>
      </c>
      <c r="F407">
        <v>2129</v>
      </c>
      <c r="G407">
        <v>425.73</v>
      </c>
      <c r="H407">
        <v>40392</v>
      </c>
      <c r="I407">
        <v>96</v>
      </c>
      <c r="J407" t="s">
        <v>72</v>
      </c>
    </row>
    <row r="408" spans="1:10" x14ac:dyDescent="0.2">
      <c r="A408" s="1">
        <v>46091</v>
      </c>
      <c r="B408" t="s">
        <v>10</v>
      </c>
      <c r="C408" t="s">
        <v>26</v>
      </c>
      <c r="D408" t="s">
        <v>71</v>
      </c>
      <c r="E408">
        <v>50018</v>
      </c>
      <c r="F408">
        <v>1851</v>
      </c>
      <c r="G408">
        <v>375.05</v>
      </c>
      <c r="H408">
        <v>39601</v>
      </c>
      <c r="I408">
        <v>92</v>
      </c>
      <c r="J408" t="s">
        <v>72</v>
      </c>
    </row>
    <row r="409" spans="1:10" x14ac:dyDescent="0.2">
      <c r="A409" s="1">
        <v>46091</v>
      </c>
      <c r="B409" t="s">
        <v>10</v>
      </c>
      <c r="C409" t="s">
        <v>73</v>
      </c>
      <c r="D409" t="s">
        <v>71</v>
      </c>
      <c r="E409">
        <v>134743</v>
      </c>
      <c r="F409">
        <v>5595</v>
      </c>
      <c r="G409">
        <v>1153.79</v>
      </c>
      <c r="H409">
        <v>100159</v>
      </c>
      <c r="I409">
        <v>200</v>
      </c>
      <c r="J409" t="s">
        <v>72</v>
      </c>
    </row>
    <row r="410" spans="1:10" x14ac:dyDescent="0.2">
      <c r="A410" s="1">
        <v>46091</v>
      </c>
      <c r="B410" t="s">
        <v>15</v>
      </c>
      <c r="C410" t="s">
        <v>16</v>
      </c>
      <c r="D410" t="s">
        <v>74</v>
      </c>
      <c r="E410">
        <v>53939</v>
      </c>
      <c r="F410">
        <v>1594</v>
      </c>
      <c r="G410">
        <v>319.45999999999998</v>
      </c>
      <c r="H410">
        <v>42030</v>
      </c>
      <c r="I410">
        <v>53</v>
      </c>
      <c r="J410" t="s">
        <v>72</v>
      </c>
    </row>
    <row r="411" spans="1:10" x14ac:dyDescent="0.2">
      <c r="A411" s="1">
        <v>46091</v>
      </c>
      <c r="B411" t="s">
        <v>15</v>
      </c>
      <c r="C411" t="s">
        <v>76</v>
      </c>
      <c r="D411" t="s">
        <v>75</v>
      </c>
      <c r="E411">
        <v>136607</v>
      </c>
      <c r="F411">
        <v>4528</v>
      </c>
      <c r="G411">
        <v>1046.8699999999999</v>
      </c>
      <c r="H411">
        <v>111390</v>
      </c>
      <c r="I411">
        <v>205</v>
      </c>
      <c r="J411" t="s">
        <v>72</v>
      </c>
    </row>
    <row r="412" spans="1:10" x14ac:dyDescent="0.2">
      <c r="A412" s="1">
        <v>46092</v>
      </c>
      <c r="B412" t="s">
        <v>10</v>
      </c>
      <c r="C412" t="s">
        <v>26</v>
      </c>
      <c r="D412" t="s">
        <v>74</v>
      </c>
      <c r="E412">
        <v>91958</v>
      </c>
      <c r="F412">
        <v>2654</v>
      </c>
      <c r="G412">
        <v>563.01</v>
      </c>
      <c r="H412">
        <v>73999</v>
      </c>
      <c r="I412">
        <v>152</v>
      </c>
      <c r="J412" t="s">
        <v>72</v>
      </c>
    </row>
    <row r="413" spans="1:10" x14ac:dyDescent="0.2">
      <c r="A413" s="1">
        <v>46092</v>
      </c>
      <c r="B413" t="s">
        <v>10</v>
      </c>
      <c r="C413" t="s">
        <v>73</v>
      </c>
      <c r="D413" t="s">
        <v>71</v>
      </c>
      <c r="E413">
        <v>101197</v>
      </c>
      <c r="F413">
        <v>3963</v>
      </c>
      <c r="G413">
        <v>935.41</v>
      </c>
      <c r="H413">
        <v>74140</v>
      </c>
      <c r="I413">
        <v>189</v>
      </c>
      <c r="J413" t="s">
        <v>72</v>
      </c>
    </row>
    <row r="414" spans="1:10" x14ac:dyDescent="0.2">
      <c r="A414" s="1">
        <v>46092</v>
      </c>
      <c r="B414" t="s">
        <v>15</v>
      </c>
      <c r="C414" t="s">
        <v>16</v>
      </c>
      <c r="D414" t="s">
        <v>75</v>
      </c>
      <c r="E414">
        <v>57161</v>
      </c>
      <c r="F414">
        <v>1916</v>
      </c>
      <c r="G414">
        <v>406.76</v>
      </c>
      <c r="H414">
        <v>43788</v>
      </c>
      <c r="I414">
        <v>61</v>
      </c>
      <c r="J414" t="s">
        <v>72</v>
      </c>
    </row>
    <row r="415" spans="1:10" x14ac:dyDescent="0.2">
      <c r="A415" s="1">
        <v>46092</v>
      </c>
      <c r="B415" t="s">
        <v>15</v>
      </c>
      <c r="C415" t="s">
        <v>76</v>
      </c>
      <c r="D415" t="s">
        <v>74</v>
      </c>
      <c r="E415">
        <v>76299</v>
      </c>
      <c r="F415">
        <v>2670</v>
      </c>
      <c r="G415">
        <v>553.62</v>
      </c>
      <c r="H415">
        <v>59524</v>
      </c>
      <c r="I415">
        <v>86</v>
      </c>
      <c r="J415" t="s">
        <v>72</v>
      </c>
    </row>
    <row r="416" spans="1:10" x14ac:dyDescent="0.2">
      <c r="A416" s="1">
        <v>46093</v>
      </c>
      <c r="B416" t="s">
        <v>10</v>
      </c>
      <c r="C416" t="s">
        <v>26</v>
      </c>
      <c r="D416" t="s">
        <v>71</v>
      </c>
      <c r="E416">
        <v>44851</v>
      </c>
      <c r="F416">
        <v>1631</v>
      </c>
      <c r="G416">
        <v>323.81</v>
      </c>
      <c r="H416">
        <v>36734</v>
      </c>
      <c r="I416">
        <v>51</v>
      </c>
      <c r="J416" t="s">
        <v>72</v>
      </c>
    </row>
    <row r="417" spans="1:10" x14ac:dyDescent="0.2">
      <c r="A417" s="1">
        <v>46093</v>
      </c>
      <c r="B417" t="s">
        <v>10</v>
      </c>
      <c r="C417" t="s">
        <v>73</v>
      </c>
      <c r="D417" t="s">
        <v>71</v>
      </c>
      <c r="E417">
        <v>75753</v>
      </c>
      <c r="F417">
        <v>2646</v>
      </c>
      <c r="G417">
        <v>588.07000000000005</v>
      </c>
      <c r="H417">
        <v>57395</v>
      </c>
      <c r="I417">
        <v>151</v>
      </c>
      <c r="J417" t="s">
        <v>72</v>
      </c>
    </row>
    <row r="418" spans="1:10" x14ac:dyDescent="0.2">
      <c r="A418" s="1">
        <v>46093</v>
      </c>
      <c r="B418" t="s">
        <v>15</v>
      </c>
      <c r="C418" t="s">
        <v>16</v>
      </c>
      <c r="D418" t="s">
        <v>74</v>
      </c>
      <c r="E418">
        <v>65018</v>
      </c>
      <c r="F418">
        <v>2574</v>
      </c>
      <c r="G418">
        <v>495.85</v>
      </c>
      <c r="H418">
        <v>51576</v>
      </c>
      <c r="I418">
        <v>134</v>
      </c>
      <c r="J418" t="s">
        <v>72</v>
      </c>
    </row>
    <row r="419" spans="1:10" x14ac:dyDescent="0.2">
      <c r="A419" s="1">
        <v>46093</v>
      </c>
      <c r="B419" t="s">
        <v>15</v>
      </c>
      <c r="C419" t="s">
        <v>76</v>
      </c>
      <c r="D419" t="s">
        <v>75</v>
      </c>
      <c r="E419">
        <v>69503</v>
      </c>
      <c r="F419">
        <v>2779</v>
      </c>
      <c r="G419">
        <v>621.51</v>
      </c>
      <c r="H419">
        <v>52121</v>
      </c>
      <c r="I419">
        <v>145</v>
      </c>
      <c r="J419" t="s">
        <v>72</v>
      </c>
    </row>
    <row r="420" spans="1:10" x14ac:dyDescent="0.2">
      <c r="A420" s="1">
        <v>46094</v>
      </c>
      <c r="B420" t="s">
        <v>10</v>
      </c>
      <c r="C420" t="s">
        <v>26</v>
      </c>
      <c r="D420" t="s">
        <v>74</v>
      </c>
      <c r="E420">
        <v>42673</v>
      </c>
      <c r="F420">
        <v>1522</v>
      </c>
      <c r="G420">
        <v>304.77</v>
      </c>
      <c r="H420">
        <v>33617</v>
      </c>
      <c r="I420">
        <v>87</v>
      </c>
      <c r="J420" t="s">
        <v>72</v>
      </c>
    </row>
    <row r="421" spans="1:10" x14ac:dyDescent="0.2">
      <c r="A421" s="1">
        <v>46094</v>
      </c>
      <c r="B421" t="s">
        <v>10</v>
      </c>
      <c r="C421" t="s">
        <v>73</v>
      </c>
      <c r="D421" t="s">
        <v>71</v>
      </c>
      <c r="E421">
        <v>105634</v>
      </c>
      <c r="F421">
        <v>3063</v>
      </c>
      <c r="G421">
        <v>684.9</v>
      </c>
      <c r="H421">
        <v>79039</v>
      </c>
      <c r="I421">
        <v>170</v>
      </c>
      <c r="J421" t="s">
        <v>72</v>
      </c>
    </row>
    <row r="422" spans="1:10" x14ac:dyDescent="0.2">
      <c r="A422" s="1">
        <v>46094</v>
      </c>
      <c r="B422" t="s">
        <v>15</v>
      </c>
      <c r="C422" t="s">
        <v>16</v>
      </c>
      <c r="D422" t="s">
        <v>74</v>
      </c>
      <c r="E422">
        <v>55581</v>
      </c>
      <c r="F422">
        <v>1658</v>
      </c>
      <c r="G422">
        <v>373.28</v>
      </c>
      <c r="H422">
        <v>43244</v>
      </c>
      <c r="I422">
        <v>86</v>
      </c>
      <c r="J422" t="s">
        <v>72</v>
      </c>
    </row>
    <row r="423" spans="1:10" x14ac:dyDescent="0.2">
      <c r="A423" s="1">
        <v>46094</v>
      </c>
      <c r="B423" t="s">
        <v>15</v>
      </c>
      <c r="C423" t="s">
        <v>76</v>
      </c>
      <c r="D423" t="s">
        <v>74</v>
      </c>
      <c r="E423">
        <v>116959</v>
      </c>
      <c r="F423">
        <v>4346</v>
      </c>
      <c r="G423">
        <v>932.78</v>
      </c>
      <c r="H423">
        <v>89378</v>
      </c>
      <c r="I423">
        <v>184</v>
      </c>
      <c r="J423" t="s">
        <v>72</v>
      </c>
    </row>
    <row r="424" spans="1:10" x14ac:dyDescent="0.2">
      <c r="A424" s="1">
        <v>46095</v>
      </c>
      <c r="B424" t="s">
        <v>10</v>
      </c>
      <c r="C424" t="s">
        <v>26</v>
      </c>
      <c r="D424" t="s">
        <v>74</v>
      </c>
      <c r="E424">
        <v>74742</v>
      </c>
      <c r="F424">
        <v>2321</v>
      </c>
      <c r="G424">
        <v>522</v>
      </c>
      <c r="H424">
        <v>59310</v>
      </c>
      <c r="I424">
        <v>65</v>
      </c>
      <c r="J424" t="s">
        <v>72</v>
      </c>
    </row>
    <row r="425" spans="1:10" x14ac:dyDescent="0.2">
      <c r="A425" s="1">
        <v>46095</v>
      </c>
      <c r="B425" t="s">
        <v>10</v>
      </c>
      <c r="C425" t="s">
        <v>73</v>
      </c>
      <c r="D425" t="s">
        <v>74</v>
      </c>
      <c r="E425">
        <v>64149</v>
      </c>
      <c r="F425">
        <v>2134</v>
      </c>
      <c r="G425">
        <v>509.94</v>
      </c>
      <c r="H425">
        <v>50545</v>
      </c>
      <c r="I425">
        <v>70</v>
      </c>
      <c r="J425" t="s">
        <v>72</v>
      </c>
    </row>
    <row r="426" spans="1:10" x14ac:dyDescent="0.2">
      <c r="A426" s="1">
        <v>46095</v>
      </c>
      <c r="B426" t="s">
        <v>15</v>
      </c>
      <c r="C426" t="s">
        <v>16</v>
      </c>
      <c r="D426" t="s">
        <v>75</v>
      </c>
      <c r="E426">
        <v>55365</v>
      </c>
      <c r="F426">
        <v>1825</v>
      </c>
      <c r="G426">
        <v>380.39</v>
      </c>
      <c r="H426">
        <v>45095</v>
      </c>
      <c r="I426">
        <v>57</v>
      </c>
      <c r="J426" t="s">
        <v>72</v>
      </c>
    </row>
    <row r="427" spans="1:10" x14ac:dyDescent="0.2">
      <c r="A427" s="1">
        <v>46095</v>
      </c>
      <c r="B427" t="s">
        <v>15</v>
      </c>
      <c r="C427" t="s">
        <v>76</v>
      </c>
      <c r="D427" t="s">
        <v>74</v>
      </c>
      <c r="E427">
        <v>140110</v>
      </c>
      <c r="F427">
        <v>4774</v>
      </c>
      <c r="G427">
        <v>901.88</v>
      </c>
      <c r="H427">
        <v>111002</v>
      </c>
      <c r="I427">
        <v>168</v>
      </c>
      <c r="J427" t="s">
        <v>72</v>
      </c>
    </row>
    <row r="428" spans="1:10" x14ac:dyDescent="0.2">
      <c r="A428" s="1">
        <v>46095</v>
      </c>
      <c r="B428" t="s">
        <v>19</v>
      </c>
      <c r="C428" t="s">
        <v>26</v>
      </c>
      <c r="D428" t="s">
        <v>12</v>
      </c>
      <c r="E428">
        <v>80039</v>
      </c>
      <c r="F428">
        <v>2685</v>
      </c>
      <c r="G428">
        <v>532.05999999999995</v>
      </c>
      <c r="H428">
        <v>62399</v>
      </c>
      <c r="I428">
        <v>89</v>
      </c>
      <c r="J428" t="s">
        <v>72</v>
      </c>
    </row>
    <row r="429" spans="1:10" x14ac:dyDescent="0.2">
      <c r="A429" s="1">
        <v>46095</v>
      </c>
      <c r="B429" t="s">
        <v>19</v>
      </c>
      <c r="C429" t="s">
        <v>73</v>
      </c>
      <c r="D429" t="s">
        <v>74</v>
      </c>
      <c r="E429">
        <v>54268</v>
      </c>
      <c r="F429">
        <v>2110</v>
      </c>
      <c r="G429">
        <v>489.3</v>
      </c>
      <c r="H429">
        <v>42602</v>
      </c>
      <c r="I429">
        <v>76</v>
      </c>
      <c r="J429" t="s">
        <v>72</v>
      </c>
    </row>
    <row r="430" spans="1:10" x14ac:dyDescent="0.2">
      <c r="A430" s="1">
        <v>46096</v>
      </c>
      <c r="B430" t="s">
        <v>10</v>
      </c>
      <c r="C430" t="s">
        <v>26</v>
      </c>
      <c r="D430" t="s">
        <v>71</v>
      </c>
      <c r="E430">
        <v>114844</v>
      </c>
      <c r="F430">
        <v>3806</v>
      </c>
      <c r="G430">
        <v>712.48</v>
      </c>
      <c r="H430">
        <v>83636</v>
      </c>
      <c r="I430">
        <v>162</v>
      </c>
      <c r="J430" t="s">
        <v>72</v>
      </c>
    </row>
    <row r="431" spans="1:10" x14ac:dyDescent="0.2">
      <c r="A431" s="1">
        <v>46096</v>
      </c>
      <c r="B431" t="s">
        <v>10</v>
      </c>
      <c r="C431" t="s">
        <v>73</v>
      </c>
      <c r="D431" t="s">
        <v>74</v>
      </c>
      <c r="E431">
        <v>42923</v>
      </c>
      <c r="F431">
        <v>1554</v>
      </c>
      <c r="G431">
        <v>371.78</v>
      </c>
      <c r="H431">
        <v>32962</v>
      </c>
      <c r="I431">
        <v>75</v>
      </c>
      <c r="J431" t="s">
        <v>72</v>
      </c>
    </row>
    <row r="432" spans="1:10" x14ac:dyDescent="0.2">
      <c r="A432" s="1">
        <v>46096</v>
      </c>
      <c r="B432" t="s">
        <v>15</v>
      </c>
      <c r="C432" t="s">
        <v>16</v>
      </c>
      <c r="D432" t="s">
        <v>75</v>
      </c>
      <c r="E432">
        <v>140021</v>
      </c>
      <c r="F432">
        <v>4275</v>
      </c>
      <c r="G432">
        <v>893.7</v>
      </c>
      <c r="H432">
        <v>109840</v>
      </c>
      <c r="I432">
        <v>175</v>
      </c>
      <c r="J432" t="s">
        <v>72</v>
      </c>
    </row>
    <row r="433" spans="1:10" x14ac:dyDescent="0.2">
      <c r="A433" s="1">
        <v>46096</v>
      </c>
      <c r="B433" t="s">
        <v>15</v>
      </c>
      <c r="C433" t="s">
        <v>76</v>
      </c>
      <c r="D433" t="s">
        <v>75</v>
      </c>
      <c r="E433">
        <v>55942</v>
      </c>
      <c r="F433">
        <v>1821</v>
      </c>
      <c r="G433">
        <v>405.77</v>
      </c>
      <c r="H433">
        <v>45101</v>
      </c>
      <c r="I433">
        <v>80</v>
      </c>
      <c r="J433" t="s">
        <v>72</v>
      </c>
    </row>
    <row r="434" spans="1:10" x14ac:dyDescent="0.2">
      <c r="A434" s="1">
        <v>46096</v>
      </c>
      <c r="B434" t="s">
        <v>19</v>
      </c>
      <c r="C434" t="s">
        <v>26</v>
      </c>
      <c r="D434" t="s">
        <v>74</v>
      </c>
      <c r="E434">
        <v>42364</v>
      </c>
      <c r="F434">
        <v>1419</v>
      </c>
      <c r="G434">
        <v>325.02</v>
      </c>
      <c r="H434">
        <v>33821</v>
      </c>
      <c r="I434">
        <v>62</v>
      </c>
      <c r="J434" t="s">
        <v>72</v>
      </c>
    </row>
    <row r="435" spans="1:10" x14ac:dyDescent="0.2">
      <c r="A435" s="1">
        <v>46096</v>
      </c>
      <c r="B435" t="s">
        <v>19</v>
      </c>
      <c r="C435" t="s">
        <v>73</v>
      </c>
      <c r="D435" t="s">
        <v>12</v>
      </c>
      <c r="E435">
        <v>127416</v>
      </c>
      <c r="F435">
        <v>5060</v>
      </c>
      <c r="G435">
        <v>1074.43</v>
      </c>
      <c r="H435">
        <v>102172</v>
      </c>
      <c r="I435">
        <v>240</v>
      </c>
      <c r="J435" t="s">
        <v>72</v>
      </c>
    </row>
    <row r="436" spans="1:10" x14ac:dyDescent="0.2">
      <c r="A436" s="1">
        <v>46096</v>
      </c>
      <c r="B436" t="s">
        <v>21</v>
      </c>
      <c r="C436" t="s">
        <v>26</v>
      </c>
      <c r="D436" t="s">
        <v>12</v>
      </c>
      <c r="E436">
        <v>58991</v>
      </c>
      <c r="F436">
        <v>1800</v>
      </c>
      <c r="G436">
        <v>388.7</v>
      </c>
      <c r="H436">
        <v>43534</v>
      </c>
      <c r="I436">
        <v>80</v>
      </c>
      <c r="J436" t="s">
        <v>72</v>
      </c>
    </row>
    <row r="437" spans="1:10" x14ac:dyDescent="0.2">
      <c r="A437" s="1">
        <v>46096</v>
      </c>
      <c r="B437" t="s">
        <v>21</v>
      </c>
      <c r="C437" t="s">
        <v>78</v>
      </c>
      <c r="D437" t="s">
        <v>71</v>
      </c>
      <c r="E437">
        <v>59965</v>
      </c>
      <c r="F437">
        <v>1711</v>
      </c>
      <c r="G437">
        <v>367.02</v>
      </c>
      <c r="H437">
        <v>47088</v>
      </c>
      <c r="I437">
        <v>52</v>
      </c>
      <c r="J437" t="s">
        <v>72</v>
      </c>
    </row>
    <row r="438" spans="1:10" x14ac:dyDescent="0.2">
      <c r="A438" s="1">
        <v>46097</v>
      </c>
      <c r="B438" t="s">
        <v>10</v>
      </c>
      <c r="C438" t="s">
        <v>26</v>
      </c>
      <c r="D438" t="s">
        <v>12</v>
      </c>
      <c r="E438">
        <v>44964</v>
      </c>
      <c r="F438">
        <v>1312</v>
      </c>
      <c r="G438">
        <v>245.98</v>
      </c>
      <c r="H438">
        <v>33716</v>
      </c>
      <c r="I438">
        <v>74</v>
      </c>
      <c r="J438" t="s">
        <v>72</v>
      </c>
    </row>
    <row r="439" spans="1:10" x14ac:dyDescent="0.2">
      <c r="A439" s="1">
        <v>46097</v>
      </c>
      <c r="B439" t="s">
        <v>10</v>
      </c>
      <c r="C439" t="s">
        <v>73</v>
      </c>
      <c r="D439" t="s">
        <v>74</v>
      </c>
      <c r="E439">
        <v>111085</v>
      </c>
      <c r="F439">
        <v>4629</v>
      </c>
      <c r="G439">
        <v>1016.02</v>
      </c>
      <c r="H439">
        <v>82739</v>
      </c>
      <c r="I439">
        <v>136</v>
      </c>
      <c r="J439" t="s">
        <v>72</v>
      </c>
    </row>
    <row r="440" spans="1:10" x14ac:dyDescent="0.2">
      <c r="A440" s="1">
        <v>46097</v>
      </c>
      <c r="B440" t="s">
        <v>15</v>
      </c>
      <c r="C440" t="s">
        <v>16</v>
      </c>
      <c r="D440" t="s">
        <v>74</v>
      </c>
      <c r="E440">
        <v>130006</v>
      </c>
      <c r="F440">
        <v>4449</v>
      </c>
      <c r="G440">
        <v>954.86</v>
      </c>
      <c r="H440">
        <v>102641</v>
      </c>
      <c r="I440">
        <v>194</v>
      </c>
      <c r="J440" t="s">
        <v>72</v>
      </c>
    </row>
    <row r="441" spans="1:10" x14ac:dyDescent="0.2">
      <c r="A441" s="1">
        <v>46097</v>
      </c>
      <c r="B441" t="s">
        <v>15</v>
      </c>
      <c r="C441" t="s">
        <v>76</v>
      </c>
      <c r="D441" t="s">
        <v>74</v>
      </c>
      <c r="E441">
        <v>142287</v>
      </c>
      <c r="F441">
        <v>5056</v>
      </c>
      <c r="G441">
        <v>973.74</v>
      </c>
      <c r="H441">
        <v>103855</v>
      </c>
      <c r="I441">
        <v>265</v>
      </c>
      <c r="J441" t="s">
        <v>72</v>
      </c>
    </row>
    <row r="442" spans="1:10" x14ac:dyDescent="0.2">
      <c r="A442" s="1">
        <v>46097</v>
      </c>
      <c r="B442" t="s">
        <v>21</v>
      </c>
      <c r="C442" t="s">
        <v>26</v>
      </c>
      <c r="D442" t="s">
        <v>12</v>
      </c>
      <c r="E442">
        <v>45258</v>
      </c>
      <c r="F442">
        <v>1386</v>
      </c>
      <c r="G442">
        <v>274.39999999999998</v>
      </c>
      <c r="H442">
        <v>36354</v>
      </c>
      <c r="I442">
        <v>78</v>
      </c>
      <c r="J442" t="s">
        <v>72</v>
      </c>
    </row>
    <row r="443" spans="1:10" x14ac:dyDescent="0.2">
      <c r="A443" s="1">
        <v>46097</v>
      </c>
      <c r="B443" t="s">
        <v>21</v>
      </c>
      <c r="C443" t="s">
        <v>78</v>
      </c>
      <c r="D443" t="s">
        <v>71</v>
      </c>
      <c r="E443">
        <v>139835</v>
      </c>
      <c r="F443">
        <v>4618</v>
      </c>
      <c r="G443">
        <v>866.84</v>
      </c>
      <c r="H443">
        <v>109383</v>
      </c>
      <c r="I443">
        <v>139</v>
      </c>
      <c r="J443" t="s">
        <v>72</v>
      </c>
    </row>
    <row r="444" spans="1:10" x14ac:dyDescent="0.2">
      <c r="A444" s="1">
        <v>46098</v>
      </c>
      <c r="B444" t="s">
        <v>10</v>
      </c>
      <c r="C444" t="s">
        <v>26</v>
      </c>
      <c r="D444" t="s">
        <v>12</v>
      </c>
      <c r="E444">
        <v>83417</v>
      </c>
      <c r="F444">
        <v>2781</v>
      </c>
      <c r="G444">
        <v>651.36</v>
      </c>
      <c r="H444">
        <v>63397</v>
      </c>
      <c r="I444">
        <v>84</v>
      </c>
      <c r="J444" t="s">
        <v>72</v>
      </c>
    </row>
    <row r="445" spans="1:10" x14ac:dyDescent="0.2">
      <c r="A445" s="1">
        <v>46098</v>
      </c>
      <c r="B445" t="s">
        <v>10</v>
      </c>
      <c r="C445" t="s">
        <v>73</v>
      </c>
      <c r="D445" t="s">
        <v>71</v>
      </c>
      <c r="E445">
        <v>111475</v>
      </c>
      <c r="F445">
        <v>4588</v>
      </c>
      <c r="G445">
        <v>865.27</v>
      </c>
      <c r="H445">
        <v>82533</v>
      </c>
      <c r="I445">
        <v>215</v>
      </c>
      <c r="J445" t="s">
        <v>72</v>
      </c>
    </row>
    <row r="446" spans="1:10" x14ac:dyDescent="0.2">
      <c r="A446" s="1">
        <v>46098</v>
      </c>
      <c r="B446" t="s">
        <v>15</v>
      </c>
      <c r="C446" t="s">
        <v>16</v>
      </c>
      <c r="D446" t="s">
        <v>74</v>
      </c>
      <c r="E446">
        <v>71822</v>
      </c>
      <c r="F446">
        <v>2729</v>
      </c>
      <c r="G446">
        <v>583.51</v>
      </c>
      <c r="H446">
        <v>56364</v>
      </c>
      <c r="I446">
        <v>118</v>
      </c>
      <c r="J446" t="s">
        <v>72</v>
      </c>
    </row>
    <row r="447" spans="1:10" x14ac:dyDescent="0.2">
      <c r="A447" s="1">
        <v>46098</v>
      </c>
      <c r="B447" t="s">
        <v>15</v>
      </c>
      <c r="C447" t="s">
        <v>76</v>
      </c>
      <c r="D447" t="s">
        <v>75</v>
      </c>
      <c r="E447">
        <v>110511</v>
      </c>
      <c r="F447">
        <v>4365</v>
      </c>
      <c r="G447">
        <v>868.55</v>
      </c>
      <c r="H447">
        <v>88273</v>
      </c>
      <c r="I447">
        <v>171</v>
      </c>
      <c r="J447" t="s">
        <v>72</v>
      </c>
    </row>
    <row r="448" spans="1:10" x14ac:dyDescent="0.2">
      <c r="A448" s="1">
        <v>46098</v>
      </c>
      <c r="B448" t="s">
        <v>21</v>
      </c>
      <c r="C448" t="s">
        <v>26</v>
      </c>
      <c r="D448" t="s">
        <v>12</v>
      </c>
      <c r="E448">
        <v>52209</v>
      </c>
      <c r="F448">
        <v>1659</v>
      </c>
      <c r="G448">
        <v>351.52</v>
      </c>
      <c r="H448">
        <v>41161</v>
      </c>
      <c r="I448">
        <v>66</v>
      </c>
      <c r="J448" t="s">
        <v>72</v>
      </c>
    </row>
    <row r="449" spans="1:10" x14ac:dyDescent="0.2">
      <c r="A449" s="1">
        <v>46098</v>
      </c>
      <c r="B449" t="s">
        <v>21</v>
      </c>
      <c r="C449" t="s">
        <v>78</v>
      </c>
      <c r="D449" t="s">
        <v>71</v>
      </c>
      <c r="E449">
        <v>54160</v>
      </c>
      <c r="F449">
        <v>1791</v>
      </c>
      <c r="G449">
        <v>358.22</v>
      </c>
      <c r="H449">
        <v>40475</v>
      </c>
      <c r="I449">
        <v>96</v>
      </c>
      <c r="J449" t="s">
        <v>72</v>
      </c>
    </row>
    <row r="450" spans="1:10" x14ac:dyDescent="0.2">
      <c r="A450" s="1">
        <v>46099</v>
      </c>
      <c r="B450" t="s">
        <v>10</v>
      </c>
      <c r="C450" t="s">
        <v>26</v>
      </c>
      <c r="D450" t="s">
        <v>74</v>
      </c>
      <c r="E450">
        <v>85627</v>
      </c>
      <c r="F450">
        <v>2409</v>
      </c>
      <c r="G450">
        <v>488.13</v>
      </c>
      <c r="H450">
        <v>69946</v>
      </c>
      <c r="I450">
        <v>94</v>
      </c>
      <c r="J450" t="s">
        <v>72</v>
      </c>
    </row>
    <row r="451" spans="1:10" x14ac:dyDescent="0.2">
      <c r="A451" s="1">
        <v>46099</v>
      </c>
      <c r="B451" t="s">
        <v>10</v>
      </c>
      <c r="C451" t="s">
        <v>73</v>
      </c>
      <c r="D451" t="s">
        <v>74</v>
      </c>
      <c r="E451">
        <v>60043</v>
      </c>
      <c r="F451">
        <v>1828</v>
      </c>
      <c r="G451">
        <v>408.92</v>
      </c>
      <c r="H451">
        <v>45071</v>
      </c>
      <c r="I451">
        <v>96</v>
      </c>
      <c r="J451" t="s">
        <v>72</v>
      </c>
    </row>
    <row r="452" spans="1:10" x14ac:dyDescent="0.2">
      <c r="A452" s="1">
        <v>46099</v>
      </c>
      <c r="B452" t="s">
        <v>15</v>
      </c>
      <c r="C452" t="s">
        <v>16</v>
      </c>
      <c r="D452" t="s">
        <v>74</v>
      </c>
      <c r="E452">
        <v>55278</v>
      </c>
      <c r="F452">
        <v>1957</v>
      </c>
      <c r="G452">
        <v>434.51</v>
      </c>
      <c r="H452">
        <v>44583</v>
      </c>
      <c r="I452">
        <v>87</v>
      </c>
      <c r="J452" t="s">
        <v>72</v>
      </c>
    </row>
    <row r="453" spans="1:10" x14ac:dyDescent="0.2">
      <c r="A453" s="1">
        <v>46099</v>
      </c>
      <c r="B453" t="s">
        <v>15</v>
      </c>
      <c r="C453" t="s">
        <v>76</v>
      </c>
      <c r="D453" t="s">
        <v>75</v>
      </c>
      <c r="E453">
        <v>47171</v>
      </c>
      <c r="F453">
        <v>1433</v>
      </c>
      <c r="G453">
        <v>339.32</v>
      </c>
      <c r="H453">
        <v>35800</v>
      </c>
      <c r="I453">
        <v>54</v>
      </c>
      <c r="J453" t="s">
        <v>72</v>
      </c>
    </row>
    <row r="454" spans="1:10" x14ac:dyDescent="0.2">
      <c r="A454" s="1">
        <v>46099</v>
      </c>
      <c r="B454" t="s">
        <v>21</v>
      </c>
      <c r="C454" t="s">
        <v>26</v>
      </c>
      <c r="D454" t="s">
        <v>74</v>
      </c>
      <c r="E454">
        <v>120253</v>
      </c>
      <c r="F454">
        <v>4364</v>
      </c>
      <c r="G454">
        <v>853.35</v>
      </c>
      <c r="H454">
        <v>94839</v>
      </c>
      <c r="I454">
        <v>215</v>
      </c>
      <c r="J454" t="s">
        <v>72</v>
      </c>
    </row>
    <row r="455" spans="1:10" x14ac:dyDescent="0.2">
      <c r="A455" s="1">
        <v>46099</v>
      </c>
      <c r="B455" t="s">
        <v>21</v>
      </c>
      <c r="C455" t="s">
        <v>78</v>
      </c>
      <c r="D455" t="s">
        <v>71</v>
      </c>
      <c r="E455">
        <v>63310</v>
      </c>
      <c r="F455">
        <v>2108</v>
      </c>
      <c r="G455">
        <v>472.46</v>
      </c>
      <c r="H455">
        <v>45917</v>
      </c>
      <c r="I455">
        <v>104</v>
      </c>
      <c r="J455" t="s">
        <v>72</v>
      </c>
    </row>
    <row r="456" spans="1:10" x14ac:dyDescent="0.2">
      <c r="A456" s="1">
        <v>46100</v>
      </c>
      <c r="B456" t="s">
        <v>10</v>
      </c>
      <c r="C456" t="s">
        <v>26</v>
      </c>
      <c r="D456" t="s">
        <v>12</v>
      </c>
      <c r="E456">
        <v>81446</v>
      </c>
      <c r="F456">
        <v>3053</v>
      </c>
      <c r="G456">
        <v>626.15</v>
      </c>
      <c r="H456">
        <v>62369</v>
      </c>
      <c r="I456">
        <v>125</v>
      </c>
      <c r="J456" t="s">
        <v>72</v>
      </c>
    </row>
    <row r="457" spans="1:10" x14ac:dyDescent="0.2">
      <c r="A457" s="1">
        <v>46100</v>
      </c>
      <c r="B457" t="s">
        <v>10</v>
      </c>
      <c r="C457" t="s">
        <v>73</v>
      </c>
      <c r="D457" t="s">
        <v>71</v>
      </c>
      <c r="E457">
        <v>118856</v>
      </c>
      <c r="F457">
        <v>4163</v>
      </c>
      <c r="G457">
        <v>818.24</v>
      </c>
      <c r="H457">
        <v>90660</v>
      </c>
      <c r="I457">
        <v>234</v>
      </c>
      <c r="J457" t="s">
        <v>72</v>
      </c>
    </row>
    <row r="458" spans="1:10" x14ac:dyDescent="0.2">
      <c r="A458" s="1">
        <v>46100</v>
      </c>
      <c r="B458" t="s">
        <v>15</v>
      </c>
      <c r="C458" t="s">
        <v>16</v>
      </c>
      <c r="D458" t="s">
        <v>75</v>
      </c>
      <c r="E458">
        <v>91001</v>
      </c>
      <c r="F458">
        <v>3357</v>
      </c>
      <c r="G458">
        <v>621.77</v>
      </c>
      <c r="H458">
        <v>68302</v>
      </c>
      <c r="I458">
        <v>171</v>
      </c>
      <c r="J458" t="s">
        <v>72</v>
      </c>
    </row>
    <row r="459" spans="1:10" x14ac:dyDescent="0.2">
      <c r="A459" s="1">
        <v>46100</v>
      </c>
      <c r="B459" t="s">
        <v>15</v>
      </c>
      <c r="C459" t="s">
        <v>76</v>
      </c>
      <c r="D459" t="s">
        <v>75</v>
      </c>
      <c r="E459">
        <v>52540</v>
      </c>
      <c r="F459">
        <v>1527</v>
      </c>
      <c r="G459">
        <v>296.85000000000002</v>
      </c>
      <c r="H459">
        <v>38320</v>
      </c>
      <c r="I459">
        <v>69</v>
      </c>
      <c r="J459" t="s">
        <v>72</v>
      </c>
    </row>
    <row r="460" spans="1:10" x14ac:dyDescent="0.2">
      <c r="A460" s="1">
        <v>46100</v>
      </c>
      <c r="B460" t="s">
        <v>21</v>
      </c>
      <c r="C460" t="s">
        <v>26</v>
      </c>
      <c r="D460" t="s">
        <v>12</v>
      </c>
      <c r="E460">
        <v>87707</v>
      </c>
      <c r="F460">
        <v>3136</v>
      </c>
      <c r="G460">
        <v>657.21</v>
      </c>
      <c r="H460">
        <v>70817</v>
      </c>
      <c r="I460">
        <v>178</v>
      </c>
      <c r="J460" t="s">
        <v>72</v>
      </c>
    </row>
    <row r="461" spans="1:10" x14ac:dyDescent="0.2">
      <c r="A461" s="1">
        <v>46100</v>
      </c>
      <c r="B461" t="s">
        <v>21</v>
      </c>
      <c r="C461" t="s">
        <v>78</v>
      </c>
      <c r="D461" t="s">
        <v>71</v>
      </c>
      <c r="E461">
        <v>125676</v>
      </c>
      <c r="F461">
        <v>5159</v>
      </c>
      <c r="G461">
        <v>970.85</v>
      </c>
      <c r="H461">
        <v>96742</v>
      </c>
      <c r="I461">
        <v>250</v>
      </c>
      <c r="J461" t="s">
        <v>72</v>
      </c>
    </row>
    <row r="462" spans="1:10" x14ac:dyDescent="0.2">
      <c r="A462" s="1">
        <v>46101</v>
      </c>
      <c r="B462" t="s">
        <v>10</v>
      </c>
      <c r="C462" t="s">
        <v>26</v>
      </c>
      <c r="D462" t="s">
        <v>71</v>
      </c>
      <c r="E462">
        <v>129717</v>
      </c>
      <c r="F462">
        <v>4899</v>
      </c>
      <c r="G462">
        <v>1001</v>
      </c>
      <c r="H462">
        <v>101390</v>
      </c>
      <c r="I462">
        <v>271</v>
      </c>
      <c r="J462" t="s">
        <v>72</v>
      </c>
    </row>
    <row r="463" spans="1:10" x14ac:dyDescent="0.2">
      <c r="A463" s="1">
        <v>46101</v>
      </c>
      <c r="B463" t="s">
        <v>10</v>
      </c>
      <c r="C463" t="s">
        <v>73</v>
      </c>
      <c r="D463" t="s">
        <v>74</v>
      </c>
      <c r="E463">
        <v>111412</v>
      </c>
      <c r="F463">
        <v>4215</v>
      </c>
      <c r="G463">
        <v>948.29</v>
      </c>
      <c r="H463">
        <v>82937</v>
      </c>
      <c r="I463">
        <v>211</v>
      </c>
      <c r="J463" t="s">
        <v>72</v>
      </c>
    </row>
    <row r="464" spans="1:10" x14ac:dyDescent="0.2">
      <c r="A464" s="1">
        <v>46101</v>
      </c>
      <c r="B464" t="s">
        <v>15</v>
      </c>
      <c r="C464" t="s">
        <v>16</v>
      </c>
      <c r="D464" t="s">
        <v>75</v>
      </c>
      <c r="E464">
        <v>142491</v>
      </c>
      <c r="F464">
        <v>4884</v>
      </c>
      <c r="G464">
        <v>928.51</v>
      </c>
      <c r="H464">
        <v>115847</v>
      </c>
      <c r="I464">
        <v>248</v>
      </c>
      <c r="J464" t="s">
        <v>72</v>
      </c>
    </row>
    <row r="465" spans="1:10" x14ac:dyDescent="0.2">
      <c r="A465" s="1">
        <v>46101</v>
      </c>
      <c r="B465" t="s">
        <v>15</v>
      </c>
      <c r="C465" t="s">
        <v>76</v>
      </c>
      <c r="D465" t="s">
        <v>75</v>
      </c>
      <c r="E465">
        <v>68786</v>
      </c>
      <c r="F465">
        <v>1998</v>
      </c>
      <c r="G465">
        <v>460.27</v>
      </c>
      <c r="H465">
        <v>53059</v>
      </c>
      <c r="I465">
        <v>113</v>
      </c>
      <c r="J465" t="s">
        <v>72</v>
      </c>
    </row>
    <row r="466" spans="1:10" x14ac:dyDescent="0.2">
      <c r="A466" s="1">
        <v>46101</v>
      </c>
      <c r="B466" t="s">
        <v>21</v>
      </c>
      <c r="C466" t="s">
        <v>26</v>
      </c>
      <c r="D466" t="s">
        <v>74</v>
      </c>
      <c r="E466">
        <v>123431</v>
      </c>
      <c r="F466">
        <v>4111</v>
      </c>
      <c r="G466">
        <v>832.05</v>
      </c>
      <c r="H466">
        <v>90267</v>
      </c>
      <c r="I466">
        <v>227</v>
      </c>
      <c r="J466" t="s">
        <v>72</v>
      </c>
    </row>
    <row r="467" spans="1:10" x14ac:dyDescent="0.2">
      <c r="A467" s="1">
        <v>46101</v>
      </c>
      <c r="B467" t="s">
        <v>21</v>
      </c>
      <c r="C467" t="s">
        <v>78</v>
      </c>
      <c r="D467" t="s">
        <v>71</v>
      </c>
      <c r="E467">
        <v>130861</v>
      </c>
      <c r="F467">
        <v>5222</v>
      </c>
      <c r="G467">
        <v>1208.73</v>
      </c>
      <c r="H467">
        <v>98015</v>
      </c>
      <c r="I467">
        <v>221</v>
      </c>
      <c r="J467" t="s">
        <v>72</v>
      </c>
    </row>
    <row r="468" spans="1:10" x14ac:dyDescent="0.2">
      <c r="A468" s="1">
        <v>46102</v>
      </c>
      <c r="B468" t="s">
        <v>10</v>
      </c>
      <c r="C468" t="s">
        <v>26</v>
      </c>
      <c r="D468" t="s">
        <v>12</v>
      </c>
      <c r="E468">
        <v>75303</v>
      </c>
      <c r="F468">
        <v>2110</v>
      </c>
      <c r="G468">
        <v>459.71</v>
      </c>
      <c r="H468">
        <v>57182</v>
      </c>
      <c r="I468">
        <v>117</v>
      </c>
      <c r="J468" t="s">
        <v>72</v>
      </c>
    </row>
    <row r="469" spans="1:10" x14ac:dyDescent="0.2">
      <c r="A469" s="1">
        <v>46102</v>
      </c>
      <c r="B469" t="s">
        <v>10</v>
      </c>
      <c r="C469" t="s">
        <v>73</v>
      </c>
      <c r="D469" t="s">
        <v>74</v>
      </c>
      <c r="E469">
        <v>117900</v>
      </c>
      <c r="F469">
        <v>4774</v>
      </c>
      <c r="G469">
        <v>1102.32</v>
      </c>
      <c r="H469">
        <v>85565</v>
      </c>
      <c r="I469">
        <v>134</v>
      </c>
      <c r="J469" t="s">
        <v>72</v>
      </c>
    </row>
    <row r="470" spans="1:10" x14ac:dyDescent="0.2">
      <c r="A470" s="1">
        <v>46102</v>
      </c>
      <c r="B470" t="s">
        <v>15</v>
      </c>
      <c r="C470" t="s">
        <v>16</v>
      </c>
      <c r="D470" t="s">
        <v>74</v>
      </c>
      <c r="E470">
        <v>94981</v>
      </c>
      <c r="F470">
        <v>3056</v>
      </c>
      <c r="G470">
        <v>569.73</v>
      </c>
      <c r="H470">
        <v>71708</v>
      </c>
      <c r="I470">
        <v>151</v>
      </c>
      <c r="J470" t="s">
        <v>72</v>
      </c>
    </row>
    <row r="471" spans="1:10" x14ac:dyDescent="0.2">
      <c r="A471" s="1">
        <v>46102</v>
      </c>
      <c r="B471" t="s">
        <v>15</v>
      </c>
      <c r="C471" t="s">
        <v>76</v>
      </c>
      <c r="D471" t="s">
        <v>74</v>
      </c>
      <c r="E471">
        <v>99409</v>
      </c>
      <c r="F471">
        <v>2795</v>
      </c>
      <c r="G471">
        <v>575.35</v>
      </c>
      <c r="H471">
        <v>73538</v>
      </c>
      <c r="I471">
        <v>122</v>
      </c>
      <c r="J471" t="s">
        <v>72</v>
      </c>
    </row>
    <row r="472" spans="1:10" x14ac:dyDescent="0.2">
      <c r="A472" s="1">
        <v>46102</v>
      </c>
      <c r="B472" t="s">
        <v>19</v>
      </c>
      <c r="C472" t="s">
        <v>26</v>
      </c>
      <c r="D472" t="s">
        <v>12</v>
      </c>
      <c r="E472">
        <v>108982</v>
      </c>
      <c r="F472">
        <v>3240</v>
      </c>
      <c r="G472">
        <v>677.95</v>
      </c>
      <c r="H472">
        <v>80163</v>
      </c>
      <c r="I472">
        <v>154</v>
      </c>
      <c r="J472" t="s">
        <v>72</v>
      </c>
    </row>
    <row r="473" spans="1:10" x14ac:dyDescent="0.2">
      <c r="A473" s="1">
        <v>46102</v>
      </c>
      <c r="B473" t="s">
        <v>19</v>
      </c>
      <c r="C473" t="s">
        <v>73</v>
      </c>
      <c r="D473" t="s">
        <v>12</v>
      </c>
      <c r="E473">
        <v>119203</v>
      </c>
      <c r="F473">
        <v>3997</v>
      </c>
      <c r="G473">
        <v>791.23</v>
      </c>
      <c r="H473">
        <v>90932</v>
      </c>
      <c r="I473">
        <v>133</v>
      </c>
      <c r="J473" t="s">
        <v>72</v>
      </c>
    </row>
    <row r="474" spans="1:10" x14ac:dyDescent="0.2">
      <c r="A474" s="1">
        <v>46102</v>
      </c>
      <c r="B474" t="s">
        <v>21</v>
      </c>
      <c r="C474" t="s">
        <v>26</v>
      </c>
      <c r="D474" t="s">
        <v>74</v>
      </c>
      <c r="E474">
        <v>57519</v>
      </c>
      <c r="F474">
        <v>2407</v>
      </c>
      <c r="G474">
        <v>528.04</v>
      </c>
      <c r="H474">
        <v>43940</v>
      </c>
      <c r="I474">
        <v>77</v>
      </c>
      <c r="J474" t="s">
        <v>72</v>
      </c>
    </row>
    <row r="475" spans="1:10" x14ac:dyDescent="0.2">
      <c r="A475" s="1">
        <v>46102</v>
      </c>
      <c r="B475" t="s">
        <v>21</v>
      </c>
      <c r="C475" t="s">
        <v>78</v>
      </c>
      <c r="D475" t="s">
        <v>71</v>
      </c>
      <c r="E475">
        <v>39989</v>
      </c>
      <c r="F475">
        <v>1320</v>
      </c>
      <c r="G475">
        <v>306.54000000000002</v>
      </c>
      <c r="H475">
        <v>29585</v>
      </c>
      <c r="I475">
        <v>44</v>
      </c>
      <c r="J475" t="s">
        <v>72</v>
      </c>
    </row>
    <row r="476" spans="1:10" x14ac:dyDescent="0.2">
      <c r="A476" s="1">
        <v>46103</v>
      </c>
      <c r="B476" t="s">
        <v>10</v>
      </c>
      <c r="C476" t="s">
        <v>26</v>
      </c>
      <c r="D476" t="s">
        <v>74</v>
      </c>
      <c r="E476">
        <v>61777</v>
      </c>
      <c r="F476">
        <v>2070</v>
      </c>
      <c r="G476">
        <v>465</v>
      </c>
      <c r="H476">
        <v>50045</v>
      </c>
      <c r="I476">
        <v>67</v>
      </c>
      <c r="J476" t="s">
        <v>72</v>
      </c>
    </row>
    <row r="477" spans="1:10" x14ac:dyDescent="0.2">
      <c r="A477" s="1">
        <v>46103</v>
      </c>
      <c r="B477" t="s">
        <v>10</v>
      </c>
      <c r="C477" t="s">
        <v>73</v>
      </c>
      <c r="D477" t="s">
        <v>74</v>
      </c>
      <c r="E477">
        <v>120668</v>
      </c>
      <c r="F477">
        <v>4999</v>
      </c>
      <c r="G477">
        <v>1194.6400000000001</v>
      </c>
      <c r="H477">
        <v>88314</v>
      </c>
      <c r="I477">
        <v>213</v>
      </c>
      <c r="J477" t="s">
        <v>72</v>
      </c>
    </row>
    <row r="478" spans="1:10" x14ac:dyDescent="0.2">
      <c r="A478" s="1">
        <v>46103</v>
      </c>
      <c r="B478" t="s">
        <v>15</v>
      </c>
      <c r="C478" t="s">
        <v>16</v>
      </c>
      <c r="D478" t="s">
        <v>74</v>
      </c>
      <c r="E478">
        <v>60713</v>
      </c>
      <c r="F478">
        <v>1976</v>
      </c>
      <c r="G478">
        <v>446.31</v>
      </c>
      <c r="H478">
        <v>49066</v>
      </c>
      <c r="I478">
        <v>85</v>
      </c>
      <c r="J478" t="s">
        <v>72</v>
      </c>
    </row>
    <row r="479" spans="1:10" x14ac:dyDescent="0.2">
      <c r="A479" s="1">
        <v>46103</v>
      </c>
      <c r="B479" t="s">
        <v>15</v>
      </c>
      <c r="C479" t="s">
        <v>76</v>
      </c>
      <c r="D479" t="s">
        <v>74</v>
      </c>
      <c r="E479">
        <v>61392</v>
      </c>
      <c r="F479">
        <v>1813</v>
      </c>
      <c r="G479">
        <v>338.08</v>
      </c>
      <c r="H479">
        <v>44332</v>
      </c>
      <c r="I479">
        <v>59</v>
      </c>
      <c r="J479" t="s">
        <v>72</v>
      </c>
    </row>
    <row r="480" spans="1:10" x14ac:dyDescent="0.2">
      <c r="A480" s="1">
        <v>46103</v>
      </c>
      <c r="B480" t="s">
        <v>19</v>
      </c>
      <c r="C480" t="s">
        <v>26</v>
      </c>
      <c r="D480" t="s">
        <v>12</v>
      </c>
      <c r="E480">
        <v>79298</v>
      </c>
      <c r="F480">
        <v>2278</v>
      </c>
      <c r="G480">
        <v>523.46</v>
      </c>
      <c r="H480">
        <v>60501</v>
      </c>
      <c r="I480">
        <v>104</v>
      </c>
      <c r="J480" t="s">
        <v>72</v>
      </c>
    </row>
    <row r="481" spans="1:10" x14ac:dyDescent="0.2">
      <c r="A481" s="1">
        <v>46103</v>
      </c>
      <c r="B481" t="s">
        <v>19</v>
      </c>
      <c r="C481" t="s">
        <v>73</v>
      </c>
      <c r="D481" t="s">
        <v>12</v>
      </c>
      <c r="E481">
        <v>113006</v>
      </c>
      <c r="F481">
        <v>3923</v>
      </c>
      <c r="G481">
        <v>772.57</v>
      </c>
      <c r="H481">
        <v>82297</v>
      </c>
      <c r="I481">
        <v>160</v>
      </c>
      <c r="J481" t="s">
        <v>72</v>
      </c>
    </row>
    <row r="482" spans="1:10" x14ac:dyDescent="0.2">
      <c r="A482" s="1">
        <v>46103</v>
      </c>
      <c r="B482" t="s">
        <v>21</v>
      </c>
      <c r="C482" t="s">
        <v>26</v>
      </c>
      <c r="D482" t="s">
        <v>12</v>
      </c>
      <c r="E482">
        <v>126111</v>
      </c>
      <c r="F482">
        <v>3861</v>
      </c>
      <c r="G482">
        <v>760.11</v>
      </c>
      <c r="H482">
        <v>92250</v>
      </c>
      <c r="I482">
        <v>138</v>
      </c>
      <c r="J482" t="s">
        <v>72</v>
      </c>
    </row>
    <row r="483" spans="1:10" x14ac:dyDescent="0.2">
      <c r="A483" s="1">
        <v>46103</v>
      </c>
      <c r="B483" t="s">
        <v>21</v>
      </c>
      <c r="C483" t="s">
        <v>78</v>
      </c>
      <c r="D483" t="s">
        <v>71</v>
      </c>
      <c r="E483">
        <v>112125</v>
      </c>
      <c r="F483">
        <v>3450</v>
      </c>
      <c r="G483">
        <v>767.24</v>
      </c>
      <c r="H483">
        <v>89811</v>
      </c>
      <c r="I483">
        <v>169</v>
      </c>
      <c r="J483" t="s">
        <v>72</v>
      </c>
    </row>
    <row r="484" spans="1:10" x14ac:dyDescent="0.2">
      <c r="A484" s="1">
        <v>46104</v>
      </c>
      <c r="B484" t="s">
        <v>10</v>
      </c>
      <c r="C484" t="s">
        <v>26</v>
      </c>
      <c r="D484" t="s">
        <v>71</v>
      </c>
      <c r="E484">
        <v>69872</v>
      </c>
      <c r="F484">
        <v>2140</v>
      </c>
      <c r="G484">
        <v>494.97</v>
      </c>
      <c r="H484">
        <v>54702</v>
      </c>
      <c r="I484">
        <v>69</v>
      </c>
      <c r="J484" t="s">
        <v>72</v>
      </c>
    </row>
    <row r="485" spans="1:10" x14ac:dyDescent="0.2">
      <c r="A485" s="1">
        <v>46104</v>
      </c>
      <c r="B485" t="s">
        <v>10</v>
      </c>
      <c r="C485" t="s">
        <v>73</v>
      </c>
      <c r="D485" t="s">
        <v>74</v>
      </c>
      <c r="E485">
        <v>61542</v>
      </c>
      <c r="F485">
        <v>2068</v>
      </c>
      <c r="G485">
        <v>406.22</v>
      </c>
      <c r="H485">
        <v>45492</v>
      </c>
      <c r="I485">
        <v>66</v>
      </c>
      <c r="J485" t="s">
        <v>72</v>
      </c>
    </row>
    <row r="486" spans="1:10" x14ac:dyDescent="0.2">
      <c r="A486" s="1">
        <v>46104</v>
      </c>
      <c r="B486" t="s">
        <v>15</v>
      </c>
      <c r="C486" t="s">
        <v>16</v>
      </c>
      <c r="D486" t="s">
        <v>75</v>
      </c>
      <c r="E486">
        <v>73017</v>
      </c>
      <c r="F486">
        <v>2137</v>
      </c>
      <c r="G486">
        <v>391.19</v>
      </c>
      <c r="H486">
        <v>55546</v>
      </c>
      <c r="I486">
        <v>79</v>
      </c>
      <c r="J486" t="s">
        <v>72</v>
      </c>
    </row>
    <row r="487" spans="1:10" x14ac:dyDescent="0.2">
      <c r="A487" s="1">
        <v>46104</v>
      </c>
      <c r="B487" t="s">
        <v>15</v>
      </c>
      <c r="C487" t="s">
        <v>76</v>
      </c>
      <c r="D487" t="s">
        <v>75</v>
      </c>
      <c r="E487">
        <v>76788</v>
      </c>
      <c r="F487">
        <v>2511</v>
      </c>
      <c r="G487">
        <v>524.17999999999995</v>
      </c>
      <c r="H487">
        <v>59202</v>
      </c>
      <c r="I487">
        <v>118</v>
      </c>
      <c r="J487" t="s">
        <v>72</v>
      </c>
    </row>
    <row r="488" spans="1:10" x14ac:dyDescent="0.2">
      <c r="A488" s="1">
        <v>46104</v>
      </c>
      <c r="B488" t="s">
        <v>21</v>
      </c>
      <c r="C488" t="s">
        <v>26</v>
      </c>
      <c r="D488" t="s">
        <v>74</v>
      </c>
      <c r="E488">
        <v>57752</v>
      </c>
      <c r="F488">
        <v>1834</v>
      </c>
      <c r="G488">
        <v>360.99</v>
      </c>
      <c r="H488">
        <v>43608</v>
      </c>
      <c r="I488">
        <v>74</v>
      </c>
      <c r="J488" t="s">
        <v>72</v>
      </c>
    </row>
    <row r="489" spans="1:10" x14ac:dyDescent="0.2">
      <c r="A489" s="1">
        <v>46104</v>
      </c>
      <c r="B489" t="s">
        <v>21</v>
      </c>
      <c r="C489" t="s">
        <v>78</v>
      </c>
      <c r="D489" t="s">
        <v>71</v>
      </c>
      <c r="E489">
        <v>47102</v>
      </c>
      <c r="F489">
        <v>1438</v>
      </c>
      <c r="G489">
        <v>258.89</v>
      </c>
      <c r="H489">
        <v>37024</v>
      </c>
      <c r="I489">
        <v>54</v>
      </c>
      <c r="J489" t="s">
        <v>72</v>
      </c>
    </row>
    <row r="490" spans="1:10" x14ac:dyDescent="0.2">
      <c r="A490" s="1">
        <v>46105</v>
      </c>
      <c r="B490" t="s">
        <v>10</v>
      </c>
      <c r="C490" t="s">
        <v>26</v>
      </c>
      <c r="D490" t="s">
        <v>12</v>
      </c>
      <c r="E490">
        <v>119434</v>
      </c>
      <c r="F490">
        <v>3812</v>
      </c>
      <c r="G490">
        <v>824.88</v>
      </c>
      <c r="H490">
        <v>91138</v>
      </c>
      <c r="I490">
        <v>135</v>
      </c>
      <c r="J490" t="s">
        <v>72</v>
      </c>
    </row>
    <row r="491" spans="1:10" x14ac:dyDescent="0.2">
      <c r="A491" s="1">
        <v>46105</v>
      </c>
      <c r="B491" t="s">
        <v>10</v>
      </c>
      <c r="C491" t="s">
        <v>73</v>
      </c>
      <c r="D491" t="s">
        <v>71</v>
      </c>
      <c r="E491">
        <v>100951</v>
      </c>
      <c r="F491">
        <v>3299</v>
      </c>
      <c r="G491">
        <v>615.9</v>
      </c>
      <c r="H491">
        <v>79437</v>
      </c>
      <c r="I491">
        <v>159</v>
      </c>
      <c r="J491" t="s">
        <v>72</v>
      </c>
    </row>
    <row r="492" spans="1:10" x14ac:dyDescent="0.2">
      <c r="A492" s="1">
        <v>46105</v>
      </c>
      <c r="B492" t="s">
        <v>15</v>
      </c>
      <c r="C492" t="s">
        <v>16</v>
      </c>
      <c r="D492" t="s">
        <v>75</v>
      </c>
      <c r="E492">
        <v>95435</v>
      </c>
      <c r="F492">
        <v>3153</v>
      </c>
      <c r="G492">
        <v>720.78</v>
      </c>
      <c r="H492">
        <v>75803</v>
      </c>
      <c r="I492">
        <v>143</v>
      </c>
      <c r="J492" t="s">
        <v>72</v>
      </c>
    </row>
    <row r="493" spans="1:10" x14ac:dyDescent="0.2">
      <c r="A493" s="1">
        <v>46105</v>
      </c>
      <c r="B493" t="s">
        <v>15</v>
      </c>
      <c r="C493" t="s">
        <v>76</v>
      </c>
      <c r="D493" t="s">
        <v>74</v>
      </c>
      <c r="E493">
        <v>79596</v>
      </c>
      <c r="F493">
        <v>2953</v>
      </c>
      <c r="G493">
        <v>568.75</v>
      </c>
      <c r="H493">
        <v>60365</v>
      </c>
      <c r="I493">
        <v>161</v>
      </c>
      <c r="J493" t="s">
        <v>72</v>
      </c>
    </row>
    <row r="494" spans="1:10" x14ac:dyDescent="0.2">
      <c r="A494" s="1">
        <v>46105</v>
      </c>
      <c r="B494" t="s">
        <v>21</v>
      </c>
      <c r="C494" t="s">
        <v>26</v>
      </c>
      <c r="D494" t="s">
        <v>12</v>
      </c>
      <c r="E494">
        <v>141547</v>
      </c>
      <c r="F494">
        <v>4201</v>
      </c>
      <c r="G494">
        <v>904.03</v>
      </c>
      <c r="H494">
        <v>114825</v>
      </c>
      <c r="I494">
        <v>200</v>
      </c>
      <c r="J494" t="s">
        <v>72</v>
      </c>
    </row>
    <row r="495" spans="1:10" x14ac:dyDescent="0.2">
      <c r="A495" s="1">
        <v>46105</v>
      </c>
      <c r="B495" t="s">
        <v>21</v>
      </c>
      <c r="C495" t="s">
        <v>78</v>
      </c>
      <c r="D495" t="s">
        <v>71</v>
      </c>
      <c r="E495">
        <v>71873</v>
      </c>
      <c r="F495">
        <v>2721</v>
      </c>
      <c r="G495">
        <v>640.88</v>
      </c>
      <c r="H495">
        <v>52286</v>
      </c>
      <c r="I495">
        <v>120</v>
      </c>
      <c r="J495" t="s">
        <v>72</v>
      </c>
    </row>
    <row r="496" spans="1:10" x14ac:dyDescent="0.2">
      <c r="A496" s="1">
        <v>46106</v>
      </c>
      <c r="B496" t="s">
        <v>10</v>
      </c>
      <c r="C496" t="s">
        <v>26</v>
      </c>
      <c r="D496" t="s">
        <v>12</v>
      </c>
      <c r="E496">
        <v>90369</v>
      </c>
      <c r="F496">
        <v>3448</v>
      </c>
      <c r="G496">
        <v>825.38</v>
      </c>
      <c r="H496">
        <v>66891</v>
      </c>
      <c r="I496">
        <v>171</v>
      </c>
      <c r="J496" t="s">
        <v>72</v>
      </c>
    </row>
    <row r="497" spans="1:10" x14ac:dyDescent="0.2">
      <c r="A497" s="1">
        <v>46106</v>
      </c>
      <c r="B497" t="s">
        <v>10</v>
      </c>
      <c r="C497" t="s">
        <v>73</v>
      </c>
      <c r="D497" t="s">
        <v>74</v>
      </c>
      <c r="E497">
        <v>60781</v>
      </c>
      <c r="F497">
        <v>1864</v>
      </c>
      <c r="G497">
        <v>397.09</v>
      </c>
      <c r="H497">
        <v>45297</v>
      </c>
      <c r="I497">
        <v>101</v>
      </c>
      <c r="J497" t="s">
        <v>72</v>
      </c>
    </row>
    <row r="498" spans="1:10" x14ac:dyDescent="0.2">
      <c r="A498" s="1">
        <v>46106</v>
      </c>
      <c r="B498" t="s">
        <v>15</v>
      </c>
      <c r="C498" t="s">
        <v>16</v>
      </c>
      <c r="D498" t="s">
        <v>74</v>
      </c>
      <c r="E498">
        <v>101364</v>
      </c>
      <c r="F498">
        <v>3474</v>
      </c>
      <c r="G498">
        <v>774.84</v>
      </c>
      <c r="H498">
        <v>82214</v>
      </c>
      <c r="I498">
        <v>104</v>
      </c>
      <c r="J498" t="s">
        <v>72</v>
      </c>
    </row>
    <row r="499" spans="1:10" x14ac:dyDescent="0.2">
      <c r="A499" s="1">
        <v>46106</v>
      </c>
      <c r="B499" t="s">
        <v>15</v>
      </c>
      <c r="C499" t="s">
        <v>76</v>
      </c>
      <c r="D499" t="s">
        <v>74</v>
      </c>
      <c r="E499">
        <v>128245</v>
      </c>
      <c r="F499">
        <v>5263</v>
      </c>
      <c r="G499">
        <v>1106.45</v>
      </c>
      <c r="H499">
        <v>92616</v>
      </c>
      <c r="I499">
        <v>241</v>
      </c>
      <c r="J499" t="s">
        <v>72</v>
      </c>
    </row>
    <row r="500" spans="1:10" x14ac:dyDescent="0.2">
      <c r="A500" s="1">
        <v>46106</v>
      </c>
      <c r="B500" t="s">
        <v>21</v>
      </c>
      <c r="C500" t="s">
        <v>26</v>
      </c>
      <c r="D500" t="s">
        <v>12</v>
      </c>
      <c r="E500">
        <v>88354</v>
      </c>
      <c r="F500">
        <v>2530</v>
      </c>
      <c r="G500">
        <v>541.35</v>
      </c>
      <c r="H500">
        <v>70633</v>
      </c>
      <c r="I500">
        <v>123</v>
      </c>
      <c r="J500" t="s">
        <v>72</v>
      </c>
    </row>
    <row r="501" spans="1:10" x14ac:dyDescent="0.2">
      <c r="A501" s="1">
        <v>46106</v>
      </c>
      <c r="B501" t="s">
        <v>21</v>
      </c>
      <c r="C501" t="s">
        <v>78</v>
      </c>
      <c r="D501" t="s">
        <v>71</v>
      </c>
      <c r="E501">
        <v>123349</v>
      </c>
      <c r="F501">
        <v>4636</v>
      </c>
      <c r="G501">
        <v>1076.55</v>
      </c>
      <c r="H501">
        <v>100795</v>
      </c>
      <c r="I501">
        <v>152</v>
      </c>
      <c r="J501" t="s">
        <v>72</v>
      </c>
    </row>
    <row r="502" spans="1:10" x14ac:dyDescent="0.2">
      <c r="A502" s="1">
        <v>46107</v>
      </c>
      <c r="B502" t="s">
        <v>10</v>
      </c>
      <c r="C502" t="s">
        <v>26</v>
      </c>
      <c r="D502" t="s">
        <v>71</v>
      </c>
      <c r="E502">
        <v>104456</v>
      </c>
      <c r="F502">
        <v>3747</v>
      </c>
      <c r="G502">
        <v>762.2</v>
      </c>
      <c r="H502">
        <v>81551</v>
      </c>
      <c r="I502">
        <v>128</v>
      </c>
      <c r="J502" t="s">
        <v>72</v>
      </c>
    </row>
    <row r="503" spans="1:10" x14ac:dyDescent="0.2">
      <c r="A503" s="1">
        <v>46107</v>
      </c>
      <c r="B503" t="s">
        <v>10</v>
      </c>
      <c r="C503" t="s">
        <v>73</v>
      </c>
      <c r="D503" t="s">
        <v>74</v>
      </c>
      <c r="E503">
        <v>66262</v>
      </c>
      <c r="F503">
        <v>2385</v>
      </c>
      <c r="G503">
        <v>514.03</v>
      </c>
      <c r="H503">
        <v>47767</v>
      </c>
      <c r="I503">
        <v>133</v>
      </c>
      <c r="J503" t="s">
        <v>72</v>
      </c>
    </row>
    <row r="504" spans="1:10" x14ac:dyDescent="0.2">
      <c r="A504" s="1">
        <v>46107</v>
      </c>
      <c r="B504" t="s">
        <v>15</v>
      </c>
      <c r="C504" t="s">
        <v>16</v>
      </c>
      <c r="D504" t="s">
        <v>74</v>
      </c>
      <c r="E504">
        <v>124846</v>
      </c>
      <c r="F504">
        <v>4732</v>
      </c>
      <c r="G504">
        <v>1000.84</v>
      </c>
      <c r="H504">
        <v>93677</v>
      </c>
      <c r="I504">
        <v>163</v>
      </c>
      <c r="J504" t="s">
        <v>72</v>
      </c>
    </row>
    <row r="505" spans="1:10" x14ac:dyDescent="0.2">
      <c r="A505" s="1">
        <v>46107</v>
      </c>
      <c r="B505" t="s">
        <v>15</v>
      </c>
      <c r="C505" t="s">
        <v>76</v>
      </c>
      <c r="D505" t="s">
        <v>74</v>
      </c>
      <c r="E505">
        <v>133082</v>
      </c>
      <c r="F505">
        <v>3948</v>
      </c>
      <c r="G505">
        <v>763.68</v>
      </c>
      <c r="H505">
        <v>102919</v>
      </c>
      <c r="I505">
        <v>145</v>
      </c>
      <c r="J505" t="s">
        <v>72</v>
      </c>
    </row>
    <row r="506" spans="1:10" x14ac:dyDescent="0.2">
      <c r="A506" s="1">
        <v>46107</v>
      </c>
      <c r="B506" t="s">
        <v>21</v>
      </c>
      <c r="C506" t="s">
        <v>26</v>
      </c>
      <c r="D506" t="s">
        <v>12</v>
      </c>
      <c r="E506">
        <v>86327</v>
      </c>
      <c r="F506">
        <v>3537</v>
      </c>
      <c r="G506">
        <v>694.05</v>
      </c>
      <c r="H506">
        <v>68980</v>
      </c>
      <c r="I506">
        <v>167</v>
      </c>
      <c r="J506" t="s">
        <v>72</v>
      </c>
    </row>
    <row r="507" spans="1:10" x14ac:dyDescent="0.2">
      <c r="A507" s="1">
        <v>46107</v>
      </c>
      <c r="B507" t="s">
        <v>21</v>
      </c>
      <c r="C507" t="s">
        <v>78</v>
      </c>
      <c r="D507" t="s">
        <v>71</v>
      </c>
      <c r="E507">
        <v>74777</v>
      </c>
      <c r="F507">
        <v>2653</v>
      </c>
      <c r="G507">
        <v>477.76</v>
      </c>
      <c r="H507">
        <v>56437</v>
      </c>
      <c r="I507">
        <v>122</v>
      </c>
      <c r="J507" t="s">
        <v>72</v>
      </c>
    </row>
    <row r="508" spans="1:10" x14ac:dyDescent="0.2">
      <c r="A508" s="1">
        <v>46108</v>
      </c>
      <c r="B508" t="s">
        <v>10</v>
      </c>
      <c r="C508" t="s">
        <v>26</v>
      </c>
      <c r="D508" t="s">
        <v>12</v>
      </c>
      <c r="E508">
        <v>94302</v>
      </c>
      <c r="F508">
        <v>2750</v>
      </c>
      <c r="G508">
        <v>611.4</v>
      </c>
      <c r="H508">
        <v>73077</v>
      </c>
      <c r="I508">
        <v>136</v>
      </c>
      <c r="J508" t="s">
        <v>72</v>
      </c>
    </row>
    <row r="509" spans="1:10" x14ac:dyDescent="0.2">
      <c r="A509" s="1">
        <v>46108</v>
      </c>
      <c r="B509" t="s">
        <v>10</v>
      </c>
      <c r="C509" t="s">
        <v>73</v>
      </c>
      <c r="D509" t="s">
        <v>71</v>
      </c>
      <c r="E509">
        <v>89247</v>
      </c>
      <c r="F509">
        <v>2904</v>
      </c>
      <c r="G509">
        <v>532.70000000000005</v>
      </c>
      <c r="H509">
        <v>71539</v>
      </c>
      <c r="I509">
        <v>153</v>
      </c>
      <c r="J509" t="s">
        <v>72</v>
      </c>
    </row>
    <row r="510" spans="1:10" x14ac:dyDescent="0.2">
      <c r="A510" s="1">
        <v>46108</v>
      </c>
      <c r="B510" t="s">
        <v>15</v>
      </c>
      <c r="C510" t="s">
        <v>16</v>
      </c>
      <c r="D510" t="s">
        <v>75</v>
      </c>
      <c r="E510">
        <v>86656</v>
      </c>
      <c r="F510">
        <v>2640</v>
      </c>
      <c r="G510">
        <v>629.1</v>
      </c>
      <c r="H510">
        <v>67049</v>
      </c>
      <c r="I510">
        <v>151</v>
      </c>
      <c r="J510" t="s">
        <v>72</v>
      </c>
    </row>
    <row r="511" spans="1:10" x14ac:dyDescent="0.2">
      <c r="A511" s="1">
        <v>46108</v>
      </c>
      <c r="B511" t="s">
        <v>15</v>
      </c>
      <c r="C511" t="s">
        <v>76</v>
      </c>
      <c r="D511" t="s">
        <v>75</v>
      </c>
      <c r="E511">
        <v>104087</v>
      </c>
      <c r="F511">
        <v>4292</v>
      </c>
      <c r="G511">
        <v>838.83</v>
      </c>
      <c r="H511">
        <v>81460</v>
      </c>
      <c r="I511">
        <v>197</v>
      </c>
      <c r="J511" t="s">
        <v>72</v>
      </c>
    </row>
    <row r="512" spans="1:10" x14ac:dyDescent="0.2">
      <c r="A512" s="1">
        <v>46108</v>
      </c>
      <c r="B512" t="s">
        <v>21</v>
      </c>
      <c r="C512" t="s">
        <v>26</v>
      </c>
      <c r="D512" t="s">
        <v>12</v>
      </c>
      <c r="E512">
        <v>114345</v>
      </c>
      <c r="F512">
        <v>3554</v>
      </c>
      <c r="G512">
        <v>697.04</v>
      </c>
      <c r="H512">
        <v>88979</v>
      </c>
      <c r="I512">
        <v>185</v>
      </c>
      <c r="J512" t="s">
        <v>72</v>
      </c>
    </row>
    <row r="513" spans="1:10" x14ac:dyDescent="0.2">
      <c r="A513" s="1">
        <v>46108</v>
      </c>
      <c r="B513" t="s">
        <v>21</v>
      </c>
      <c r="C513" t="s">
        <v>78</v>
      </c>
      <c r="D513" t="s">
        <v>71</v>
      </c>
      <c r="E513">
        <v>65520</v>
      </c>
      <c r="F513">
        <v>2243</v>
      </c>
      <c r="G513">
        <v>501.96</v>
      </c>
      <c r="H513">
        <v>50017</v>
      </c>
      <c r="I513">
        <v>72</v>
      </c>
      <c r="J513" t="s">
        <v>72</v>
      </c>
    </row>
    <row r="514" spans="1:10" x14ac:dyDescent="0.2">
      <c r="A514" s="1">
        <v>46109</v>
      </c>
      <c r="B514" t="s">
        <v>10</v>
      </c>
      <c r="C514" t="s">
        <v>26</v>
      </c>
      <c r="D514" t="s">
        <v>12</v>
      </c>
      <c r="E514">
        <v>54964</v>
      </c>
      <c r="F514">
        <v>1920</v>
      </c>
      <c r="G514">
        <v>398.52</v>
      </c>
      <c r="H514">
        <v>44056</v>
      </c>
      <c r="I514">
        <v>63</v>
      </c>
      <c r="J514" t="s">
        <v>72</v>
      </c>
    </row>
    <row r="515" spans="1:10" x14ac:dyDescent="0.2">
      <c r="A515" s="1">
        <v>46109</v>
      </c>
      <c r="B515" t="s">
        <v>10</v>
      </c>
      <c r="C515" t="s">
        <v>73</v>
      </c>
      <c r="D515" t="s">
        <v>71</v>
      </c>
      <c r="E515">
        <v>69739</v>
      </c>
      <c r="F515">
        <v>2584</v>
      </c>
      <c r="G515">
        <v>468.38</v>
      </c>
      <c r="H515">
        <v>51348</v>
      </c>
      <c r="I515">
        <v>86</v>
      </c>
      <c r="J515" t="s">
        <v>72</v>
      </c>
    </row>
    <row r="516" spans="1:10" x14ac:dyDescent="0.2">
      <c r="A516" s="1">
        <v>46109</v>
      </c>
      <c r="B516" t="s">
        <v>15</v>
      </c>
      <c r="C516" t="s">
        <v>16</v>
      </c>
      <c r="D516" t="s">
        <v>74</v>
      </c>
      <c r="E516">
        <v>142568</v>
      </c>
      <c r="F516">
        <v>4366</v>
      </c>
      <c r="G516">
        <v>823.48</v>
      </c>
      <c r="H516">
        <v>108727</v>
      </c>
      <c r="I516">
        <v>181</v>
      </c>
      <c r="J516" t="s">
        <v>72</v>
      </c>
    </row>
    <row r="517" spans="1:10" x14ac:dyDescent="0.2">
      <c r="A517" s="1">
        <v>46109</v>
      </c>
      <c r="B517" t="s">
        <v>15</v>
      </c>
      <c r="C517" t="s">
        <v>76</v>
      </c>
      <c r="D517" t="s">
        <v>74</v>
      </c>
      <c r="E517">
        <v>56078</v>
      </c>
      <c r="F517">
        <v>2138</v>
      </c>
      <c r="G517">
        <v>402.45</v>
      </c>
      <c r="H517">
        <v>44584</v>
      </c>
      <c r="I517">
        <v>60</v>
      </c>
      <c r="J517" t="s">
        <v>72</v>
      </c>
    </row>
    <row r="518" spans="1:10" x14ac:dyDescent="0.2">
      <c r="A518" s="1">
        <v>46109</v>
      </c>
      <c r="B518" t="s">
        <v>19</v>
      </c>
      <c r="C518" t="s">
        <v>26</v>
      </c>
      <c r="D518" t="s">
        <v>12</v>
      </c>
      <c r="E518">
        <v>103386</v>
      </c>
      <c r="F518">
        <v>3450</v>
      </c>
      <c r="G518">
        <v>643.78</v>
      </c>
      <c r="H518">
        <v>74578</v>
      </c>
      <c r="I518">
        <v>182</v>
      </c>
      <c r="J518" t="s">
        <v>72</v>
      </c>
    </row>
    <row r="519" spans="1:10" x14ac:dyDescent="0.2">
      <c r="A519" s="1">
        <v>46109</v>
      </c>
      <c r="B519" t="s">
        <v>19</v>
      </c>
      <c r="C519" t="s">
        <v>73</v>
      </c>
      <c r="D519" t="s">
        <v>12</v>
      </c>
      <c r="E519">
        <v>61521</v>
      </c>
      <c r="F519">
        <v>1936</v>
      </c>
      <c r="G519">
        <v>358.19</v>
      </c>
      <c r="H519">
        <v>45172</v>
      </c>
      <c r="I519">
        <v>90</v>
      </c>
      <c r="J519" t="s">
        <v>72</v>
      </c>
    </row>
    <row r="520" spans="1:10" x14ac:dyDescent="0.2">
      <c r="A520" s="1">
        <v>46109</v>
      </c>
      <c r="B520" t="s">
        <v>21</v>
      </c>
      <c r="C520" t="s">
        <v>26</v>
      </c>
      <c r="D520" t="s">
        <v>12</v>
      </c>
      <c r="E520">
        <v>40600</v>
      </c>
      <c r="F520">
        <v>1681</v>
      </c>
      <c r="G520">
        <v>313.31</v>
      </c>
      <c r="H520">
        <v>32220</v>
      </c>
      <c r="I520">
        <v>64</v>
      </c>
      <c r="J520" t="s">
        <v>72</v>
      </c>
    </row>
    <row r="521" spans="1:10" x14ac:dyDescent="0.2">
      <c r="A521" s="1">
        <v>46109</v>
      </c>
      <c r="B521" t="s">
        <v>21</v>
      </c>
      <c r="C521" t="s">
        <v>78</v>
      </c>
      <c r="D521" t="s">
        <v>71</v>
      </c>
      <c r="E521">
        <v>73473</v>
      </c>
      <c r="F521">
        <v>2200</v>
      </c>
      <c r="G521">
        <v>496.28</v>
      </c>
      <c r="H521">
        <v>59457</v>
      </c>
      <c r="I521">
        <v>115</v>
      </c>
      <c r="J521" t="s">
        <v>72</v>
      </c>
    </row>
    <row r="522" spans="1:10" x14ac:dyDescent="0.2">
      <c r="A522" s="1">
        <v>46110</v>
      </c>
      <c r="B522" t="s">
        <v>10</v>
      </c>
      <c r="C522" t="s">
        <v>26</v>
      </c>
      <c r="D522" t="s">
        <v>12</v>
      </c>
      <c r="E522">
        <v>95527</v>
      </c>
      <c r="F522">
        <v>3315</v>
      </c>
      <c r="G522">
        <v>645.19000000000005</v>
      </c>
      <c r="H522">
        <v>73971</v>
      </c>
      <c r="I522">
        <v>119</v>
      </c>
      <c r="J522" t="s">
        <v>72</v>
      </c>
    </row>
    <row r="523" spans="1:10" x14ac:dyDescent="0.2">
      <c r="A523" s="1">
        <v>46110</v>
      </c>
      <c r="B523" t="s">
        <v>10</v>
      </c>
      <c r="C523" t="s">
        <v>73</v>
      </c>
      <c r="D523" t="s">
        <v>74</v>
      </c>
      <c r="E523">
        <v>42612</v>
      </c>
      <c r="F523">
        <v>1685</v>
      </c>
      <c r="G523">
        <v>313.69</v>
      </c>
      <c r="H523">
        <v>31945</v>
      </c>
      <c r="I523">
        <v>73</v>
      </c>
      <c r="J523" t="s">
        <v>72</v>
      </c>
    </row>
    <row r="524" spans="1:10" x14ac:dyDescent="0.2">
      <c r="A524" s="1">
        <v>46110</v>
      </c>
      <c r="B524" t="s">
        <v>15</v>
      </c>
      <c r="C524" t="s">
        <v>16</v>
      </c>
      <c r="D524" t="s">
        <v>74</v>
      </c>
      <c r="E524">
        <v>63167</v>
      </c>
      <c r="F524">
        <v>1769</v>
      </c>
      <c r="G524">
        <v>342.23</v>
      </c>
      <c r="H524">
        <v>46912</v>
      </c>
      <c r="I524">
        <v>69</v>
      </c>
      <c r="J524" t="s">
        <v>72</v>
      </c>
    </row>
    <row r="525" spans="1:10" x14ac:dyDescent="0.2">
      <c r="A525" s="1">
        <v>46110</v>
      </c>
      <c r="B525" t="s">
        <v>15</v>
      </c>
      <c r="C525" t="s">
        <v>76</v>
      </c>
      <c r="D525" t="s">
        <v>74</v>
      </c>
      <c r="E525">
        <v>87876</v>
      </c>
      <c r="F525">
        <v>2738</v>
      </c>
      <c r="G525">
        <v>637.24</v>
      </c>
      <c r="H525">
        <v>66651</v>
      </c>
      <c r="I525">
        <v>149</v>
      </c>
      <c r="J525" t="s">
        <v>72</v>
      </c>
    </row>
    <row r="526" spans="1:10" x14ac:dyDescent="0.2">
      <c r="A526" s="1">
        <v>46110</v>
      </c>
      <c r="B526" t="s">
        <v>19</v>
      </c>
      <c r="C526" t="s">
        <v>26</v>
      </c>
      <c r="D526" t="s">
        <v>12</v>
      </c>
      <c r="E526">
        <v>122801</v>
      </c>
      <c r="F526">
        <v>3729</v>
      </c>
      <c r="G526">
        <v>695.86</v>
      </c>
      <c r="H526">
        <v>89666</v>
      </c>
      <c r="I526">
        <v>211</v>
      </c>
      <c r="J526" t="s">
        <v>72</v>
      </c>
    </row>
    <row r="527" spans="1:10" x14ac:dyDescent="0.2">
      <c r="A527" s="1">
        <v>46110</v>
      </c>
      <c r="B527" t="s">
        <v>19</v>
      </c>
      <c r="C527" t="s">
        <v>73</v>
      </c>
      <c r="D527" t="s">
        <v>74</v>
      </c>
      <c r="E527">
        <v>51998</v>
      </c>
      <c r="F527">
        <v>1904</v>
      </c>
      <c r="G527">
        <v>356.24</v>
      </c>
      <c r="H527">
        <v>42239</v>
      </c>
      <c r="I527">
        <v>105</v>
      </c>
      <c r="J527" t="s">
        <v>72</v>
      </c>
    </row>
    <row r="528" spans="1:10" x14ac:dyDescent="0.2">
      <c r="A528" s="1">
        <v>46110</v>
      </c>
      <c r="B528" t="s">
        <v>21</v>
      </c>
      <c r="C528" t="s">
        <v>26</v>
      </c>
      <c r="D528" t="s">
        <v>12</v>
      </c>
      <c r="E528">
        <v>142002</v>
      </c>
      <c r="F528">
        <v>4276</v>
      </c>
      <c r="G528">
        <v>879.65</v>
      </c>
      <c r="H528">
        <v>106996</v>
      </c>
      <c r="I528">
        <v>142</v>
      </c>
      <c r="J528" t="s">
        <v>72</v>
      </c>
    </row>
    <row r="529" spans="1:10" x14ac:dyDescent="0.2">
      <c r="A529" s="1">
        <v>46110</v>
      </c>
      <c r="B529" t="s">
        <v>21</v>
      </c>
      <c r="C529" t="s">
        <v>78</v>
      </c>
      <c r="D529" t="s">
        <v>71</v>
      </c>
      <c r="E529">
        <v>64595</v>
      </c>
      <c r="F529">
        <v>2616</v>
      </c>
      <c r="G529">
        <v>578.74</v>
      </c>
      <c r="H529">
        <v>50544</v>
      </c>
      <c r="I529">
        <v>95</v>
      </c>
      <c r="J529" t="s">
        <v>72</v>
      </c>
    </row>
    <row r="530" spans="1:10" x14ac:dyDescent="0.2">
      <c r="A530" s="1">
        <v>46111</v>
      </c>
      <c r="B530" t="s">
        <v>10</v>
      </c>
      <c r="C530" t="s">
        <v>26</v>
      </c>
      <c r="D530" t="s">
        <v>74</v>
      </c>
      <c r="E530">
        <v>85191</v>
      </c>
      <c r="F530">
        <v>3478</v>
      </c>
      <c r="G530">
        <v>764.13</v>
      </c>
      <c r="H530">
        <v>69284</v>
      </c>
      <c r="I530">
        <v>181</v>
      </c>
      <c r="J530" t="s">
        <v>72</v>
      </c>
    </row>
    <row r="531" spans="1:10" x14ac:dyDescent="0.2">
      <c r="A531" s="1">
        <v>46111</v>
      </c>
      <c r="B531" t="s">
        <v>10</v>
      </c>
      <c r="C531" t="s">
        <v>73</v>
      </c>
      <c r="D531" t="s">
        <v>74</v>
      </c>
      <c r="E531">
        <v>39370</v>
      </c>
      <c r="F531">
        <v>1577</v>
      </c>
      <c r="G531">
        <v>376.4</v>
      </c>
      <c r="H531">
        <v>31408</v>
      </c>
      <c r="I531">
        <v>51</v>
      </c>
      <c r="J531" t="s">
        <v>72</v>
      </c>
    </row>
    <row r="532" spans="1:10" x14ac:dyDescent="0.2">
      <c r="A532" s="1">
        <v>46111</v>
      </c>
      <c r="B532" t="s">
        <v>15</v>
      </c>
      <c r="C532" t="s">
        <v>16</v>
      </c>
      <c r="D532" t="s">
        <v>75</v>
      </c>
      <c r="E532">
        <v>105554</v>
      </c>
      <c r="F532">
        <v>3615</v>
      </c>
      <c r="G532">
        <v>823.54</v>
      </c>
      <c r="H532">
        <v>86304</v>
      </c>
      <c r="I532">
        <v>189</v>
      </c>
      <c r="J532" t="s">
        <v>72</v>
      </c>
    </row>
    <row r="533" spans="1:10" x14ac:dyDescent="0.2">
      <c r="A533" s="1">
        <v>46111</v>
      </c>
      <c r="B533" t="s">
        <v>15</v>
      </c>
      <c r="C533" t="s">
        <v>76</v>
      </c>
      <c r="D533" t="s">
        <v>75</v>
      </c>
      <c r="E533">
        <v>137460</v>
      </c>
      <c r="F533">
        <v>4671</v>
      </c>
      <c r="G533">
        <v>1044.45</v>
      </c>
      <c r="H533">
        <v>100959</v>
      </c>
      <c r="I533">
        <v>176</v>
      </c>
      <c r="J533" t="s">
        <v>72</v>
      </c>
    </row>
    <row r="534" spans="1:10" x14ac:dyDescent="0.2">
      <c r="A534" s="1">
        <v>46111</v>
      </c>
      <c r="B534" t="s">
        <v>21</v>
      </c>
      <c r="C534" t="s">
        <v>26</v>
      </c>
      <c r="D534" t="s">
        <v>12</v>
      </c>
      <c r="E534">
        <v>69989</v>
      </c>
      <c r="F534">
        <v>2711</v>
      </c>
      <c r="G534">
        <v>545.34</v>
      </c>
      <c r="H534">
        <v>53850</v>
      </c>
      <c r="I534">
        <v>115</v>
      </c>
      <c r="J534" t="s">
        <v>72</v>
      </c>
    </row>
    <row r="535" spans="1:10" x14ac:dyDescent="0.2">
      <c r="A535" s="1">
        <v>46111</v>
      </c>
      <c r="B535" t="s">
        <v>21</v>
      </c>
      <c r="C535" t="s">
        <v>78</v>
      </c>
      <c r="D535" t="s">
        <v>71</v>
      </c>
      <c r="E535">
        <v>141532</v>
      </c>
      <c r="F535">
        <v>5535</v>
      </c>
      <c r="G535">
        <v>1107.04</v>
      </c>
      <c r="H535">
        <v>113255</v>
      </c>
      <c r="I535">
        <v>263</v>
      </c>
      <c r="J535" t="s">
        <v>72</v>
      </c>
    </row>
    <row r="536" spans="1:10" x14ac:dyDescent="0.2">
      <c r="A536" s="1">
        <v>46112</v>
      </c>
      <c r="B536" t="s">
        <v>10</v>
      </c>
      <c r="C536" t="s">
        <v>26</v>
      </c>
      <c r="D536" t="s">
        <v>74</v>
      </c>
      <c r="E536">
        <v>104291</v>
      </c>
      <c r="F536">
        <v>3531</v>
      </c>
      <c r="G536">
        <v>740.9</v>
      </c>
      <c r="H536">
        <v>80656</v>
      </c>
      <c r="I536">
        <v>155</v>
      </c>
      <c r="J536" t="s">
        <v>72</v>
      </c>
    </row>
    <row r="537" spans="1:10" x14ac:dyDescent="0.2">
      <c r="A537" s="1">
        <v>46112</v>
      </c>
      <c r="B537" t="s">
        <v>10</v>
      </c>
      <c r="C537" t="s">
        <v>73</v>
      </c>
      <c r="D537" t="s">
        <v>74</v>
      </c>
      <c r="E537">
        <v>104536</v>
      </c>
      <c r="F537">
        <v>3049</v>
      </c>
      <c r="G537">
        <v>679.61</v>
      </c>
      <c r="H537">
        <v>80774</v>
      </c>
      <c r="I537">
        <v>156</v>
      </c>
      <c r="J537" t="s">
        <v>72</v>
      </c>
    </row>
    <row r="538" spans="1:10" x14ac:dyDescent="0.2">
      <c r="A538" s="1">
        <v>46112</v>
      </c>
      <c r="B538" t="s">
        <v>15</v>
      </c>
      <c r="C538" t="s">
        <v>16</v>
      </c>
      <c r="D538" t="s">
        <v>75</v>
      </c>
      <c r="E538">
        <v>53866</v>
      </c>
      <c r="F538">
        <v>1685</v>
      </c>
      <c r="G538">
        <v>303.58999999999997</v>
      </c>
      <c r="H538">
        <v>44137</v>
      </c>
      <c r="I538">
        <v>48</v>
      </c>
      <c r="J538" t="s">
        <v>72</v>
      </c>
    </row>
    <row r="539" spans="1:10" x14ac:dyDescent="0.2">
      <c r="A539" s="1">
        <v>46112</v>
      </c>
      <c r="B539" t="s">
        <v>15</v>
      </c>
      <c r="C539" t="s">
        <v>76</v>
      </c>
      <c r="D539" t="s">
        <v>74</v>
      </c>
      <c r="E539">
        <v>61763</v>
      </c>
      <c r="F539">
        <v>2525</v>
      </c>
      <c r="G539">
        <v>463.53</v>
      </c>
      <c r="H539">
        <v>46627</v>
      </c>
      <c r="I539">
        <v>134</v>
      </c>
      <c r="J539" t="s">
        <v>72</v>
      </c>
    </row>
    <row r="540" spans="1:10" x14ac:dyDescent="0.2">
      <c r="A540" s="1">
        <v>46112</v>
      </c>
      <c r="B540" t="s">
        <v>21</v>
      </c>
      <c r="C540" t="s">
        <v>26</v>
      </c>
      <c r="D540" t="s">
        <v>12</v>
      </c>
      <c r="E540">
        <v>89213</v>
      </c>
      <c r="F540">
        <v>3072</v>
      </c>
      <c r="G540">
        <v>706.91</v>
      </c>
      <c r="H540">
        <v>69153</v>
      </c>
      <c r="I540">
        <v>171</v>
      </c>
      <c r="J540" t="s">
        <v>72</v>
      </c>
    </row>
    <row r="541" spans="1:10" x14ac:dyDescent="0.2">
      <c r="A541" s="1">
        <v>46112</v>
      </c>
      <c r="B541" t="s">
        <v>21</v>
      </c>
      <c r="C541" t="s">
        <v>78</v>
      </c>
      <c r="D541" t="s">
        <v>71</v>
      </c>
      <c r="E541">
        <v>80319</v>
      </c>
      <c r="F541">
        <v>2485</v>
      </c>
      <c r="G541">
        <v>480.79</v>
      </c>
      <c r="H541">
        <v>63829</v>
      </c>
      <c r="I541">
        <v>78</v>
      </c>
      <c r="J541" t="s">
        <v>72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822AF-25F2-EC40-ABDC-EBD9699265AA}">
  <dimension ref="A2:N106"/>
  <sheetViews>
    <sheetView topLeftCell="B72" workbookViewId="0">
      <selection activeCell="E92" sqref="E92:G106"/>
    </sheetView>
  </sheetViews>
  <sheetFormatPr baseColWidth="10" defaultRowHeight="16" x14ac:dyDescent="0.2"/>
  <cols>
    <col min="2" max="2" width="31.33203125" customWidth="1"/>
    <col min="3" max="3" width="20.83203125" customWidth="1"/>
    <col min="5" max="5" width="34.6640625" bestFit="1" customWidth="1"/>
    <col min="10" max="10" width="34.6640625" bestFit="1" customWidth="1"/>
    <col min="12" max="12" width="34.6640625" bestFit="1" customWidth="1"/>
  </cols>
  <sheetData>
    <row r="2" spans="1:7" x14ac:dyDescent="0.2">
      <c r="A2" s="10" t="s">
        <v>83</v>
      </c>
      <c r="B2" s="11" t="s">
        <v>82</v>
      </c>
    </row>
    <row r="3" spans="1:7" x14ac:dyDescent="0.2">
      <c r="A3" s="12" t="s">
        <v>72</v>
      </c>
      <c r="B3" s="13">
        <v>339218.3800000003</v>
      </c>
      <c r="D3" s="20" t="s">
        <v>83</v>
      </c>
      <c r="E3" t="s">
        <v>85</v>
      </c>
      <c r="F3" t="s">
        <v>87</v>
      </c>
    </row>
    <row r="4" spans="1:7" x14ac:dyDescent="0.2">
      <c r="A4" s="14" t="s">
        <v>40</v>
      </c>
      <c r="B4" s="15">
        <v>379820.9700000002</v>
      </c>
      <c r="D4" s="21" t="s">
        <v>72</v>
      </c>
      <c r="E4" s="6">
        <v>3.5083313923754841E-2</v>
      </c>
      <c r="F4" s="6">
        <v>4.3206306192303062E-2</v>
      </c>
    </row>
    <row r="5" spans="1:7" x14ac:dyDescent="0.2">
      <c r="A5" s="16" t="s">
        <v>25</v>
      </c>
      <c r="B5" s="17">
        <v>384135.32999999961</v>
      </c>
      <c r="D5" s="21" t="s">
        <v>40</v>
      </c>
      <c r="E5" s="6">
        <v>3.3437770977885209E-2</v>
      </c>
      <c r="F5" s="6">
        <v>7.4598643727010597E-2</v>
      </c>
    </row>
    <row r="6" spans="1:7" x14ac:dyDescent="0.2">
      <c r="A6" s="18" t="s">
        <v>13</v>
      </c>
      <c r="B6" s="19">
        <v>337654.72</v>
      </c>
      <c r="D6" s="21" t="s">
        <v>25</v>
      </c>
      <c r="E6" s="6">
        <v>3.9983393007521115E-2</v>
      </c>
      <c r="F6" s="6">
        <v>4.6258891080268767E-2</v>
      </c>
    </row>
    <row r="7" spans="1:7" x14ac:dyDescent="0.2">
      <c r="D7" s="3" t="s">
        <v>13</v>
      </c>
      <c r="E7" s="6">
        <v>3.6413581044324059E-2</v>
      </c>
      <c r="F7" s="6">
        <v>3.4585350173952506E-2</v>
      </c>
    </row>
    <row r="11" spans="1:7" x14ac:dyDescent="0.2">
      <c r="D11" s="8" t="s">
        <v>83</v>
      </c>
      <c r="E11" t="s">
        <v>86</v>
      </c>
      <c r="F11" t="s">
        <v>88</v>
      </c>
      <c r="G11" t="s">
        <v>90</v>
      </c>
    </row>
    <row r="12" spans="1:7" x14ac:dyDescent="0.2">
      <c r="D12" s="3" t="s">
        <v>72</v>
      </c>
      <c r="E12" s="4">
        <v>0.20939470800835824</v>
      </c>
      <c r="F12" s="4">
        <v>4.8463922621939064</v>
      </c>
      <c r="G12" s="4">
        <v>7.3462602750302146</v>
      </c>
    </row>
    <row r="13" spans="1:7" x14ac:dyDescent="0.2">
      <c r="D13" s="3" t="s">
        <v>40</v>
      </c>
      <c r="E13" s="4">
        <v>0.2297479807428835</v>
      </c>
      <c r="F13" s="4">
        <v>3.0797876377435616</v>
      </c>
      <c r="G13" s="4">
        <v>7.6822603627121202</v>
      </c>
    </row>
    <row r="14" spans="1:7" x14ac:dyDescent="0.2">
      <c r="D14" s="3" t="s">
        <v>25</v>
      </c>
      <c r="E14" s="4">
        <v>0.17183211385950589</v>
      </c>
      <c r="F14" s="4">
        <v>3.7145748600272657</v>
      </c>
      <c r="G14" s="4">
        <v>6.8704309397577399</v>
      </c>
    </row>
    <row r="15" spans="1:7" x14ac:dyDescent="0.2">
      <c r="D15" s="3" t="s">
        <v>13</v>
      </c>
      <c r="E15" s="4">
        <v>0.15960837997277263</v>
      </c>
      <c r="F15" s="4">
        <v>4.6149129377033047</v>
      </c>
      <c r="G15" s="4">
        <v>5.8119126794918259</v>
      </c>
    </row>
    <row r="20" spans="2:12" x14ac:dyDescent="0.2">
      <c r="B20" s="8" t="s">
        <v>91</v>
      </c>
      <c r="C20" s="8" t="s">
        <v>82</v>
      </c>
    </row>
    <row r="21" spans="2:12" x14ac:dyDescent="0.2">
      <c r="B21" s="3" t="s">
        <v>52</v>
      </c>
      <c r="C21" s="22">
        <v>86933.180000000008</v>
      </c>
      <c r="J21" s="8" t="s">
        <v>91</v>
      </c>
      <c r="K21" t="s">
        <v>89</v>
      </c>
      <c r="L21" t="s">
        <v>85</v>
      </c>
    </row>
    <row r="22" spans="2:12" x14ac:dyDescent="0.2">
      <c r="B22" s="3" t="s">
        <v>10</v>
      </c>
      <c r="C22" s="22">
        <v>346128.60000000003</v>
      </c>
      <c r="J22" s="3" t="s">
        <v>52</v>
      </c>
      <c r="K22" s="6">
        <v>7.4322806405488911E-2</v>
      </c>
      <c r="L22" s="23">
        <v>1.3441445235923629E-2</v>
      </c>
    </row>
    <row r="23" spans="2:12" x14ac:dyDescent="0.2">
      <c r="B23" s="3" t="s">
        <v>18</v>
      </c>
      <c r="C23" s="22">
        <v>108932.74</v>
      </c>
      <c r="J23" s="3" t="s">
        <v>10</v>
      </c>
      <c r="K23" s="6">
        <v>4.1049850489493306E-2</v>
      </c>
      <c r="L23" s="23">
        <v>3.7268591451080801E-2</v>
      </c>
    </row>
    <row r="24" spans="2:12" x14ac:dyDescent="0.2">
      <c r="B24" s="3" t="s">
        <v>60</v>
      </c>
      <c r="C24" s="22">
        <v>12960.320000000002</v>
      </c>
      <c r="J24" s="3" t="s">
        <v>18</v>
      </c>
      <c r="K24" s="6">
        <v>4.1117593886104038E-2</v>
      </c>
      <c r="L24" s="23">
        <v>3.756931212377046E-2</v>
      </c>
    </row>
    <row r="25" spans="2:12" x14ac:dyDescent="0.2">
      <c r="B25" s="3" t="s">
        <v>15</v>
      </c>
      <c r="C25" s="22">
        <v>347326.6500000002</v>
      </c>
      <c r="J25" s="3" t="s">
        <v>60</v>
      </c>
      <c r="K25" s="6">
        <v>7.6517016040057714E-2</v>
      </c>
      <c r="L25" s="23">
        <v>5.801792681557754E-2</v>
      </c>
    </row>
    <row r="26" spans="2:12" x14ac:dyDescent="0.2">
      <c r="B26" s="3" t="s">
        <v>35</v>
      </c>
      <c r="C26" s="22">
        <v>83621.880000000019</v>
      </c>
      <c r="J26" s="3" t="s">
        <v>15</v>
      </c>
      <c r="K26" s="6">
        <v>4.174704021685393E-2</v>
      </c>
      <c r="L26" s="23">
        <v>3.729778356923228E-2</v>
      </c>
    </row>
    <row r="27" spans="2:12" x14ac:dyDescent="0.2">
      <c r="B27" s="3" t="s">
        <v>44</v>
      </c>
      <c r="C27" s="22">
        <v>81720.059999999954</v>
      </c>
      <c r="J27" s="3" t="s">
        <v>35</v>
      </c>
      <c r="K27" s="6">
        <v>1.3850409847589765E-2</v>
      </c>
      <c r="L27" s="23">
        <v>5.9557796186220022E-2</v>
      </c>
    </row>
    <row r="28" spans="2:12" x14ac:dyDescent="0.2">
      <c r="B28" s="3" t="s">
        <v>56</v>
      </c>
      <c r="C28" s="22">
        <v>80605.36</v>
      </c>
      <c r="J28" s="3" t="s">
        <v>44</v>
      </c>
      <c r="K28" s="6">
        <v>7.4226306980966161E-2</v>
      </c>
      <c r="L28" s="23">
        <v>6.0249776881162682E-2</v>
      </c>
    </row>
    <row r="29" spans="2:12" x14ac:dyDescent="0.2">
      <c r="B29" s="3" t="s">
        <v>21</v>
      </c>
      <c r="C29" s="22">
        <v>67770.159999999974</v>
      </c>
      <c r="J29" s="3" t="s">
        <v>56</v>
      </c>
      <c r="K29" s="6">
        <v>7.4855059571716218E-2</v>
      </c>
      <c r="L29" s="23">
        <v>6.0526373364163617E-2</v>
      </c>
    </row>
    <row r="30" spans="2:12" x14ac:dyDescent="0.2">
      <c r="B30" s="3" t="s">
        <v>67</v>
      </c>
      <c r="C30" s="22">
        <v>16115.840000000002</v>
      </c>
      <c r="J30" s="3" t="s">
        <v>21</v>
      </c>
      <c r="K30" s="6">
        <v>4.0908625590924244E-2</v>
      </c>
      <c r="L30" s="23">
        <v>3.6775520196027478E-2</v>
      </c>
    </row>
    <row r="31" spans="2:12" x14ac:dyDescent="0.2">
      <c r="B31" s="3" t="s">
        <v>20</v>
      </c>
      <c r="C31" s="22">
        <v>72046.990000000005</v>
      </c>
      <c r="J31" s="3" t="s">
        <v>67</v>
      </c>
      <c r="K31" s="6">
        <v>7.7521209885651046E-2</v>
      </c>
      <c r="L31" s="23">
        <v>5.8383641037303508E-2</v>
      </c>
    </row>
    <row r="32" spans="2:12" x14ac:dyDescent="0.2">
      <c r="B32" s="3" t="s">
        <v>63</v>
      </c>
      <c r="C32" s="22">
        <v>17864.330000000002</v>
      </c>
      <c r="J32" s="3" t="s">
        <v>20</v>
      </c>
      <c r="K32" s="6">
        <v>4.0673835442447112E-2</v>
      </c>
      <c r="L32" s="23">
        <v>3.7823689419843112E-2</v>
      </c>
    </row>
    <row r="33" spans="2:13" x14ac:dyDescent="0.2">
      <c r="B33" s="3" t="s">
        <v>19</v>
      </c>
      <c r="C33" s="22">
        <v>118803.29000000004</v>
      </c>
      <c r="J33" s="3" t="s">
        <v>63</v>
      </c>
      <c r="K33" s="6">
        <v>7.440257834608531E-2</v>
      </c>
      <c r="L33" s="23">
        <v>5.9504292014459774E-2</v>
      </c>
    </row>
    <row r="34" spans="2:13" x14ac:dyDescent="0.2">
      <c r="J34" s="3" t="s">
        <v>19</v>
      </c>
      <c r="K34" s="6">
        <v>4.144736743258004E-2</v>
      </c>
      <c r="L34" s="23">
        <v>3.6932384748432821E-2</v>
      </c>
    </row>
    <row r="40" spans="2:13" x14ac:dyDescent="0.2">
      <c r="E40" t="s">
        <v>91</v>
      </c>
      <c r="F40" s="8" t="s">
        <v>88</v>
      </c>
      <c r="G40" s="8" t="s">
        <v>90</v>
      </c>
    </row>
    <row r="41" spans="2:13" x14ac:dyDescent="0.2">
      <c r="E41" s="3" t="s">
        <v>52</v>
      </c>
      <c r="F41" s="4">
        <v>3.0913971764873227</v>
      </c>
      <c r="G41" s="4">
        <v>3.0883241177247549</v>
      </c>
      <c r="L41" s="8" t="s">
        <v>91</v>
      </c>
      <c r="M41" s="8" t="s">
        <v>86</v>
      </c>
    </row>
    <row r="42" spans="2:13" x14ac:dyDescent="0.2">
      <c r="E42" s="3" t="s">
        <v>10</v>
      </c>
      <c r="F42" s="4">
        <v>4.3173252507109723</v>
      </c>
      <c r="G42" s="4">
        <v>6.6049468433491221</v>
      </c>
      <c r="L42" s="3" t="s">
        <v>52</v>
      </c>
      <c r="M42" s="7">
        <v>0.22976131387054233</v>
      </c>
    </row>
    <row r="43" spans="2:13" x14ac:dyDescent="0.2">
      <c r="E43" s="3" t="s">
        <v>18</v>
      </c>
      <c r="F43" s="4">
        <v>4.3541745942921102</v>
      </c>
      <c r="G43" s="4">
        <v>6.726153520515302</v>
      </c>
      <c r="L43" s="3" t="s">
        <v>10</v>
      </c>
      <c r="M43" s="7">
        <v>0.17722555605619958</v>
      </c>
    </row>
    <row r="44" spans="2:13" x14ac:dyDescent="0.2">
      <c r="E44" s="3" t="s">
        <v>60</v>
      </c>
      <c r="F44" s="4">
        <v>2.8749600709849159</v>
      </c>
      <c r="G44" s="4">
        <v>12.762978821462546</v>
      </c>
      <c r="L44" s="3" t="s">
        <v>18</v>
      </c>
      <c r="M44" s="7">
        <v>0.17903318267729476</v>
      </c>
    </row>
    <row r="45" spans="2:13" x14ac:dyDescent="0.2">
      <c r="E45" s="3" t="s">
        <v>15</v>
      </c>
      <c r="F45" s="4">
        <v>4.2535349515038723</v>
      </c>
      <c r="G45" s="4">
        <v>6.6230604745809112</v>
      </c>
      <c r="L45" s="3" t="s">
        <v>60</v>
      </c>
      <c r="M45" s="7">
        <v>0.21998336586607828</v>
      </c>
    </row>
    <row r="46" spans="2:13" x14ac:dyDescent="0.2">
      <c r="E46" s="3" t="s">
        <v>35</v>
      </c>
      <c r="F46" s="4">
        <v>3.0867033332102918</v>
      </c>
      <c r="G46" s="4">
        <v>13.637840781380806</v>
      </c>
      <c r="L46" s="3" t="s">
        <v>15</v>
      </c>
      <c r="M46" s="7">
        <v>0.17757249468422598</v>
      </c>
    </row>
    <row r="47" spans="2:13" x14ac:dyDescent="0.2">
      <c r="E47" s="3" t="s">
        <v>44</v>
      </c>
      <c r="F47" s="4">
        <v>3.1230198341422386</v>
      </c>
      <c r="G47" s="4">
        <v>13.966514571001689</v>
      </c>
      <c r="L47" s="3" t="s">
        <v>35</v>
      </c>
      <c r="M47" s="7">
        <v>0.22898498021550726</v>
      </c>
    </row>
    <row r="48" spans="2:13" x14ac:dyDescent="0.2">
      <c r="E48" s="3" t="s">
        <v>56</v>
      </c>
      <c r="F48" s="4">
        <v>3.0409084392801899</v>
      </c>
      <c r="G48" s="4">
        <v>13.777459933503392</v>
      </c>
      <c r="L48" s="3" t="s">
        <v>44</v>
      </c>
      <c r="M48" s="7">
        <v>0.23181022891668782</v>
      </c>
    </row>
    <row r="49" spans="5:13" x14ac:dyDescent="0.2">
      <c r="E49" s="3" t="s">
        <v>21</v>
      </c>
      <c r="F49" s="4">
        <v>4.3484222008341336</v>
      </c>
      <c r="G49" s="4">
        <v>6.5419228439120367</v>
      </c>
      <c r="L49" s="3" t="s">
        <v>56</v>
      </c>
      <c r="M49" s="7">
        <v>0.22762738237445321</v>
      </c>
    </row>
    <row r="50" spans="5:13" x14ac:dyDescent="0.2">
      <c r="E50" s="3" t="s">
        <v>67</v>
      </c>
      <c r="F50" s="4">
        <v>3.0673467834031216</v>
      </c>
      <c r="G50" s="4">
        <v>13.88272102655282</v>
      </c>
      <c r="L50" s="3" t="s">
        <v>21</v>
      </c>
      <c r="M50" s="7">
        <v>0.17788797572518636</v>
      </c>
    </row>
    <row r="51" spans="5:13" x14ac:dyDescent="0.2">
      <c r="E51" s="3" t="s">
        <v>20</v>
      </c>
      <c r="F51" s="4">
        <v>4.3517147861802368</v>
      </c>
      <c r="G51" s="4">
        <v>6.694828245159707</v>
      </c>
      <c r="L51" s="3" t="s">
        <v>67</v>
      </c>
      <c r="M51" s="7">
        <v>0.23778443378827005</v>
      </c>
    </row>
    <row r="52" spans="5:13" x14ac:dyDescent="0.2">
      <c r="E52" s="3" t="s">
        <v>63</v>
      </c>
      <c r="F52" s="4">
        <v>3.1456823384398667</v>
      </c>
      <c r="G52" s="4">
        <v>13.926793692520102</v>
      </c>
      <c r="L52" s="3" t="s">
        <v>20</v>
      </c>
      <c r="M52" s="7">
        <v>0.1770009311055589</v>
      </c>
    </row>
    <row r="53" spans="5:13" x14ac:dyDescent="0.2">
      <c r="E53" s="3" t="s">
        <v>19</v>
      </c>
      <c r="F53" s="4">
        <v>4.306651562386719</v>
      </c>
      <c r="G53" s="4">
        <v>6.592407399494931</v>
      </c>
      <c r="L53" s="3" t="s">
        <v>63</v>
      </c>
      <c r="M53" s="7">
        <v>0.23404687663766904</v>
      </c>
    </row>
    <row r="54" spans="5:13" x14ac:dyDescent="0.2">
      <c r="L54" s="3" t="s">
        <v>19</v>
      </c>
      <c r="M54" s="7">
        <v>0.17849936971033725</v>
      </c>
    </row>
    <row r="59" spans="5:13" x14ac:dyDescent="0.2">
      <c r="E59" s="8" t="s">
        <v>97</v>
      </c>
      <c r="F59" s="8" t="s">
        <v>84</v>
      </c>
      <c r="J59" s="8" t="s">
        <v>97</v>
      </c>
      <c r="K59" s="8" t="s">
        <v>88</v>
      </c>
      <c r="L59" s="8" t="s">
        <v>90</v>
      </c>
      <c r="M59" t="s">
        <v>86</v>
      </c>
    </row>
    <row r="60" spans="5:13" x14ac:dyDescent="0.2">
      <c r="E60" s="29" t="s">
        <v>92</v>
      </c>
      <c r="F60" s="24">
        <v>123661</v>
      </c>
      <c r="J60" s="29" t="s">
        <v>92</v>
      </c>
      <c r="K60" s="26">
        <v>3.9206190310607236</v>
      </c>
      <c r="L60" s="26">
        <v>6.8707676970132656</v>
      </c>
      <c r="M60">
        <v>0.18766537163790242</v>
      </c>
    </row>
    <row r="61" spans="5:13" x14ac:dyDescent="0.2">
      <c r="E61" s="29" t="s">
        <v>93</v>
      </c>
      <c r="F61" s="24">
        <v>116327</v>
      </c>
      <c r="J61" s="29" t="s">
        <v>93</v>
      </c>
      <c r="K61" s="26">
        <v>3.9299986245669505</v>
      </c>
      <c r="L61" s="26">
        <v>6.8845894119365898</v>
      </c>
      <c r="M61">
        <v>0.19026658925568915</v>
      </c>
    </row>
    <row r="62" spans="5:13" x14ac:dyDescent="0.2">
      <c r="E62" s="29" t="s">
        <v>94</v>
      </c>
      <c r="F62" s="24">
        <v>129912</v>
      </c>
      <c r="J62" s="29" t="s">
        <v>94</v>
      </c>
      <c r="K62" s="26">
        <v>3.839805252786507</v>
      </c>
      <c r="L62" s="26">
        <v>6.8655993951671324</v>
      </c>
      <c r="M62">
        <v>0.18909514711791445</v>
      </c>
    </row>
    <row r="68" spans="5:14" x14ac:dyDescent="0.2">
      <c r="E68" s="30" t="s">
        <v>102</v>
      </c>
      <c r="J68" s="30" t="s">
        <v>104</v>
      </c>
      <c r="M68" s="30" t="s">
        <v>105</v>
      </c>
    </row>
    <row r="70" spans="5:14" x14ac:dyDescent="0.2">
      <c r="E70" s="30" t="s">
        <v>98</v>
      </c>
      <c r="F70" s="30" t="s">
        <v>103</v>
      </c>
      <c r="J70" s="30" t="s">
        <v>98</v>
      </c>
      <c r="K70" s="30" t="s">
        <v>103</v>
      </c>
      <c r="M70" s="30" t="s">
        <v>98</v>
      </c>
      <c r="N70" s="30" t="s">
        <v>103</v>
      </c>
    </row>
    <row r="71" spans="5:14" x14ac:dyDescent="0.2">
      <c r="E71" t="s">
        <v>99</v>
      </c>
      <c r="F71" s="32">
        <v>1</v>
      </c>
      <c r="J71" t="s">
        <v>99</v>
      </c>
      <c r="K71" s="32">
        <v>1</v>
      </c>
      <c r="M71" t="s">
        <v>99</v>
      </c>
      <c r="N71" s="32">
        <v>1</v>
      </c>
    </row>
    <row r="72" spans="5:14" x14ac:dyDescent="0.2">
      <c r="E72" t="s">
        <v>100</v>
      </c>
      <c r="F72" s="31">
        <v>3.5099999999999999E-2</v>
      </c>
      <c r="J72" t="s">
        <v>100</v>
      </c>
      <c r="K72" s="31">
        <v>3.3399999999999999E-2</v>
      </c>
      <c r="M72" t="s">
        <v>100</v>
      </c>
      <c r="N72" s="32">
        <v>0.04</v>
      </c>
    </row>
    <row r="73" spans="5:14" x14ac:dyDescent="0.2">
      <c r="E73" t="s">
        <v>101</v>
      </c>
      <c r="F73" s="31">
        <v>1.5E-3</v>
      </c>
      <c r="J73" t="s">
        <v>101</v>
      </c>
      <c r="K73" s="31">
        <v>2.5000000000000001E-3</v>
      </c>
      <c r="M73" t="s">
        <v>101</v>
      </c>
      <c r="N73" s="31">
        <v>1.8E-3</v>
      </c>
    </row>
    <row r="79" spans="5:14" x14ac:dyDescent="0.2">
      <c r="E79" s="30" t="s">
        <v>106</v>
      </c>
    </row>
    <row r="81" spans="5:12" x14ac:dyDescent="0.2">
      <c r="E81" s="30" t="s">
        <v>98</v>
      </c>
      <c r="F81" s="30" t="s">
        <v>103</v>
      </c>
    </row>
    <row r="82" spans="5:12" x14ac:dyDescent="0.2">
      <c r="E82" t="s">
        <v>99</v>
      </c>
      <c r="F82" s="32">
        <v>1</v>
      </c>
      <c r="K82" t="s">
        <v>133</v>
      </c>
      <c r="L82" t="s">
        <v>96</v>
      </c>
    </row>
    <row r="83" spans="5:12" x14ac:dyDescent="0.2">
      <c r="E83" t="s">
        <v>100</v>
      </c>
      <c r="F83" s="31">
        <v>3.6400000000000002E-2</v>
      </c>
      <c r="K83" t="s">
        <v>134</v>
      </c>
      <c r="L83">
        <v>4.76</v>
      </c>
    </row>
    <row r="84" spans="5:12" x14ac:dyDescent="0.2">
      <c r="E84" t="s">
        <v>101</v>
      </c>
      <c r="F84" s="31">
        <v>1.2999999999999999E-3</v>
      </c>
      <c r="K84" t="s">
        <v>135</v>
      </c>
      <c r="L84">
        <v>4.82</v>
      </c>
    </row>
    <row r="85" spans="5:12" x14ac:dyDescent="0.2">
      <c r="K85" t="s">
        <v>136</v>
      </c>
      <c r="L85">
        <v>4.82</v>
      </c>
    </row>
    <row r="86" spans="5:12" x14ac:dyDescent="0.2">
      <c r="K86" t="s">
        <v>137</v>
      </c>
      <c r="L86">
        <v>4.76</v>
      </c>
    </row>
    <row r="87" spans="5:12" x14ac:dyDescent="0.2">
      <c r="K87" t="s">
        <v>138</v>
      </c>
      <c r="L87">
        <v>4.7699999999999996</v>
      </c>
    </row>
    <row r="88" spans="5:12" x14ac:dyDescent="0.2">
      <c r="K88" t="s">
        <v>139</v>
      </c>
      <c r="L88">
        <v>4.93</v>
      </c>
    </row>
    <row r="89" spans="5:12" x14ac:dyDescent="0.2">
      <c r="K89" t="s">
        <v>140</v>
      </c>
      <c r="L89">
        <v>4.75</v>
      </c>
    </row>
    <row r="90" spans="5:12" x14ac:dyDescent="0.2">
      <c r="K90" t="s">
        <v>141</v>
      </c>
      <c r="L90">
        <v>4.87</v>
      </c>
    </row>
    <row r="91" spans="5:12" x14ac:dyDescent="0.2">
      <c r="K91" t="s">
        <v>142</v>
      </c>
      <c r="L91">
        <v>4.88</v>
      </c>
    </row>
    <row r="92" spans="5:12" x14ac:dyDescent="0.2">
      <c r="E92" t="s">
        <v>133</v>
      </c>
      <c r="F92" t="s">
        <v>101</v>
      </c>
      <c r="G92" t="s">
        <v>108</v>
      </c>
      <c r="K92" t="s">
        <v>143</v>
      </c>
      <c r="L92">
        <v>4.96</v>
      </c>
    </row>
    <row r="93" spans="5:12" x14ac:dyDescent="0.2">
      <c r="E93" t="s">
        <v>134</v>
      </c>
      <c r="F93">
        <v>27774</v>
      </c>
      <c r="G93">
        <v>109153</v>
      </c>
      <c r="K93" t="s">
        <v>144</v>
      </c>
      <c r="L93">
        <v>4.92</v>
      </c>
    </row>
    <row r="94" spans="5:12" x14ac:dyDescent="0.2">
      <c r="E94" t="s">
        <v>135</v>
      </c>
      <c r="F94">
        <v>27273</v>
      </c>
      <c r="G94">
        <v>105845</v>
      </c>
      <c r="K94" t="s">
        <v>145</v>
      </c>
      <c r="L94">
        <v>4.91</v>
      </c>
    </row>
    <row r="95" spans="5:12" x14ac:dyDescent="0.2">
      <c r="E95" t="s">
        <v>136</v>
      </c>
      <c r="F95">
        <v>27532</v>
      </c>
      <c r="G95">
        <v>108516</v>
      </c>
      <c r="K95" t="s">
        <v>146</v>
      </c>
      <c r="L95">
        <v>4.9000000000000004</v>
      </c>
    </row>
    <row r="96" spans="5:12" x14ac:dyDescent="0.2">
      <c r="E96" t="s">
        <v>137</v>
      </c>
      <c r="F96">
        <v>27615</v>
      </c>
      <c r="G96">
        <v>108301</v>
      </c>
      <c r="K96" t="s">
        <v>147</v>
      </c>
      <c r="L96">
        <v>4.95</v>
      </c>
    </row>
    <row r="97" spans="5:7" x14ac:dyDescent="0.2">
      <c r="E97" t="s">
        <v>138</v>
      </c>
      <c r="F97">
        <v>13467</v>
      </c>
      <c r="G97">
        <v>53013</v>
      </c>
    </row>
    <row r="98" spans="5:7" x14ac:dyDescent="0.2">
      <c r="E98" t="s">
        <v>139</v>
      </c>
      <c r="F98">
        <v>28867</v>
      </c>
      <c r="G98">
        <v>112439</v>
      </c>
    </row>
    <row r="99" spans="5:7" x14ac:dyDescent="0.2">
      <c r="E99" t="s">
        <v>140</v>
      </c>
      <c r="F99">
        <v>40381</v>
      </c>
      <c r="G99">
        <v>160654</v>
      </c>
    </row>
    <row r="100" spans="5:7" x14ac:dyDescent="0.2">
      <c r="E100" t="s">
        <v>141</v>
      </c>
      <c r="F100">
        <v>26478</v>
      </c>
      <c r="G100">
        <v>103551</v>
      </c>
    </row>
    <row r="101" spans="5:7" x14ac:dyDescent="0.2">
      <c r="E101" t="s">
        <v>142</v>
      </c>
      <c r="F101">
        <v>20601</v>
      </c>
      <c r="G101">
        <v>80520</v>
      </c>
    </row>
    <row r="102" spans="5:7" x14ac:dyDescent="0.2">
      <c r="E102" t="s">
        <v>143</v>
      </c>
      <c r="F102">
        <v>25097</v>
      </c>
      <c r="G102">
        <v>95964</v>
      </c>
    </row>
    <row r="103" spans="5:7" x14ac:dyDescent="0.2">
      <c r="E103" t="s">
        <v>144</v>
      </c>
      <c r="F103">
        <v>24477</v>
      </c>
      <c r="G103">
        <v>94116</v>
      </c>
    </row>
    <row r="104" spans="5:7" x14ac:dyDescent="0.2">
      <c r="E104" t="s">
        <v>145</v>
      </c>
      <c r="F104">
        <v>33611</v>
      </c>
      <c r="G104">
        <v>129667</v>
      </c>
    </row>
    <row r="105" spans="5:7" x14ac:dyDescent="0.2">
      <c r="E105" t="s">
        <v>146</v>
      </c>
      <c r="F105">
        <v>31766</v>
      </c>
      <c r="G105">
        <v>122348</v>
      </c>
    </row>
    <row r="106" spans="5:7" x14ac:dyDescent="0.2">
      <c r="E106" t="s">
        <v>147</v>
      </c>
      <c r="F106">
        <v>14961</v>
      </c>
      <c r="G106">
        <v>56742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94139E-4E46-014C-886B-FD072384CE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Client Dashboard</vt:lpstr>
      <vt:lpstr>Platform Summary</vt:lpstr>
      <vt:lpstr>Campaign Analysis</vt:lpstr>
      <vt:lpstr>Monthly Trends</vt:lpstr>
      <vt:lpstr>Funnel Analysis</vt:lpstr>
      <vt:lpstr>Trend and Cohort Analysis</vt:lpstr>
      <vt:lpstr>Platform KPIs</vt:lpstr>
      <vt:lpstr>Combined Data</vt:lpstr>
      <vt:lpstr>Tiktok Raw</vt:lpstr>
      <vt:lpstr>Instagram Raw</vt:lpstr>
      <vt:lpstr>Google Raw</vt:lpstr>
      <vt:lpstr>Facebook Raw</vt:lpstr>
      <vt:lpstr>chart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Ekta</dc:creator>
  <cp:lastModifiedBy>Ekta</cp:lastModifiedBy>
  <dcterms:created xsi:type="dcterms:W3CDTF">2026-06-20T21:21:20Z</dcterms:created>
  <dcterms:modified xsi:type="dcterms:W3CDTF">2026-06-24T01:06:41Z</dcterms:modified>
</cp:coreProperties>
</file>